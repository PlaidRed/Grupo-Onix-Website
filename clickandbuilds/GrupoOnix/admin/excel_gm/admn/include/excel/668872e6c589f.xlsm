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ADMIN\Desktop\GASTOS MEDICOS\"/>
    </mc:Choice>
  </mc:AlternateContent>
  <workbookProtection workbookAlgorithmName="SHA-512" workbookHashValue="yooKhaQ10ATSxCYuO5+fZ7hX/Wa85qqQusahGLxcgeS6JfkUVeryrpkt1GaeznhO5EslAa2zfllzR6RoS0PQ4Q==" workbookSaltValue="eWFxy3TYo983Y6ngU/x7nA==" workbookSpinCount="100000" lockStructure="1"/>
  <bookViews>
    <workbookView xWindow="0" yWindow="0" windowWidth="19200" windowHeight="7310" tabRatio="551"/>
  </bookViews>
  <sheets>
    <sheet name="DATOS GENERALES" sheetId="2" r:id="rId1"/>
    <sheet name="CAPTURA DP" sheetId="3" state="hidden" r:id="rId2"/>
    <sheet name="CAPTURA LISTADO" sheetId="5" r:id="rId3"/>
    <sheet name="CARTA-COTIZACION" sheetId="4" r:id="rId4"/>
    <sheet name="CARTA COTIZACION" sheetId="10" state="hidden" r:id="rId5"/>
    <sheet name="DATOS" sheetId="6" state="hidden" r:id="rId6"/>
    <sheet name="RESUMEN" sheetId="8" state="hidden" r:id="rId7"/>
  </sheets>
  <definedNames>
    <definedName name="_xlnm._FilterDatabase" localSheetId="5" hidden="1">DATOS!$S$3:$Z$102</definedName>
    <definedName name="_xlnm._FilterDatabase" localSheetId="0" hidden="1">'DATOS GENERALES'!$A$21:$I$24</definedName>
    <definedName name="_xlnm._FilterDatabase" localSheetId="6"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GENERALES'!$C$12</definedName>
    <definedName name="_xlnm.Print_Area" localSheetId="4">'CARTA COTIZACION'!$A$1:$O$95</definedName>
    <definedName name="_xlnm.Print_Area" localSheetId="3">'CARTA-COTIZACION'!$A$1:$O$103</definedName>
    <definedName name="b">'CAPTURA DP'!$B$3</definedName>
    <definedName name="d">'DATOS GENERALES'!$C$14</definedName>
    <definedName name="e">'DATOS GENERALES'!$D$39</definedName>
    <definedName name="g">DATOS!$A$71</definedName>
    <definedName name="H">'CAPTURA LISTADO'!$O$16</definedName>
    <definedName name="IVA">DATOS!$AP$10</definedName>
    <definedName name="M">'CAPTURA LISTADO'!$N$16</definedName>
    <definedName name="MATERNIDAD">'CAPTURA DP'!$W$105:$AE$110</definedName>
    <definedName name="max">DATOS!$B$68</definedName>
    <definedName name="Nueva" comment="a">'CAPTURA DP'!$D$3</definedName>
    <definedName name="p">'CAPTURA DP'!$B$4</definedName>
    <definedName name="pcosto">DATOS!$A$14:$C$20</definedName>
    <definedName name="POLIZAS">#REF!</definedName>
    <definedName name="PRIMA_N">'CAPTURA DP'!$AQ$1:$CO$104</definedName>
    <definedName name="suma">DATOS!$AB$3:$AE$100</definedName>
    <definedName name="_xlnm.Print_Titles" localSheetId="4">'CARTA COTIZACION'!$1:$2</definedName>
    <definedName name="_xlnm.Print_Titles" localSheetId="3">'CARTA-COTIZACION'!$1:$2</definedName>
    <definedName name="ve">DATOS!$BE$11</definedName>
    <definedName name="vo">DATOS!$BC$11</definedName>
    <definedName name="vp">DATOS!$BD$11</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W54" i="3" l="1"/>
  <c r="CW55" i="3"/>
  <c r="CW56" i="3"/>
  <c r="CW57" i="3"/>
  <c r="CW58" i="3"/>
  <c r="CW59" i="3"/>
  <c r="CW60" i="3"/>
  <c r="CW61" i="3"/>
  <c r="CW62" i="3"/>
  <c r="CW53" i="3"/>
  <c r="O14" i="5"/>
  <c r="N14" i="5"/>
  <c r="O13" i="5"/>
  <c r="N13" i="5"/>
  <c r="O12" i="5"/>
  <c r="N12" i="5"/>
  <c r="O11" i="5"/>
  <c r="N11" i="5"/>
  <c r="O10" i="5"/>
  <c r="N10" i="5"/>
  <c r="O9" i="5"/>
  <c r="N9" i="5"/>
  <c r="O8" i="5"/>
  <c r="N8" i="5"/>
  <c r="O7" i="5"/>
  <c r="N7" i="5"/>
  <c r="N16" i="5" l="1"/>
  <c r="O16" i="5"/>
  <c r="K37" i="4" l="1"/>
  <c r="K37" i="10"/>
  <c r="B16" i="4"/>
  <c r="B16" i="10"/>
  <c r="CW64" i="3" l="1"/>
  <c r="CX64" i="3"/>
  <c r="CY64" i="3"/>
  <c r="CZ64" i="3"/>
  <c r="CW65" i="3"/>
  <c r="CX65" i="3"/>
  <c r="CY65" i="3"/>
  <c r="CZ65" i="3"/>
  <c r="CW66" i="3"/>
  <c r="CX66" i="3"/>
  <c r="CY66" i="3"/>
  <c r="CZ66" i="3"/>
  <c r="CW67" i="3"/>
  <c r="CX67" i="3"/>
  <c r="CY67" i="3"/>
  <c r="CZ67" i="3"/>
  <c r="CW68" i="3"/>
  <c r="CX68" i="3"/>
  <c r="CY68" i="3"/>
  <c r="CZ68" i="3"/>
  <c r="CW69" i="3"/>
  <c r="CX69" i="3"/>
  <c r="CY69" i="3"/>
  <c r="CZ69" i="3"/>
  <c r="CW70" i="3"/>
  <c r="CX70" i="3"/>
  <c r="CY70" i="3"/>
  <c r="CZ70" i="3"/>
  <c r="CW71" i="3"/>
  <c r="CX71" i="3"/>
  <c r="CY71" i="3"/>
  <c r="CZ71" i="3"/>
  <c r="CW72" i="3"/>
  <c r="CX72" i="3"/>
  <c r="CY72" i="3"/>
  <c r="CZ72" i="3"/>
  <c r="CW73" i="3"/>
  <c r="CX73" i="3"/>
  <c r="CY73" i="3"/>
  <c r="CZ73" i="3"/>
  <c r="CW74" i="3"/>
  <c r="CX74" i="3"/>
  <c r="CY74" i="3"/>
  <c r="CZ74" i="3"/>
  <c r="CW75" i="3"/>
  <c r="CX75" i="3"/>
  <c r="CY75" i="3"/>
  <c r="CZ75" i="3"/>
  <c r="CW76" i="3"/>
  <c r="CX76" i="3"/>
  <c r="CY76" i="3"/>
  <c r="CZ76" i="3"/>
  <c r="CW77" i="3"/>
  <c r="CX77" i="3"/>
  <c r="CY77" i="3"/>
  <c r="CZ77" i="3"/>
  <c r="CW78" i="3"/>
  <c r="CX78" i="3"/>
  <c r="CY78" i="3"/>
  <c r="CZ78" i="3"/>
  <c r="CW79" i="3"/>
  <c r="CX79" i="3"/>
  <c r="CY79" i="3"/>
  <c r="CZ79" i="3"/>
  <c r="CW80" i="3"/>
  <c r="CX80" i="3"/>
  <c r="CY80" i="3"/>
  <c r="CZ80" i="3"/>
  <c r="CW81" i="3"/>
  <c r="CX81" i="3"/>
  <c r="CY81" i="3"/>
  <c r="CZ81" i="3"/>
  <c r="CW82" i="3"/>
  <c r="CX82" i="3"/>
  <c r="CY82" i="3"/>
  <c r="CZ82" i="3"/>
  <c r="CW83" i="3"/>
  <c r="CX83" i="3"/>
  <c r="CY83" i="3"/>
  <c r="CZ83" i="3"/>
  <c r="CW84" i="3"/>
  <c r="CX84" i="3"/>
  <c r="CY84" i="3"/>
  <c r="CZ84" i="3"/>
  <c r="CW85" i="3"/>
  <c r="CX85" i="3"/>
  <c r="CY85" i="3"/>
  <c r="CZ85" i="3"/>
  <c r="CW86" i="3"/>
  <c r="CX86" i="3"/>
  <c r="CY86" i="3"/>
  <c r="CZ86" i="3"/>
  <c r="CW87" i="3"/>
  <c r="CX87" i="3"/>
  <c r="CY87" i="3"/>
  <c r="CZ87" i="3"/>
  <c r="CW88" i="3"/>
  <c r="CX88" i="3"/>
  <c r="CY88" i="3"/>
  <c r="CZ88" i="3"/>
  <c r="CW89" i="3"/>
  <c r="CX89" i="3"/>
  <c r="CY89" i="3"/>
  <c r="CZ89" i="3"/>
  <c r="CW90" i="3"/>
  <c r="CX90" i="3"/>
  <c r="CY90" i="3"/>
  <c r="CZ90" i="3"/>
  <c r="CW91" i="3"/>
  <c r="CX91" i="3"/>
  <c r="CY91" i="3"/>
  <c r="CZ91" i="3"/>
  <c r="CW92" i="3"/>
  <c r="CX92" i="3"/>
  <c r="CY92" i="3"/>
  <c r="CZ92" i="3"/>
  <c r="CW93" i="3"/>
  <c r="CX93" i="3"/>
  <c r="CY93" i="3"/>
  <c r="CZ93" i="3"/>
  <c r="CW94" i="3"/>
  <c r="CX94" i="3"/>
  <c r="CY94" i="3"/>
  <c r="CZ94" i="3"/>
  <c r="CW95" i="3"/>
  <c r="CX95" i="3"/>
  <c r="CY95" i="3"/>
  <c r="CZ95" i="3"/>
  <c r="CW96" i="3"/>
  <c r="CX96" i="3"/>
  <c r="CY96" i="3"/>
  <c r="CZ96" i="3"/>
  <c r="CW97" i="3"/>
  <c r="CX97" i="3"/>
  <c r="CY97" i="3"/>
  <c r="CZ97" i="3"/>
  <c r="CW98" i="3"/>
  <c r="CX98" i="3"/>
  <c r="CY98" i="3"/>
  <c r="CZ98" i="3"/>
  <c r="CW99" i="3"/>
  <c r="CX99" i="3"/>
  <c r="CY99" i="3"/>
  <c r="CZ99" i="3"/>
  <c r="CW100" i="3"/>
  <c r="CX100" i="3"/>
  <c r="CY100" i="3"/>
  <c r="CZ100" i="3"/>
  <c r="CW101" i="3"/>
  <c r="CX101" i="3"/>
  <c r="CY101" i="3"/>
  <c r="CZ101" i="3"/>
  <c r="CW102" i="3"/>
  <c r="CX102" i="3"/>
  <c r="CY102" i="3"/>
  <c r="CZ102" i="3"/>
  <c r="CW103" i="3"/>
  <c r="CX103" i="3"/>
  <c r="CY103" i="3"/>
  <c r="CZ103" i="3"/>
  <c r="CZ63" i="3"/>
  <c r="CY63" i="3"/>
  <c r="CY62" i="3"/>
  <c r="CX63" i="3"/>
  <c r="CX62" i="3"/>
  <c r="CW63" i="3"/>
  <c r="CX54" i="3"/>
  <c r="CY54" i="3"/>
  <c r="CZ54" i="3"/>
  <c r="CX55" i="3"/>
  <c r="CY55" i="3"/>
  <c r="CZ55" i="3"/>
  <c r="CX56" i="3"/>
  <c r="CY56" i="3"/>
  <c r="CZ56" i="3"/>
  <c r="CX57" i="3"/>
  <c r="CY57" i="3"/>
  <c r="CZ57" i="3"/>
  <c r="CX58" i="3"/>
  <c r="CY58" i="3"/>
  <c r="CZ58" i="3"/>
  <c r="CX59" i="3"/>
  <c r="CY59" i="3"/>
  <c r="CZ59" i="3"/>
  <c r="CX60" i="3"/>
  <c r="CY60" i="3"/>
  <c r="CZ60" i="3"/>
  <c r="CX61" i="3"/>
  <c r="CY61" i="3"/>
  <c r="CZ61" i="3"/>
  <c r="CZ62" i="3"/>
  <c r="CZ53" i="3"/>
  <c r="CY53" i="3"/>
  <c r="CY52" i="3"/>
  <c r="CX53" i="3"/>
  <c r="CX52" i="3"/>
  <c r="CW52" i="3"/>
  <c r="CW4" i="3"/>
  <c r="CX4" i="3"/>
  <c r="CY4" i="3"/>
  <c r="CZ4" i="3"/>
  <c r="CW5" i="3"/>
  <c r="CX5" i="3"/>
  <c r="CY5" i="3"/>
  <c r="CZ5" i="3"/>
  <c r="CW6" i="3"/>
  <c r="CX6" i="3"/>
  <c r="CY6" i="3"/>
  <c r="CZ6" i="3"/>
  <c r="CW7" i="3"/>
  <c r="CX7" i="3"/>
  <c r="CY7" i="3"/>
  <c r="CZ7" i="3"/>
  <c r="CW8" i="3"/>
  <c r="CX8" i="3"/>
  <c r="CY8" i="3"/>
  <c r="CZ8" i="3"/>
  <c r="CW9" i="3"/>
  <c r="CX9" i="3"/>
  <c r="CY9" i="3"/>
  <c r="CZ9" i="3"/>
  <c r="CW10" i="3"/>
  <c r="CX10" i="3"/>
  <c r="CY10" i="3"/>
  <c r="CZ10" i="3"/>
  <c r="CW11" i="3"/>
  <c r="CX11" i="3"/>
  <c r="CY11" i="3"/>
  <c r="CZ11" i="3"/>
  <c r="CW12" i="3"/>
  <c r="CX12" i="3"/>
  <c r="CY12" i="3"/>
  <c r="CZ12" i="3"/>
  <c r="CW13" i="3"/>
  <c r="CX13" i="3"/>
  <c r="CY13" i="3"/>
  <c r="CZ13" i="3"/>
  <c r="CW14" i="3"/>
  <c r="CX14" i="3"/>
  <c r="CY14" i="3"/>
  <c r="CZ14" i="3"/>
  <c r="CW15" i="3"/>
  <c r="CX15" i="3"/>
  <c r="CY15" i="3"/>
  <c r="CZ15" i="3"/>
  <c r="CW16" i="3"/>
  <c r="CX16" i="3"/>
  <c r="CY16" i="3"/>
  <c r="CZ16" i="3"/>
  <c r="CW17" i="3"/>
  <c r="CX17" i="3"/>
  <c r="CY17" i="3"/>
  <c r="CZ17" i="3"/>
  <c r="CW18" i="3"/>
  <c r="CX18" i="3"/>
  <c r="CY18" i="3"/>
  <c r="CZ18" i="3"/>
  <c r="CW19" i="3"/>
  <c r="CX19" i="3"/>
  <c r="CY19" i="3"/>
  <c r="CZ19" i="3"/>
  <c r="CW20" i="3"/>
  <c r="CX20" i="3"/>
  <c r="CY20" i="3"/>
  <c r="CZ20" i="3"/>
  <c r="CW21" i="3"/>
  <c r="CX21" i="3"/>
  <c r="CY21" i="3"/>
  <c r="CZ21" i="3"/>
  <c r="CW22" i="3"/>
  <c r="CX22" i="3"/>
  <c r="CY22" i="3"/>
  <c r="CZ22" i="3"/>
  <c r="CW23" i="3"/>
  <c r="CX23" i="3"/>
  <c r="CY23" i="3"/>
  <c r="CZ23" i="3"/>
  <c r="CW24" i="3"/>
  <c r="CX24" i="3"/>
  <c r="CY24" i="3"/>
  <c r="CZ24" i="3"/>
  <c r="CW25" i="3"/>
  <c r="CX25" i="3"/>
  <c r="CY25" i="3"/>
  <c r="CZ25" i="3"/>
  <c r="CW26" i="3"/>
  <c r="CX26" i="3"/>
  <c r="CY26" i="3"/>
  <c r="CZ26" i="3"/>
  <c r="CW27" i="3"/>
  <c r="CX27" i="3"/>
  <c r="CY27" i="3"/>
  <c r="CZ27" i="3"/>
  <c r="CW28" i="3"/>
  <c r="CX28" i="3"/>
  <c r="CY28" i="3"/>
  <c r="CZ28" i="3"/>
  <c r="CW29" i="3"/>
  <c r="CX29" i="3"/>
  <c r="CY29" i="3"/>
  <c r="CZ29" i="3"/>
  <c r="CW30" i="3"/>
  <c r="CX30" i="3"/>
  <c r="CY30" i="3"/>
  <c r="CZ30" i="3"/>
  <c r="CW31" i="3"/>
  <c r="CX31" i="3"/>
  <c r="CY31" i="3"/>
  <c r="CZ31" i="3"/>
  <c r="CW32" i="3"/>
  <c r="CX32" i="3"/>
  <c r="CY32" i="3"/>
  <c r="CZ32" i="3"/>
  <c r="CW33" i="3"/>
  <c r="CX33" i="3"/>
  <c r="CY33" i="3"/>
  <c r="CZ33" i="3"/>
  <c r="CW34" i="3"/>
  <c r="CX34" i="3"/>
  <c r="CY34" i="3"/>
  <c r="CZ34" i="3"/>
  <c r="CW35" i="3"/>
  <c r="CX35" i="3"/>
  <c r="CY35" i="3"/>
  <c r="CZ35" i="3"/>
  <c r="CW36" i="3"/>
  <c r="CX36" i="3"/>
  <c r="CY36" i="3"/>
  <c r="CZ36" i="3"/>
  <c r="CW37" i="3"/>
  <c r="CX37" i="3"/>
  <c r="CY37" i="3"/>
  <c r="CZ37" i="3"/>
  <c r="CW38" i="3"/>
  <c r="CX38" i="3"/>
  <c r="CY38" i="3"/>
  <c r="CZ38" i="3"/>
  <c r="CW39" i="3"/>
  <c r="CX39" i="3"/>
  <c r="CY39" i="3"/>
  <c r="CZ39" i="3"/>
  <c r="CW40" i="3"/>
  <c r="CX40" i="3"/>
  <c r="CY40" i="3"/>
  <c r="CZ40" i="3"/>
  <c r="CW41" i="3"/>
  <c r="CX41" i="3"/>
  <c r="CY41" i="3"/>
  <c r="CZ41" i="3"/>
  <c r="CW42" i="3"/>
  <c r="CX42" i="3"/>
  <c r="CY42" i="3"/>
  <c r="CZ42" i="3"/>
  <c r="CW43" i="3"/>
  <c r="CX43" i="3"/>
  <c r="CY43" i="3"/>
  <c r="CZ43" i="3"/>
  <c r="CW44" i="3"/>
  <c r="CX44" i="3"/>
  <c r="CY44" i="3"/>
  <c r="CZ44" i="3"/>
  <c r="CW45" i="3"/>
  <c r="CX45" i="3"/>
  <c r="CY45" i="3"/>
  <c r="CZ45" i="3"/>
  <c r="CW46" i="3"/>
  <c r="CX46" i="3"/>
  <c r="CY46" i="3"/>
  <c r="CZ46" i="3"/>
  <c r="CW47" i="3"/>
  <c r="CX47" i="3"/>
  <c r="CY47" i="3"/>
  <c r="CZ47" i="3"/>
  <c r="CW48" i="3"/>
  <c r="CX48" i="3"/>
  <c r="CY48" i="3"/>
  <c r="CZ48" i="3"/>
  <c r="CW49" i="3"/>
  <c r="CX49" i="3"/>
  <c r="CY49" i="3"/>
  <c r="CZ49" i="3"/>
  <c r="CW50" i="3"/>
  <c r="CX50" i="3"/>
  <c r="CY50" i="3"/>
  <c r="CZ50" i="3"/>
  <c r="CW51" i="3"/>
  <c r="CX51" i="3"/>
  <c r="CY51" i="3"/>
  <c r="CZ51" i="3"/>
  <c r="CZ52" i="3"/>
  <c r="CZ3" i="3"/>
  <c r="CY3" i="3"/>
  <c r="CX3" i="3"/>
  <c r="CW3" i="3"/>
  <c r="J23" i="10"/>
  <c r="K9" i="6"/>
  <c r="K8" i="6"/>
  <c r="K7" i="6"/>
  <c r="K6" i="6"/>
  <c r="K5" i="6"/>
  <c r="K4" i="6"/>
  <c r="J9" i="6"/>
  <c r="J8" i="6"/>
  <c r="J7" i="6"/>
  <c r="J6" i="6"/>
  <c r="J5" i="6"/>
  <c r="J4" i="6"/>
  <c r="B22" i="3" l="1"/>
  <c r="A2" i="5"/>
  <c r="B85" i="4"/>
  <c r="AW2" i="6"/>
  <c r="B68" i="6" l="1"/>
  <c r="B55" i="10" s="1"/>
  <c r="D55" i="10" s="1"/>
  <c r="B67" i="6"/>
  <c r="B91" i="10"/>
  <c r="B90" i="10"/>
  <c r="B86" i="10"/>
  <c r="J85" i="10"/>
  <c r="G85" i="10"/>
  <c r="B14" i="10"/>
  <c r="E5" i="10"/>
  <c r="M4" i="10"/>
  <c r="B3" i="10"/>
  <c r="B2" i="10"/>
  <c r="B1" i="10"/>
  <c r="A2" i="8"/>
  <c r="A3" i="8"/>
  <c r="A4" i="8"/>
  <c r="A5" i="8"/>
  <c r="A6" i="8"/>
  <c r="A7" i="8"/>
  <c r="A8" i="8"/>
  <c r="A9" i="8"/>
  <c r="J8" i="5"/>
  <c r="J9" i="5"/>
  <c r="J10" i="5"/>
  <c r="J11" i="5"/>
  <c r="J12" i="5"/>
  <c r="J13" i="5"/>
  <c r="J14" i="5"/>
  <c r="J7" i="5"/>
  <c r="I8" i="5"/>
  <c r="I9" i="5"/>
  <c r="I10" i="5"/>
  <c r="I11" i="5"/>
  <c r="I12" i="5"/>
  <c r="I13" i="5"/>
  <c r="I14" i="5"/>
  <c r="I7" i="5"/>
  <c r="B14" i="4"/>
  <c r="CD109" i="3"/>
  <c r="B23" i="3"/>
  <c r="B21" i="3"/>
  <c r="CL1" i="3"/>
  <c r="CE1" i="3"/>
  <c r="BX1" i="3"/>
  <c r="BQ1" i="3"/>
  <c r="BJ1" i="3"/>
  <c r="BC1" i="3"/>
  <c r="C23" i="3"/>
  <c r="C22" i="3"/>
  <c r="C21" i="3"/>
  <c r="B51" i="4" l="1"/>
  <c r="D51" i="4" s="1"/>
  <c r="B58" i="4"/>
  <c r="C58" i="4" s="1"/>
  <c r="B57" i="4"/>
  <c r="C57" i="4" s="1"/>
  <c r="B56" i="4"/>
  <c r="C56" i="4" s="1"/>
  <c r="B54" i="4"/>
  <c r="D54" i="4" s="1"/>
  <c r="H12" i="5"/>
  <c r="B55" i="4"/>
  <c r="C55" i="4" s="1"/>
  <c r="B52" i="4"/>
  <c r="C52" i="4" s="1"/>
  <c r="H13" i="5"/>
  <c r="H8" i="5"/>
  <c r="B53" i="4"/>
  <c r="C53" i="4" s="1"/>
  <c r="H7" i="5"/>
  <c r="H14" i="5"/>
  <c r="B56" i="10"/>
  <c r="D56" i="10" s="1"/>
  <c r="B57" i="10"/>
  <c r="C57" i="10" s="1"/>
  <c r="C55" i="10"/>
  <c r="H11" i="5"/>
  <c r="H10" i="5"/>
  <c r="H9" i="5"/>
  <c r="B51" i="10"/>
  <c r="D51" i="10" s="1"/>
  <c r="B52" i="10"/>
  <c r="B58" i="10"/>
  <c r="B53" i="10"/>
  <c r="B54" i="10"/>
  <c r="CS2" i="3"/>
  <c r="F18" i="3"/>
  <c r="B1" i="4"/>
  <c r="B2" i="4"/>
  <c r="B3" i="4"/>
  <c r="M4" i="4"/>
  <c r="E5" i="4"/>
  <c r="J23" i="4"/>
  <c r="G85" i="4"/>
  <c r="J85" i="4"/>
  <c r="B86" i="4"/>
  <c r="B98" i="4"/>
  <c r="B99" i="4"/>
  <c r="C56" i="10" l="1"/>
  <c r="D57" i="10"/>
  <c r="D58" i="10"/>
  <c r="C58" i="10"/>
  <c r="D54" i="10"/>
  <c r="C54" i="10"/>
  <c r="D53" i="10"/>
  <c r="C53" i="10"/>
  <c r="C51" i="10"/>
  <c r="D52" i="10"/>
  <c r="C52" i="10"/>
  <c r="D58" i="4"/>
  <c r="D57" i="4"/>
  <c r="D56" i="4"/>
  <c r="D55" i="4"/>
  <c r="B17" i="3"/>
  <c r="B18" i="3"/>
  <c r="C17" i="3"/>
  <c r="C18" i="3"/>
  <c r="C54" i="4"/>
  <c r="D53" i="4"/>
  <c r="D52" i="4"/>
  <c r="C51" i="4"/>
  <c r="C6" i="2"/>
  <c r="A7" i="2" s="1"/>
  <c r="AM6" i="6"/>
  <c r="BE8" i="6"/>
  <c r="BC8" i="6"/>
  <c r="BC7" i="6"/>
  <c r="BC6" i="6"/>
  <c r="BE6" i="6"/>
  <c r="BD6" i="6"/>
  <c r="A20" i="2"/>
  <c r="AM11" i="6"/>
  <c r="AM10" i="6"/>
  <c r="AM9" i="6"/>
  <c r="AM8" i="6"/>
  <c r="AM7" i="6"/>
  <c r="AL11" i="6"/>
  <c r="AL10" i="6"/>
  <c r="AL9" i="6"/>
  <c r="AL8" i="6"/>
  <c r="AL7" i="6"/>
  <c r="AL6" i="6"/>
  <c r="AM5" i="6"/>
  <c r="AL5" i="6"/>
  <c r="I5" i="6" l="1"/>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A13" i="2" l="1"/>
  <c r="A15" i="2"/>
  <c r="A18" i="2"/>
  <c r="D32" i="2" s="1"/>
  <c r="AI12" i="6"/>
  <c r="AI11" i="6"/>
  <c r="AI10" i="6"/>
  <c r="AI9" i="6"/>
  <c r="AI8" i="6"/>
  <c r="AI7" i="6"/>
  <c r="AI6" i="6"/>
  <c r="AI5" i="6"/>
  <c r="AI4" i="6"/>
  <c r="AL13" i="6"/>
  <c r="AL12" i="6"/>
  <c r="AM13" i="6"/>
  <c r="AM12" i="6"/>
  <c r="AL4" i="6"/>
  <c r="AM4" i="6"/>
  <c r="BD7" i="6" l="1"/>
  <c r="BE7" i="6"/>
  <c r="D29" i="2"/>
  <c r="A29" i="2"/>
  <c r="AD100" i="6"/>
  <c r="AD99" i="6"/>
  <c r="AD98" i="6"/>
  <c r="AD97" i="6"/>
  <c r="AD96" i="6"/>
  <c r="AD95" i="6"/>
  <c r="AD94" i="6"/>
  <c r="AD93" i="6"/>
  <c r="AD92" i="6"/>
  <c r="AD91" i="6"/>
  <c r="AD90" i="6"/>
  <c r="AD89" i="6"/>
  <c r="AD88" i="6"/>
  <c r="AD87" i="6"/>
  <c r="AD86" i="6"/>
  <c r="AD85" i="6"/>
  <c r="AD84" i="6"/>
  <c r="AD83" i="6"/>
  <c r="AD82" i="6"/>
  <c r="AD81" i="6"/>
  <c r="AD80" i="6"/>
  <c r="AD79" i="6"/>
  <c r="AD78" i="6"/>
  <c r="AD77" i="6"/>
  <c r="AD76" i="6"/>
  <c r="AD75" i="6"/>
  <c r="AD74" i="6"/>
  <c r="AD73" i="6"/>
  <c r="AD72" i="6"/>
  <c r="AD71" i="6"/>
  <c r="AD70" i="6"/>
  <c r="AD69" i="6"/>
  <c r="AD68" i="6"/>
  <c r="AD67" i="6"/>
  <c r="AD66" i="6"/>
  <c r="AD65" i="6"/>
  <c r="AD64" i="6"/>
  <c r="AD63" i="6"/>
  <c r="AD62" i="6"/>
  <c r="AD61" i="6"/>
  <c r="AD60" i="6"/>
  <c r="AD59" i="6"/>
  <c r="AD58" i="6"/>
  <c r="AD57" i="6"/>
  <c r="AD56" i="6"/>
  <c r="AD55" i="6"/>
  <c r="AD54" i="6"/>
  <c r="AD53" i="6"/>
  <c r="AD52" i="6"/>
  <c r="AD51" i="6"/>
  <c r="AD50" i="6"/>
  <c r="AD49" i="6"/>
  <c r="AD48" i="6"/>
  <c r="AD47" i="6"/>
  <c r="AD46" i="6"/>
  <c r="AD45" i="6"/>
  <c r="AD44" i="6"/>
  <c r="AD43" i="6"/>
  <c r="AD42" i="6"/>
  <c r="AD41" i="6"/>
  <c r="AD40" i="6"/>
  <c r="AD39" i="6"/>
  <c r="AD38" i="6"/>
  <c r="AD37" i="6"/>
  <c r="AD36" i="6"/>
  <c r="AD35" i="6"/>
  <c r="AD34" i="6"/>
  <c r="AD33" i="6"/>
  <c r="AD32" i="6"/>
  <c r="AD31" i="6"/>
  <c r="AD30" i="6"/>
  <c r="AD29" i="6"/>
  <c r="AD28" i="6"/>
  <c r="AD27" i="6"/>
  <c r="AD26" i="6"/>
  <c r="AD25" i="6"/>
  <c r="AD24" i="6"/>
  <c r="AD23" i="6"/>
  <c r="AD22" i="6"/>
  <c r="AD21" i="6"/>
  <c r="AD20" i="6"/>
  <c r="AD19" i="6"/>
  <c r="AD18" i="6"/>
  <c r="AD17" i="6"/>
  <c r="AD16" i="6"/>
  <c r="AD15" i="6"/>
  <c r="AD14" i="6"/>
  <c r="AD13" i="6"/>
  <c r="AD12" i="6"/>
  <c r="AD11" i="6"/>
  <c r="AD10" i="6"/>
  <c r="AD9" i="6"/>
  <c r="AE8" i="6"/>
  <c r="AD8" i="6"/>
  <c r="AE7" i="6"/>
  <c r="AD7" i="6"/>
  <c r="AE6" i="6"/>
  <c r="AD6" i="6"/>
  <c r="AE5" i="6"/>
  <c r="AD5" i="6"/>
  <c r="AD4" i="6"/>
  <c r="B19" i="3" l="1"/>
  <c r="C19" i="3"/>
  <c r="D34" i="2"/>
  <c r="AA51" i="6" l="1"/>
  <c r="AA50" i="6"/>
  <c r="AA49" i="6"/>
  <c r="AA48" i="6"/>
  <c r="AA47" i="6"/>
  <c r="AA46" i="6"/>
  <c r="AA45" i="6"/>
  <c r="AA44" i="6"/>
  <c r="AA43" i="6"/>
  <c r="AA42" i="6"/>
  <c r="AA41" i="6"/>
  <c r="AA40" i="6"/>
  <c r="E5" i="3" s="1"/>
  <c r="AA39" i="6"/>
  <c r="AA38" i="6"/>
  <c r="AA37" i="6"/>
  <c r="AA36" i="6"/>
  <c r="AA35" i="6"/>
  <c r="AA34" i="6"/>
  <c r="AA33" i="6"/>
  <c r="AA32" i="6"/>
  <c r="AA31" i="6"/>
  <c r="AA28" i="6"/>
  <c r="AA27" i="6"/>
  <c r="AA26" i="6"/>
  <c r="AA25" i="6"/>
  <c r="AA24" i="6"/>
  <c r="AA23" i="6"/>
  <c r="AA22" i="6"/>
  <c r="AA21" i="6"/>
  <c r="AA20" i="6"/>
  <c r="AA18" i="6"/>
  <c r="AA17" i="6"/>
  <c r="AA16" i="6"/>
  <c r="AA15" i="6"/>
  <c r="AA14" i="6"/>
  <c r="AA13" i="6"/>
  <c r="AA12" i="6"/>
  <c r="AA11" i="6"/>
  <c r="AA10" i="6"/>
  <c r="AA9" i="6"/>
  <c r="AA8" i="6"/>
  <c r="AA7" i="6"/>
  <c r="AA6" i="6"/>
  <c r="AA5" i="6"/>
  <c r="AA4" i="6"/>
  <c r="F24" i="3" l="1"/>
  <c r="F23" i="3"/>
  <c r="F22" i="3" l="1"/>
  <c r="F21" i="3"/>
  <c r="G22" i="3" l="1"/>
  <c r="G21" i="3"/>
  <c r="C14" i="3" l="1"/>
  <c r="CD117" i="3" l="1"/>
  <c r="B25" i="3"/>
  <c r="C25" i="3"/>
  <c r="G27" i="3"/>
  <c r="G26" i="3"/>
  <c r="K23" i="10" l="1"/>
  <c r="K23" i="4"/>
  <c r="C28" i="3"/>
  <c r="C13" i="3"/>
  <c r="B84" i="4" l="1"/>
  <c r="B84" i="10"/>
  <c r="K22" i="4"/>
  <c r="K22" i="10"/>
  <c r="H13" i="2"/>
  <c r="CV3" i="3"/>
  <c r="AP10" i="6"/>
  <c r="G107" i="8" l="1"/>
  <c r="D9" i="8"/>
  <c r="B9" i="8"/>
  <c r="C9" i="8"/>
  <c r="D8" i="8"/>
  <c r="B8" i="8"/>
  <c r="C8" i="8"/>
  <c r="D7" i="8"/>
  <c r="B7" i="8"/>
  <c r="C7" i="8"/>
  <c r="D6" i="8"/>
  <c r="B6" i="8"/>
  <c r="C6" i="8"/>
  <c r="D5" i="8"/>
  <c r="B5" i="8"/>
  <c r="C5" i="8"/>
  <c r="D4" i="8"/>
  <c r="B4" i="8"/>
  <c r="C4" i="8"/>
  <c r="D3" i="8"/>
  <c r="B3" i="8"/>
  <c r="C3" i="8"/>
  <c r="D2" i="8"/>
  <c r="B2" i="8"/>
  <c r="C2" i="8"/>
  <c r="O49" i="6"/>
  <c r="O48" i="6"/>
  <c r="O47" i="6"/>
  <c r="O46" i="6"/>
  <c r="O45" i="6"/>
  <c r="O44" i="6"/>
  <c r="O43" i="6"/>
  <c r="O42" i="6"/>
  <c r="O41" i="6"/>
  <c r="O40" i="6"/>
  <c r="O39" i="6"/>
  <c r="O38" i="6"/>
  <c r="O37" i="6"/>
  <c r="O36" i="6"/>
  <c r="O35" i="6"/>
  <c r="O34" i="6"/>
  <c r="O33" i="6"/>
  <c r="O32" i="6"/>
  <c r="O31" i="6"/>
  <c r="O30" i="6"/>
  <c r="O29" i="6"/>
  <c r="O28" i="6"/>
  <c r="O27" i="6"/>
  <c r="O26" i="6"/>
  <c r="O25" i="6"/>
  <c r="O24" i="6"/>
  <c r="O23" i="6"/>
  <c r="A27" i="6"/>
  <c r="O22" i="6"/>
  <c r="O21" i="6"/>
  <c r="O20" i="6"/>
  <c r="I4" i="6"/>
  <c r="O19" i="6"/>
  <c r="O18" i="6"/>
  <c r="O17" i="6"/>
  <c r="O16" i="6"/>
  <c r="O15" i="6"/>
  <c r="O14" i="6"/>
  <c r="O13" i="6"/>
  <c r="O12" i="6"/>
  <c r="O11" i="6"/>
  <c r="AT14" i="6"/>
  <c r="AR14" i="6"/>
  <c r="O10" i="6"/>
  <c r="AT13" i="6"/>
  <c r="AR13" i="6"/>
  <c r="O9" i="6"/>
  <c r="AT12" i="6"/>
  <c r="AR12" i="6"/>
  <c r="O8" i="6"/>
  <c r="AT11" i="6"/>
  <c r="AR11" i="6"/>
  <c r="O7" i="6"/>
  <c r="AT10" i="6"/>
  <c r="AR10" i="6"/>
  <c r="O6" i="6"/>
  <c r="AT9" i="6"/>
  <c r="AR9" i="6"/>
  <c r="O5" i="6"/>
  <c r="AT8" i="6"/>
  <c r="AR8" i="6"/>
  <c r="O4" i="6"/>
  <c r="AT7" i="6"/>
  <c r="AR7" i="6"/>
  <c r="AT6" i="6"/>
  <c r="D12" i="2"/>
  <c r="D17" i="2"/>
  <c r="BC2" i="6"/>
  <c r="BC1" i="6"/>
  <c r="E14" i="5"/>
  <c r="K14" i="5" s="1"/>
  <c r="E13" i="5"/>
  <c r="K13" i="5" s="1"/>
  <c r="E12" i="5"/>
  <c r="K12" i="5" s="1"/>
  <c r="E11" i="5"/>
  <c r="K11" i="5" s="1"/>
  <c r="E10" i="5"/>
  <c r="K10" i="5" s="1"/>
  <c r="E9" i="5"/>
  <c r="K9" i="5" s="1"/>
  <c r="E8" i="5"/>
  <c r="K8" i="5" s="1"/>
  <c r="E7" i="5"/>
  <c r="J18" i="5"/>
  <c r="I18" i="5"/>
  <c r="AO52" i="3"/>
  <c r="AL52" i="3"/>
  <c r="AG52" i="3"/>
  <c r="AH52" i="3"/>
  <c r="AC52" i="3"/>
  <c r="Z52" i="3"/>
  <c r="AO51" i="3"/>
  <c r="AL51" i="3"/>
  <c r="AG51" i="3"/>
  <c r="AH51" i="3"/>
  <c r="AA51" i="3"/>
  <c r="Z51" i="3"/>
  <c r="AO50" i="3"/>
  <c r="AL50" i="3"/>
  <c r="AG50" i="3"/>
  <c r="AF50" i="3"/>
  <c r="AC50" i="3"/>
  <c r="Z50" i="3"/>
  <c r="AO49" i="3"/>
  <c r="AL49" i="3"/>
  <c r="AG49" i="3"/>
  <c r="AF49" i="3"/>
  <c r="AC49" i="3"/>
  <c r="Z49" i="3"/>
  <c r="AO48" i="3"/>
  <c r="AL48" i="3"/>
  <c r="AG48" i="3"/>
  <c r="AH48" i="3"/>
  <c r="AC48" i="3"/>
  <c r="Z48" i="3"/>
  <c r="AO47" i="3"/>
  <c r="AL47" i="3"/>
  <c r="AG47" i="3"/>
  <c r="AH47" i="3"/>
  <c r="AA47" i="3"/>
  <c r="Z47" i="3"/>
  <c r="AO46" i="3"/>
  <c r="AL46" i="3"/>
  <c r="AG46" i="3"/>
  <c r="AF46" i="3"/>
  <c r="AC46" i="3"/>
  <c r="Z46" i="3"/>
  <c r="AO45" i="3"/>
  <c r="AL45" i="3"/>
  <c r="AG45" i="3"/>
  <c r="AF45" i="3"/>
  <c r="AC45" i="3"/>
  <c r="Z45" i="3"/>
  <c r="AO44" i="3"/>
  <c r="AL44" i="3"/>
  <c r="AG44" i="3"/>
  <c r="AH44" i="3"/>
  <c r="AC44" i="3"/>
  <c r="Z44" i="3"/>
  <c r="AO43" i="3"/>
  <c r="AL43" i="3"/>
  <c r="AI43" i="3"/>
  <c r="AH43" i="3"/>
  <c r="AC43" i="3"/>
  <c r="Z43" i="3"/>
  <c r="AO42" i="3"/>
  <c r="AL42" i="3"/>
  <c r="AI42" i="3"/>
  <c r="AF42" i="3"/>
  <c r="AC42" i="3"/>
  <c r="Z42" i="3"/>
  <c r="AO41" i="3"/>
  <c r="AL41" i="3"/>
  <c r="AG41" i="3"/>
  <c r="AH41" i="3"/>
  <c r="AC41" i="3"/>
  <c r="Z41" i="3"/>
  <c r="AO40" i="3"/>
  <c r="AL40" i="3"/>
  <c r="AG40" i="3"/>
  <c r="AH40" i="3"/>
  <c r="AA40" i="3"/>
  <c r="Z40" i="3"/>
  <c r="AO39" i="3"/>
  <c r="AL39" i="3"/>
  <c r="AG39" i="3"/>
  <c r="AF39" i="3"/>
  <c r="AC39" i="3"/>
  <c r="Z39" i="3"/>
  <c r="AO38" i="3"/>
  <c r="AL38" i="3"/>
  <c r="AG38" i="3"/>
  <c r="AF38" i="3"/>
  <c r="AC38" i="3"/>
  <c r="Z38" i="3"/>
  <c r="AO37" i="3"/>
  <c r="AL37" i="3"/>
  <c r="AG37" i="3"/>
  <c r="AH37" i="3"/>
  <c r="AC37" i="3"/>
  <c r="Z37" i="3"/>
  <c r="AO36" i="3"/>
  <c r="AL36" i="3"/>
  <c r="AG36" i="3"/>
  <c r="AH36" i="3"/>
  <c r="AA36" i="3"/>
  <c r="Z36" i="3"/>
  <c r="AO35" i="3"/>
  <c r="AL35" i="3"/>
  <c r="AI35" i="3"/>
  <c r="AH35" i="3"/>
  <c r="AC35" i="3"/>
  <c r="Z35" i="3"/>
  <c r="AO34" i="3"/>
  <c r="AL34" i="3"/>
  <c r="AG34" i="3"/>
  <c r="AH34" i="3"/>
  <c r="AC34" i="3"/>
  <c r="Z34" i="3"/>
  <c r="AO33" i="3"/>
  <c r="AL33" i="3"/>
  <c r="AG33" i="3"/>
  <c r="AH33" i="3"/>
  <c r="AA33" i="3"/>
  <c r="Z33" i="3"/>
  <c r="AO32" i="3"/>
  <c r="AL32" i="3"/>
  <c r="AG32" i="3"/>
  <c r="AF32" i="3"/>
  <c r="AA32" i="3"/>
  <c r="Z32" i="3"/>
  <c r="AO31" i="3"/>
  <c r="AL31" i="3"/>
  <c r="AG31" i="3"/>
  <c r="AF31" i="3"/>
  <c r="AC31" i="3"/>
  <c r="Z31" i="3"/>
  <c r="AO30" i="3"/>
  <c r="AL30" i="3"/>
  <c r="AG30" i="3"/>
  <c r="AH30" i="3"/>
  <c r="AC30" i="3"/>
  <c r="Z30" i="3"/>
  <c r="AO29" i="3"/>
  <c r="AL29" i="3"/>
  <c r="AG29" i="3"/>
  <c r="AH29" i="3"/>
  <c r="AA29" i="3"/>
  <c r="Z29" i="3"/>
  <c r="AO28" i="3"/>
  <c r="AL28" i="3"/>
  <c r="AI28" i="3"/>
  <c r="AH28" i="3"/>
  <c r="AA28" i="3"/>
  <c r="Z28" i="3"/>
  <c r="AO27" i="3"/>
  <c r="AL27" i="3"/>
  <c r="AG27" i="3"/>
  <c r="AH27" i="3"/>
  <c r="AA27" i="3"/>
  <c r="Z27" i="3"/>
  <c r="AO26" i="3"/>
  <c r="AL26" i="3"/>
  <c r="AI26" i="3"/>
  <c r="AH26" i="3"/>
  <c r="AA26" i="3"/>
  <c r="Z26" i="3"/>
  <c r="AO25" i="3"/>
  <c r="AL25" i="3"/>
  <c r="AI25" i="3"/>
  <c r="AH25" i="3"/>
  <c r="AC25" i="3"/>
  <c r="Z25" i="3"/>
  <c r="AO24" i="3"/>
  <c r="AL24" i="3"/>
  <c r="AG24" i="3"/>
  <c r="AH24" i="3"/>
  <c r="AA24" i="3"/>
  <c r="Z24" i="3"/>
  <c r="AM23" i="3"/>
  <c r="AG23" i="3"/>
  <c r="AH23" i="3"/>
  <c r="AA23" i="3"/>
  <c r="Z23" i="3"/>
  <c r="AO22" i="3"/>
  <c r="AN22" i="3"/>
  <c r="AG22" i="3"/>
  <c r="AA22" i="3"/>
  <c r="AB22" i="3"/>
  <c r="AM21" i="3"/>
  <c r="AL21" i="3"/>
  <c r="AI21" i="3"/>
  <c r="AH21" i="3"/>
  <c r="AA21" i="3"/>
  <c r="AO20" i="3"/>
  <c r="AN20" i="3"/>
  <c r="AG20" i="3"/>
  <c r="AF20" i="3"/>
  <c r="AB20" i="3"/>
  <c r="AO19" i="3"/>
  <c r="AN19" i="3"/>
  <c r="AG19" i="3"/>
  <c r="AF19" i="3"/>
  <c r="AB19" i="3"/>
  <c r="AO18" i="3"/>
  <c r="AN18" i="3"/>
  <c r="AG18" i="3"/>
  <c r="AF18" i="3"/>
  <c r="AC18" i="3"/>
  <c r="Z18" i="3"/>
  <c r="AO17" i="3"/>
  <c r="AL17" i="3"/>
  <c r="AI17" i="3"/>
  <c r="AH17" i="3"/>
  <c r="AC17" i="3"/>
  <c r="Z17" i="3"/>
  <c r="AO16" i="3"/>
  <c r="AL16" i="3"/>
  <c r="AI16" i="3"/>
  <c r="AF16" i="3"/>
  <c r="AC16" i="3"/>
  <c r="Z16" i="3"/>
  <c r="G16" i="3"/>
  <c r="AM15" i="3"/>
  <c r="AI15" i="3"/>
  <c r="AH15" i="3"/>
  <c r="AA15" i="3"/>
  <c r="AB15" i="3"/>
  <c r="C15" i="3"/>
  <c r="AN14" i="3"/>
  <c r="AI14" i="3"/>
  <c r="AF14" i="3"/>
  <c r="AC14" i="3"/>
  <c r="AB14" i="3"/>
  <c r="AO13" i="3"/>
  <c r="AN13" i="3"/>
  <c r="AG13" i="3"/>
  <c r="AC13" i="3"/>
  <c r="AB13" i="3"/>
  <c r="G13" i="3"/>
  <c r="AM12" i="3"/>
  <c r="AL12" i="3"/>
  <c r="AI12" i="3"/>
  <c r="AF12" i="3"/>
  <c r="AC12" i="3"/>
  <c r="G12" i="3"/>
  <c r="AM11" i="3"/>
  <c r="AN11" i="3"/>
  <c r="AI11" i="3"/>
  <c r="AF11" i="3"/>
  <c r="AB11" i="3"/>
  <c r="C11" i="3"/>
  <c r="AO10" i="3"/>
  <c r="AN10" i="3"/>
  <c r="AG10" i="3"/>
  <c r="AH10" i="3"/>
  <c r="AC10" i="3"/>
  <c r="AB10" i="3"/>
  <c r="G10" i="3"/>
  <c r="AO9" i="3"/>
  <c r="AN9" i="3"/>
  <c r="AI9" i="3"/>
  <c r="AF9" i="3"/>
  <c r="AA9" i="3"/>
  <c r="AB9" i="3"/>
  <c r="G9" i="3"/>
  <c r="AO8" i="3"/>
  <c r="AI8" i="3"/>
  <c r="AH8" i="3"/>
  <c r="AC8" i="3"/>
  <c r="AB8" i="3"/>
  <c r="AO7" i="3"/>
  <c r="AI7" i="3"/>
  <c r="AH7" i="3"/>
  <c r="AA7" i="3"/>
  <c r="Z7" i="3"/>
  <c r="D7" i="3"/>
  <c r="C7" i="3"/>
  <c r="B7" i="3"/>
  <c r="E7" i="3" s="1"/>
  <c r="AO6" i="3"/>
  <c r="AL6" i="3"/>
  <c r="AC6" i="3"/>
  <c r="D6" i="3"/>
  <c r="C6" i="3"/>
  <c r="AM5" i="3"/>
  <c r="AN5" i="3"/>
  <c r="AI5" i="3"/>
  <c r="AF5" i="3"/>
  <c r="AB5" i="3"/>
  <c r="D5" i="3"/>
  <c r="C5" i="3"/>
  <c r="AO4" i="3"/>
  <c r="AI4" i="3"/>
  <c r="AF4" i="3"/>
  <c r="AA4" i="3"/>
  <c r="Z4" i="3"/>
  <c r="C4" i="3"/>
  <c r="AN3" i="3"/>
  <c r="AI3" i="3"/>
  <c r="AC3" i="3"/>
  <c r="AB3" i="3"/>
  <c r="C3" i="3"/>
  <c r="CS54" i="3"/>
  <c r="AV1" i="3"/>
  <c r="D8" i="2"/>
  <c r="A25" i="6"/>
  <c r="D23" i="10" l="1"/>
  <c r="D22" i="10"/>
  <c r="K7" i="5"/>
  <c r="K94" i="4"/>
  <c r="C20" i="3"/>
  <c r="B20" i="3"/>
  <c r="D14" i="2" s="1"/>
  <c r="AX7" i="6"/>
  <c r="AW7" i="6"/>
  <c r="C10" i="3" s="1"/>
  <c r="D23" i="4"/>
  <c r="D22" i="4"/>
  <c r="A11" i="2"/>
  <c r="D30" i="2" s="1"/>
  <c r="B27" i="6"/>
  <c r="E4" i="4" s="1"/>
  <c r="D19" i="2"/>
  <c r="D33" i="2"/>
  <c r="AI34" i="3"/>
  <c r="AC29" i="3"/>
  <c r="AG11" i="3"/>
  <c r="AG15" i="3"/>
  <c r="AA17" i="3"/>
  <c r="AO21" i="3"/>
  <c r="AC33" i="3"/>
  <c r="AI48" i="3"/>
  <c r="AG5" i="3"/>
  <c r="AM6" i="3"/>
  <c r="AH9" i="3"/>
  <c r="AN12" i="3"/>
  <c r="AI18" i="3"/>
  <c r="AI24" i="3"/>
  <c r="AB30" i="3"/>
  <c r="AB34" i="3"/>
  <c r="AA37" i="3"/>
  <c r="AC40" i="3"/>
  <c r="AA42" i="3"/>
  <c r="AA44" i="3"/>
  <c r="AI45" i="3"/>
  <c r="AH49" i="3"/>
  <c r="AB41" i="3"/>
  <c r="AH42" i="3"/>
  <c r="AB4" i="3"/>
  <c r="AB7" i="3"/>
  <c r="Z8" i="3"/>
  <c r="Z10" i="3"/>
  <c r="Z14" i="3"/>
  <c r="AL14" i="3"/>
  <c r="AH16" i="3"/>
  <c r="AB17" i="3"/>
  <c r="AH18" i="3"/>
  <c r="AL19" i="3"/>
  <c r="AH20" i="3"/>
  <c r="AN21" i="3"/>
  <c r="AC23" i="3"/>
  <c r="AB24" i="3"/>
  <c r="AF25" i="3"/>
  <c r="AC26" i="3"/>
  <c r="AI27" i="3"/>
  <c r="AG28" i="3"/>
  <c r="AA30" i="3"/>
  <c r="AI31" i="3"/>
  <c r="AH32" i="3"/>
  <c r="AA34" i="3"/>
  <c r="AF35" i="3"/>
  <c r="AC36" i="3"/>
  <c r="AB37" i="3"/>
  <c r="AA38" i="3"/>
  <c r="AI38" i="3"/>
  <c r="AH39" i="3"/>
  <c r="AA41" i="3"/>
  <c r="AG42" i="3"/>
  <c r="AB44" i="3"/>
  <c r="AI44" i="3"/>
  <c r="AH45" i="3"/>
  <c r="AB47" i="3"/>
  <c r="AB48" i="3"/>
  <c r="AI49" i="3"/>
  <c r="AC51" i="3"/>
  <c r="AI52" i="3"/>
  <c r="AC4" i="3"/>
  <c r="AH5" i="3"/>
  <c r="AO5" i="3"/>
  <c r="AN6" i="3"/>
  <c r="AC7" i="3"/>
  <c r="AA8" i="3"/>
  <c r="AA10" i="3"/>
  <c r="R10" i="3"/>
  <c r="AH11" i="3"/>
  <c r="AO11" i="3"/>
  <c r="AA14" i="3"/>
  <c r="Z19" i="3"/>
  <c r="AM19" i="3"/>
  <c r="AI20" i="3"/>
  <c r="AB23" i="3"/>
  <c r="AG25" i="3"/>
  <c r="AB27" i="3"/>
  <c r="AF28" i="3"/>
  <c r="AH31" i="3"/>
  <c r="AG35" i="3"/>
  <c r="AH38" i="3"/>
  <c r="AC47" i="3"/>
  <c r="AB51" i="3"/>
  <c r="AB52" i="3"/>
  <c r="AA48" i="3"/>
  <c r="AA52" i="3"/>
  <c r="Z3" i="3"/>
  <c r="AA25" i="3"/>
  <c r="AF26" i="3"/>
  <c r="AC27" i="3"/>
  <c r="AF29" i="3"/>
  <c r="AB31" i="3"/>
  <c r="AF33" i="3"/>
  <c r="AA35" i="3"/>
  <c r="AF36" i="3"/>
  <c r="AB38" i="3"/>
  <c r="AI39" i="3"/>
  <c r="AF40" i="3"/>
  <c r="AB42" i="3"/>
  <c r="AG43" i="3"/>
  <c r="AA45" i="3"/>
  <c r="AH46" i="3"/>
  <c r="AA49" i="3"/>
  <c r="AH50" i="3"/>
  <c r="AM10" i="3"/>
  <c r="Z15" i="3"/>
  <c r="AG16" i="3"/>
  <c r="AF43" i="3"/>
  <c r="AF21" i="3"/>
  <c r="AC24" i="3"/>
  <c r="AL13" i="3"/>
  <c r="AA16" i="3"/>
  <c r="AA18" i="3"/>
  <c r="AG21" i="3"/>
  <c r="AB28" i="3"/>
  <c r="AB35" i="3"/>
  <c r="AI46" i="3"/>
  <c r="AF47" i="3"/>
  <c r="AB49" i="3"/>
  <c r="AI50" i="3"/>
  <c r="AF51" i="3"/>
  <c r="AL22" i="3"/>
  <c r="AL3" i="3"/>
  <c r="Z9" i="3"/>
  <c r="AO12" i="3"/>
  <c r="AF17" i="3"/>
  <c r="AL20" i="3"/>
  <c r="AB45" i="3"/>
  <c r="AF10" i="3"/>
  <c r="AL11" i="3"/>
  <c r="AG12" i="3"/>
  <c r="AG17" i="3"/>
  <c r="AB18" i="3"/>
  <c r="AI19" i="3"/>
  <c r="AM20" i="3"/>
  <c r="AC22" i="3"/>
  <c r="AI23" i="3"/>
  <c r="AC28" i="3"/>
  <c r="AI29" i="3"/>
  <c r="AF30" i="3"/>
  <c r="AB32" i="3"/>
  <c r="AI33" i="3"/>
  <c r="AF34" i="3"/>
  <c r="AI36" i="3"/>
  <c r="AF37" i="3"/>
  <c r="AB39" i="3"/>
  <c r="AI40" i="3"/>
  <c r="AF41" i="3"/>
  <c r="AA43" i="3"/>
  <c r="AF44" i="3"/>
  <c r="AA46" i="3"/>
  <c r="AA50" i="3"/>
  <c r="AG9" i="3"/>
  <c r="AA31" i="3"/>
  <c r="AM22" i="3"/>
  <c r="AA3" i="3"/>
  <c r="Z5" i="3"/>
  <c r="Z20" i="3"/>
  <c r="AG26" i="3"/>
  <c r="AA39" i="3"/>
  <c r="AM13" i="3"/>
  <c r="AB16" i="3"/>
  <c r="AM18" i="3"/>
  <c r="AH4" i="3"/>
  <c r="AG8" i="3"/>
  <c r="AC9" i="3"/>
  <c r="AH12" i="3"/>
  <c r="AA13" i="3"/>
  <c r="AF24" i="3"/>
  <c r="AF27" i="3"/>
  <c r="AC32" i="3"/>
  <c r="AB43" i="3"/>
  <c r="AB46" i="3"/>
  <c r="AI47" i="3"/>
  <c r="AF48" i="3"/>
  <c r="AB50" i="3"/>
  <c r="AI51" i="3"/>
  <c r="AF52" i="3"/>
  <c r="AI32" i="3"/>
  <c r="AG7" i="3"/>
  <c r="AC15" i="3"/>
  <c r="AH19" i="3"/>
  <c r="AB25" i="3"/>
  <c r="AG4" i="3"/>
  <c r="AL5" i="3"/>
  <c r="Z11" i="3"/>
  <c r="AI10" i="3"/>
  <c r="AB26" i="3"/>
  <c r="AB29" i="3"/>
  <c r="AI30" i="3"/>
  <c r="AB33" i="3"/>
  <c r="AB36" i="3"/>
  <c r="AI37" i="3"/>
  <c r="AB40" i="3"/>
  <c r="AI41" i="3"/>
  <c r="AB6" i="3"/>
  <c r="Z6" i="3"/>
  <c r="AL15" i="3"/>
  <c r="AN15" i="3"/>
  <c r="AG6" i="3"/>
  <c r="AI6" i="3"/>
  <c r="AH3" i="3"/>
  <c r="AF3" i="3"/>
  <c r="AN4" i="3"/>
  <c r="AL4" i="3"/>
  <c r="AL8" i="3"/>
  <c r="AN8" i="3"/>
  <c r="Z12" i="3"/>
  <c r="AB12" i="3"/>
  <c r="AM3" i="3"/>
  <c r="AO3" i="3"/>
  <c r="AA11" i="3"/>
  <c r="AC11" i="3"/>
  <c r="AM14" i="3"/>
  <c r="AO14" i="3"/>
  <c r="AF13" i="3"/>
  <c r="AH13" i="3"/>
  <c r="AC5" i="3"/>
  <c r="AA5" i="3"/>
  <c r="AF6" i="3"/>
  <c r="AH6" i="3"/>
  <c r="AA20" i="3"/>
  <c r="AC20" i="3"/>
  <c r="AL7" i="3"/>
  <c r="AN7" i="3"/>
  <c r="AF22" i="3"/>
  <c r="AH22" i="3"/>
  <c r="AL23" i="3"/>
  <c r="AN23" i="3"/>
  <c r="AA19" i="3"/>
  <c r="AC19" i="3"/>
  <c r="Z21" i="3"/>
  <c r="AB21" i="3"/>
  <c r="AM7" i="3"/>
  <c r="AM8" i="3"/>
  <c r="AL9" i="3"/>
  <c r="AA12" i="3"/>
  <c r="AG3" i="3"/>
  <c r="AM4" i="3"/>
  <c r="AA6" i="3"/>
  <c r="AF7" i="3"/>
  <c r="AF8" i="3"/>
  <c r="AM9" i="3"/>
  <c r="AL10" i="3"/>
  <c r="Z13" i="3"/>
  <c r="AG14" i="3"/>
  <c r="AF15" i="3"/>
  <c r="AM16" i="3"/>
  <c r="AM17" i="3"/>
  <c r="AL18" i="3"/>
  <c r="Z22" i="3"/>
  <c r="AF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I13" i="3"/>
  <c r="AH14" i="3"/>
  <c r="AO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O15" i="3"/>
  <c r="AN16" i="3"/>
  <c r="AN17" i="3"/>
  <c r="AC21" i="3"/>
  <c r="AI22" i="3"/>
  <c r="J16" i="5"/>
  <c r="D15" i="2"/>
  <c r="C9" i="3"/>
  <c r="C8" i="3"/>
  <c r="R7" i="3"/>
  <c r="C12" i="3"/>
  <c r="K18" i="5"/>
  <c r="CV5" i="3"/>
  <c r="CV4" i="3"/>
  <c r="CV7" i="3"/>
  <c r="CV10" i="3"/>
  <c r="CV11" i="3"/>
  <c r="S3" i="3"/>
  <c r="T4" i="3"/>
  <c r="S5" i="3"/>
  <c r="V8" i="3"/>
  <c r="Q9" i="3"/>
  <c r="CV21" i="3"/>
  <c r="CV26" i="3"/>
  <c r="CV30" i="3"/>
  <c r="CV34" i="3"/>
  <c r="CV38" i="3"/>
  <c r="CV42" i="3"/>
  <c r="CV46" i="3"/>
  <c r="CV50" i="3"/>
  <c r="CV6" i="3"/>
  <c r="CV8" i="3"/>
  <c r="CV9" i="3"/>
  <c r="CV12" i="3"/>
  <c r="CV17" i="3"/>
  <c r="CV18" i="3"/>
  <c r="CV19" i="3"/>
  <c r="CV23" i="3"/>
  <c r="CV24" i="3"/>
  <c r="CV28" i="3"/>
  <c r="CV32" i="3"/>
  <c r="CV36" i="3"/>
  <c r="CV40" i="3"/>
  <c r="CV44" i="3"/>
  <c r="CV48" i="3"/>
  <c r="V10" i="3"/>
  <c r="Q3" i="3"/>
  <c r="U3" i="3"/>
  <c r="R4" i="3"/>
  <c r="V4" i="3"/>
  <c r="Q5" i="3"/>
  <c r="U5" i="3"/>
  <c r="S6" i="3"/>
  <c r="V7" i="3"/>
  <c r="H16" i="5"/>
  <c r="CV13" i="3"/>
  <c r="CV14" i="3"/>
  <c r="CV15" i="3"/>
  <c r="CV16" i="3"/>
  <c r="CV20" i="3"/>
  <c r="CV22" i="3"/>
  <c r="CV25" i="3"/>
  <c r="CV27" i="3"/>
  <c r="CV29" i="3"/>
  <c r="CV31" i="3"/>
  <c r="CV33" i="3"/>
  <c r="CV35" i="3"/>
  <c r="CV37" i="3"/>
  <c r="CV39" i="3"/>
  <c r="CV41" i="3"/>
  <c r="CV43" i="3"/>
  <c r="CV45" i="3"/>
  <c r="CV47" i="3"/>
  <c r="CV49" i="3"/>
  <c r="CV51" i="3"/>
  <c r="CV53" i="3"/>
  <c r="CV55" i="3"/>
  <c r="CV57" i="3"/>
  <c r="CV59" i="3"/>
  <c r="CV61" i="3"/>
  <c r="CV63" i="3"/>
  <c r="CV65" i="3"/>
  <c r="CV67" i="3"/>
  <c r="CV69" i="3"/>
  <c r="CV71" i="3"/>
  <c r="CV73" i="3"/>
  <c r="CV75" i="3"/>
  <c r="CV77" i="3"/>
  <c r="CV79" i="3"/>
  <c r="CV81" i="3"/>
  <c r="CV83" i="3"/>
  <c r="CV85" i="3"/>
  <c r="CV87" i="3"/>
  <c r="CV89" i="3"/>
  <c r="CV91" i="3"/>
  <c r="CV93" i="3"/>
  <c r="CV95" i="3"/>
  <c r="CV97" i="3"/>
  <c r="CV99" i="3"/>
  <c r="CV101" i="3"/>
  <c r="CV103" i="3"/>
  <c r="CV52" i="3"/>
  <c r="CV54" i="3"/>
  <c r="CV56" i="3"/>
  <c r="CV58" i="3"/>
  <c r="CV60" i="3"/>
  <c r="CV62" i="3"/>
  <c r="CV64" i="3"/>
  <c r="CV66" i="3"/>
  <c r="CV68" i="3"/>
  <c r="CV70" i="3"/>
  <c r="CV72" i="3"/>
  <c r="CV74" i="3"/>
  <c r="CV76" i="3"/>
  <c r="CV78" i="3"/>
  <c r="CV80" i="3"/>
  <c r="CV82" i="3"/>
  <c r="CV84" i="3"/>
  <c r="CV86" i="3"/>
  <c r="CV88" i="3"/>
  <c r="CV90" i="3"/>
  <c r="CV92" i="3"/>
  <c r="CV94" i="3"/>
  <c r="CV96" i="3"/>
  <c r="CV98" i="3"/>
  <c r="CV100" i="3"/>
  <c r="CV102" i="3"/>
  <c r="R3" i="3"/>
  <c r="T3" i="3"/>
  <c r="V3" i="3"/>
  <c r="Q4" i="3"/>
  <c r="S4" i="3"/>
  <c r="U4" i="3"/>
  <c r="R5" i="3"/>
  <c r="T5" i="3"/>
  <c r="V5" i="3"/>
  <c r="Q6" i="3"/>
  <c r="U6" i="3"/>
  <c r="T7" i="3"/>
  <c r="R8" i="3"/>
  <c r="U9" i="3"/>
  <c r="D9" i="2"/>
  <c r="D10" i="2"/>
  <c r="U52" i="3"/>
  <c r="S52" i="3"/>
  <c r="Q52" i="3"/>
  <c r="V51" i="3"/>
  <c r="T51" i="3"/>
  <c r="R51" i="3"/>
  <c r="U50" i="3"/>
  <c r="S50" i="3"/>
  <c r="Q50" i="3"/>
  <c r="V49" i="3"/>
  <c r="T49" i="3"/>
  <c r="R49" i="3"/>
  <c r="U48" i="3"/>
  <c r="S48" i="3"/>
  <c r="Q48" i="3"/>
  <c r="V47" i="3"/>
  <c r="T47" i="3"/>
  <c r="R47" i="3"/>
  <c r="U46" i="3"/>
  <c r="S46" i="3"/>
  <c r="Q46" i="3"/>
  <c r="V45" i="3"/>
  <c r="T45" i="3"/>
  <c r="R45" i="3"/>
  <c r="U44" i="3"/>
  <c r="S44" i="3"/>
  <c r="Q44" i="3"/>
  <c r="V43" i="3"/>
  <c r="T43" i="3"/>
  <c r="R43" i="3"/>
  <c r="U42" i="3"/>
  <c r="S42" i="3"/>
  <c r="Q42" i="3"/>
  <c r="V41" i="3"/>
  <c r="T41" i="3"/>
  <c r="R41" i="3"/>
  <c r="U40" i="3"/>
  <c r="S40" i="3"/>
  <c r="Q40" i="3"/>
  <c r="V39" i="3"/>
  <c r="T39" i="3"/>
  <c r="R39" i="3"/>
  <c r="U38" i="3"/>
  <c r="S38" i="3"/>
  <c r="Q38" i="3"/>
  <c r="V37" i="3"/>
  <c r="T37" i="3"/>
  <c r="R37" i="3"/>
  <c r="U36" i="3"/>
  <c r="S36" i="3"/>
  <c r="Q36" i="3"/>
  <c r="V35" i="3"/>
  <c r="T35" i="3"/>
  <c r="R35" i="3"/>
  <c r="U34" i="3"/>
  <c r="S34" i="3"/>
  <c r="Q34" i="3"/>
  <c r="V33" i="3"/>
  <c r="T33" i="3"/>
  <c r="R33" i="3"/>
  <c r="U32" i="3"/>
  <c r="S32" i="3"/>
  <c r="Q32" i="3"/>
  <c r="V31" i="3"/>
  <c r="T31" i="3"/>
  <c r="R31" i="3"/>
  <c r="U30" i="3"/>
  <c r="S30" i="3"/>
  <c r="Q30" i="3"/>
  <c r="V29" i="3"/>
  <c r="T29" i="3"/>
  <c r="R29" i="3"/>
  <c r="U28" i="3"/>
  <c r="S28" i="3"/>
  <c r="Q28" i="3"/>
  <c r="V27" i="3"/>
  <c r="T27" i="3"/>
  <c r="R27" i="3"/>
  <c r="U26" i="3"/>
  <c r="S26" i="3"/>
  <c r="Q26" i="3"/>
  <c r="V25" i="3"/>
  <c r="T25" i="3"/>
  <c r="R25" i="3"/>
  <c r="V52" i="3"/>
  <c r="R52" i="3"/>
  <c r="U51" i="3"/>
  <c r="Q51" i="3"/>
  <c r="V50" i="3"/>
  <c r="R50" i="3"/>
  <c r="U49" i="3"/>
  <c r="Q49" i="3"/>
  <c r="V48" i="3"/>
  <c r="R48" i="3"/>
  <c r="U47" i="3"/>
  <c r="Q47" i="3"/>
  <c r="V46" i="3"/>
  <c r="R46" i="3"/>
  <c r="U45" i="3"/>
  <c r="Q45" i="3"/>
  <c r="V44" i="3"/>
  <c r="R44" i="3"/>
  <c r="U43" i="3"/>
  <c r="Q43" i="3"/>
  <c r="V42" i="3"/>
  <c r="R42" i="3"/>
  <c r="U41" i="3"/>
  <c r="Q41" i="3"/>
  <c r="V40" i="3"/>
  <c r="R40" i="3"/>
  <c r="U39" i="3"/>
  <c r="Q39" i="3"/>
  <c r="V38" i="3"/>
  <c r="R38" i="3"/>
  <c r="U37" i="3"/>
  <c r="Q37" i="3"/>
  <c r="V36" i="3"/>
  <c r="R36" i="3"/>
  <c r="U35" i="3"/>
  <c r="Q35" i="3"/>
  <c r="V34" i="3"/>
  <c r="R34" i="3"/>
  <c r="U33" i="3"/>
  <c r="Q33" i="3"/>
  <c r="V32" i="3"/>
  <c r="R32" i="3"/>
  <c r="U31" i="3"/>
  <c r="Q31" i="3"/>
  <c r="V30" i="3"/>
  <c r="R30" i="3"/>
  <c r="U29" i="3"/>
  <c r="Q29" i="3"/>
  <c r="V28" i="3"/>
  <c r="R28" i="3"/>
  <c r="U27" i="3"/>
  <c r="Q27" i="3"/>
  <c r="V26" i="3"/>
  <c r="R26" i="3"/>
  <c r="U25" i="3"/>
  <c r="Q25" i="3"/>
  <c r="V24" i="3"/>
  <c r="T24" i="3"/>
  <c r="R24" i="3"/>
  <c r="V23" i="3"/>
  <c r="T23" i="3"/>
  <c r="R23" i="3"/>
  <c r="U22" i="3"/>
  <c r="S22" i="3"/>
  <c r="Q22" i="3"/>
  <c r="V21" i="3"/>
  <c r="T21" i="3"/>
  <c r="R21" i="3"/>
  <c r="U20" i="3"/>
  <c r="S20" i="3"/>
  <c r="Q20" i="3"/>
  <c r="U19" i="3"/>
  <c r="S19" i="3"/>
  <c r="Q19" i="3"/>
  <c r="U18" i="3"/>
  <c r="S18" i="3"/>
  <c r="Q18" i="3"/>
  <c r="V17" i="3"/>
  <c r="T17" i="3"/>
  <c r="R17" i="3"/>
  <c r="V16" i="3"/>
  <c r="T16" i="3"/>
  <c r="R16" i="3"/>
  <c r="V15" i="3"/>
  <c r="T15" i="3"/>
  <c r="R15" i="3"/>
  <c r="V14" i="3"/>
  <c r="T14" i="3"/>
  <c r="R14" i="3"/>
  <c r="V13" i="3"/>
  <c r="T13" i="3"/>
  <c r="R13" i="3"/>
  <c r="U12" i="3"/>
  <c r="S12" i="3"/>
  <c r="Q12" i="3"/>
  <c r="V11" i="3"/>
  <c r="T11" i="3"/>
  <c r="T52" i="3"/>
  <c r="S51" i="3"/>
  <c r="T50" i="3"/>
  <c r="S49" i="3"/>
  <c r="T48" i="3"/>
  <c r="S47" i="3"/>
  <c r="T46" i="3"/>
  <c r="S45" i="3"/>
  <c r="T44" i="3"/>
  <c r="S43" i="3"/>
  <c r="T42" i="3"/>
  <c r="S41" i="3"/>
  <c r="T40" i="3"/>
  <c r="S39" i="3"/>
  <c r="T38" i="3"/>
  <c r="S37" i="3"/>
  <c r="T36" i="3"/>
  <c r="S35" i="3"/>
  <c r="T34" i="3"/>
  <c r="S33" i="3"/>
  <c r="T32" i="3"/>
  <c r="S31" i="3"/>
  <c r="T30" i="3"/>
  <c r="S29" i="3"/>
  <c r="T28" i="3"/>
  <c r="S27" i="3"/>
  <c r="T26" i="3"/>
  <c r="S25" i="3"/>
  <c r="U24" i="3"/>
  <c r="S24" i="3"/>
  <c r="Q24" i="3"/>
  <c r="U23" i="3"/>
  <c r="S23" i="3"/>
  <c r="Q23" i="3"/>
  <c r="V22" i="3"/>
  <c r="T22" i="3"/>
  <c r="R22" i="3"/>
  <c r="U21" i="3"/>
  <c r="S21" i="3"/>
  <c r="Q21" i="3"/>
  <c r="V20" i="3"/>
  <c r="T20" i="3"/>
  <c r="R20" i="3"/>
  <c r="V19" i="3"/>
  <c r="T19" i="3"/>
  <c r="R19" i="3"/>
  <c r="V18" i="3"/>
  <c r="T18" i="3"/>
  <c r="R18" i="3"/>
  <c r="U17" i="3"/>
  <c r="S17" i="3"/>
  <c r="Q17" i="3"/>
  <c r="U16" i="3"/>
  <c r="S16" i="3"/>
  <c r="Q16" i="3"/>
  <c r="U15" i="3"/>
  <c r="S15" i="3"/>
  <c r="Q15" i="3"/>
  <c r="U14" i="3"/>
  <c r="S14" i="3"/>
  <c r="Q14" i="3"/>
  <c r="U13" i="3"/>
  <c r="S13" i="3"/>
  <c r="Q13" i="3"/>
  <c r="V12" i="3"/>
  <c r="T12" i="3"/>
  <c r="R12" i="3"/>
  <c r="U11" i="3"/>
  <c r="S11" i="3"/>
  <c r="Q11" i="3"/>
  <c r="U10" i="3"/>
  <c r="S10" i="3"/>
  <c r="Q10" i="3"/>
  <c r="V9" i="3"/>
  <c r="T9" i="3"/>
  <c r="R9" i="3"/>
  <c r="U8" i="3"/>
  <c r="S8" i="3"/>
  <c r="Q8" i="3"/>
  <c r="U7" i="3"/>
  <c r="S7" i="3"/>
  <c r="Q7" i="3"/>
  <c r="V6" i="3"/>
  <c r="T6" i="3"/>
  <c r="R6" i="3"/>
  <c r="T8" i="3"/>
  <c r="S9" i="3"/>
  <c r="T10" i="3"/>
  <c r="R11" i="3"/>
  <c r="CS3" i="3"/>
  <c r="CT3" i="3" s="1"/>
  <c r="C36" i="6" s="1"/>
  <c r="CS4" i="3"/>
  <c r="CT4" i="3" s="1"/>
  <c r="CT54" i="3"/>
  <c r="CU54" i="3"/>
  <c r="AL56" i="3"/>
  <c r="U56" i="3"/>
  <c r="AN56" i="3"/>
  <c r="CS5" i="3"/>
  <c r="CS6" i="3"/>
  <c r="CS7" i="3"/>
  <c r="CS11" i="3"/>
  <c r="CS12" i="3"/>
  <c r="CS13" i="3"/>
  <c r="CS15" i="3"/>
  <c r="CS17" i="3"/>
  <c r="CS18" i="3"/>
  <c r="CS20" i="3"/>
  <c r="CS21" i="3"/>
  <c r="CS22" i="3"/>
  <c r="CS23" i="3"/>
  <c r="CS25" i="3"/>
  <c r="CS26" i="3"/>
  <c r="CS27" i="3"/>
  <c r="CS28" i="3"/>
  <c r="CS29" i="3"/>
  <c r="CS30" i="3"/>
  <c r="CS31" i="3"/>
  <c r="CS32" i="3"/>
  <c r="CS33" i="3"/>
  <c r="CS34" i="3"/>
  <c r="CS35" i="3"/>
  <c r="CS36" i="3"/>
  <c r="CS37" i="3"/>
  <c r="CS38" i="3"/>
  <c r="CS39" i="3"/>
  <c r="CS40" i="3"/>
  <c r="CS41" i="3"/>
  <c r="CS42" i="3"/>
  <c r="CS43" i="3"/>
  <c r="CS44" i="3"/>
  <c r="CS45" i="3"/>
  <c r="CS46" i="3"/>
  <c r="CS47" i="3"/>
  <c r="CS48" i="3"/>
  <c r="CS49" i="3"/>
  <c r="CS50" i="3"/>
  <c r="CS51" i="3"/>
  <c r="CS52" i="3"/>
  <c r="CS53" i="3"/>
  <c r="CS103" i="3"/>
  <c r="CS102" i="3"/>
  <c r="CS101" i="3"/>
  <c r="CS100" i="3"/>
  <c r="CS99" i="3"/>
  <c r="CS98" i="3"/>
  <c r="CS97" i="3"/>
  <c r="CS96" i="3"/>
  <c r="CS95" i="3"/>
  <c r="CS93" i="3"/>
  <c r="CS94" i="3"/>
  <c r="CS92" i="3"/>
  <c r="CS91" i="3"/>
  <c r="CS90" i="3"/>
  <c r="CS89" i="3"/>
  <c r="CS88" i="3"/>
  <c r="CS87" i="3"/>
  <c r="CS86" i="3"/>
  <c r="CS85" i="3"/>
  <c r="CS84" i="3"/>
  <c r="CS83" i="3"/>
  <c r="CS82" i="3"/>
  <c r="CS81" i="3"/>
  <c r="CS80" i="3"/>
  <c r="CS79" i="3"/>
  <c r="CS78" i="3"/>
  <c r="CS77" i="3"/>
  <c r="CS76" i="3"/>
  <c r="CS75" i="3"/>
  <c r="CS74" i="3"/>
  <c r="CS73" i="3"/>
  <c r="CS72" i="3"/>
  <c r="CS71" i="3"/>
  <c r="CS70" i="3"/>
  <c r="CS69" i="3"/>
  <c r="CS68" i="3"/>
  <c r="CS67" i="3"/>
  <c r="CS66" i="3"/>
  <c r="CS65" i="3"/>
  <c r="CS64" i="3"/>
  <c r="CS63" i="3"/>
  <c r="CS62" i="3"/>
  <c r="CS61" i="3"/>
  <c r="CS60" i="3"/>
  <c r="CS59" i="3"/>
  <c r="CS58" i="3"/>
  <c r="CS57" i="3"/>
  <c r="CS56" i="3"/>
  <c r="CS8" i="3"/>
  <c r="CS9" i="3"/>
  <c r="CS10" i="3"/>
  <c r="CS14" i="3"/>
  <c r="CS16" i="3"/>
  <c r="CS19" i="3"/>
  <c r="CS24" i="3"/>
  <c r="CS55" i="3"/>
  <c r="B25" i="6"/>
  <c r="Z103" i="8"/>
  <c r="C242" i="3" s="1"/>
  <c r="K103" i="8"/>
  <c r="C136" i="3" s="1"/>
  <c r="G103" i="8"/>
  <c r="AS103" i="3" s="1"/>
  <c r="Z102" i="8"/>
  <c r="C241" i="3" s="1"/>
  <c r="K102" i="8"/>
  <c r="C135" i="3" s="1"/>
  <c r="G102" i="8"/>
  <c r="AS102" i="3" s="1"/>
  <c r="Z101" i="8"/>
  <c r="C240" i="3" s="1"/>
  <c r="K101" i="8"/>
  <c r="C134" i="3" s="1"/>
  <c r="G101" i="8"/>
  <c r="AS101" i="3" s="1"/>
  <c r="Z100" i="8"/>
  <c r="C239" i="3" s="1"/>
  <c r="K100" i="8"/>
  <c r="C133" i="3" s="1"/>
  <c r="G100" i="8"/>
  <c r="AS100" i="3" s="1"/>
  <c r="Z99" i="8"/>
  <c r="C238" i="3" s="1"/>
  <c r="K99" i="8"/>
  <c r="C132" i="3" s="1"/>
  <c r="G99" i="8"/>
  <c r="AS99" i="3" s="1"/>
  <c r="Z98" i="8"/>
  <c r="C237" i="3" s="1"/>
  <c r="K98" i="8"/>
  <c r="C131" i="3" s="1"/>
  <c r="G98" i="8"/>
  <c r="AS98" i="3" s="1"/>
  <c r="Z97" i="8"/>
  <c r="C236" i="3" s="1"/>
  <c r="K97" i="8"/>
  <c r="C130" i="3" s="1"/>
  <c r="G97" i="8"/>
  <c r="AS97" i="3" s="1"/>
  <c r="Z96" i="8"/>
  <c r="C235" i="3" s="1"/>
  <c r="K96" i="8"/>
  <c r="C129" i="3" s="1"/>
  <c r="G96" i="8"/>
  <c r="AS96" i="3" s="1"/>
  <c r="Z95" i="8"/>
  <c r="C234" i="3" s="1"/>
  <c r="K95" i="8"/>
  <c r="C128" i="3" s="1"/>
  <c r="G95" i="8"/>
  <c r="AS95" i="3" s="1"/>
  <c r="Z94" i="8"/>
  <c r="C233" i="3" s="1"/>
  <c r="K94" i="8"/>
  <c r="C127" i="3" s="1"/>
  <c r="G94" i="8"/>
  <c r="AS94" i="3" s="1"/>
  <c r="Z93" i="8"/>
  <c r="C232" i="3" s="1"/>
  <c r="K93" i="8"/>
  <c r="C126" i="3" s="1"/>
  <c r="G93" i="8"/>
  <c r="AS93" i="3" s="1"/>
  <c r="Z92" i="8"/>
  <c r="C231" i="3" s="1"/>
  <c r="K92" i="8"/>
  <c r="C125" i="3" s="1"/>
  <c r="G92" i="8"/>
  <c r="AS92" i="3" s="1"/>
  <c r="Z91" i="8"/>
  <c r="C230" i="3" s="1"/>
  <c r="K91" i="8"/>
  <c r="C124" i="3" s="1"/>
  <c r="G91" i="8"/>
  <c r="AS91" i="3" s="1"/>
  <c r="Z90" i="8"/>
  <c r="C229" i="3" s="1"/>
  <c r="K90" i="8"/>
  <c r="C123" i="3" s="1"/>
  <c r="G90" i="8"/>
  <c r="AS90" i="3" s="1"/>
  <c r="Z89" i="8"/>
  <c r="C228" i="3" s="1"/>
  <c r="K89" i="8"/>
  <c r="C122" i="3" s="1"/>
  <c r="G89" i="8"/>
  <c r="AS89" i="3" s="1"/>
  <c r="Z88" i="8"/>
  <c r="C227" i="3" s="1"/>
  <c r="K88" i="8"/>
  <c r="C121" i="3" s="1"/>
  <c r="G88" i="8"/>
  <c r="AS88" i="3" s="1"/>
  <c r="Z87" i="8"/>
  <c r="C226" i="3" s="1"/>
  <c r="K87" i="8"/>
  <c r="C120" i="3" s="1"/>
  <c r="G87" i="8"/>
  <c r="AS87" i="3" s="1"/>
  <c r="Z86" i="8"/>
  <c r="C225" i="3" s="1"/>
  <c r="K86" i="8"/>
  <c r="C119" i="3" s="1"/>
  <c r="G86" i="8"/>
  <c r="AS86" i="3" s="1"/>
  <c r="Z85" i="8"/>
  <c r="C224" i="3" s="1"/>
  <c r="K85" i="8"/>
  <c r="C118" i="3" s="1"/>
  <c r="G85" i="8"/>
  <c r="AS85" i="3" s="1"/>
  <c r="Z84" i="8"/>
  <c r="C223" i="3" s="1"/>
  <c r="K84" i="8"/>
  <c r="C117" i="3" s="1"/>
  <c r="G84" i="8"/>
  <c r="AS84" i="3" s="1"/>
  <c r="Z83" i="8"/>
  <c r="C222" i="3" s="1"/>
  <c r="K83" i="8"/>
  <c r="C116" i="3" s="1"/>
  <c r="G83" i="8"/>
  <c r="AS83" i="3" s="1"/>
  <c r="Z82" i="8"/>
  <c r="C221" i="3" s="1"/>
  <c r="K82" i="8"/>
  <c r="C115" i="3" s="1"/>
  <c r="G82" i="8"/>
  <c r="AS82" i="3" s="1"/>
  <c r="Z81" i="8"/>
  <c r="C220" i="3" s="1"/>
  <c r="K81" i="8"/>
  <c r="C114" i="3" s="1"/>
  <c r="G81" i="8"/>
  <c r="AS81" i="3" s="1"/>
  <c r="Z80" i="8"/>
  <c r="C219" i="3" s="1"/>
  <c r="K80" i="8"/>
  <c r="C113" i="3" s="1"/>
  <c r="G80" i="8"/>
  <c r="AS80" i="3" s="1"/>
  <c r="Z79" i="8"/>
  <c r="C218" i="3" s="1"/>
  <c r="K79" i="8"/>
  <c r="C112" i="3" s="1"/>
  <c r="G79" i="8"/>
  <c r="AS79" i="3" s="1"/>
  <c r="Z78" i="8"/>
  <c r="C217" i="3" s="1"/>
  <c r="K78" i="8"/>
  <c r="C111" i="3" s="1"/>
  <c r="G78" i="8"/>
  <c r="AS78" i="3" s="1"/>
  <c r="Z77" i="8"/>
  <c r="C216" i="3" s="1"/>
  <c r="K77" i="8"/>
  <c r="C110" i="3" s="1"/>
  <c r="Y103" i="8"/>
  <c r="B242" i="3" s="1"/>
  <c r="J103" i="8"/>
  <c r="B136" i="3" s="1"/>
  <c r="F103" i="8"/>
  <c r="AR103" i="3" s="1"/>
  <c r="Y102" i="8"/>
  <c r="B241" i="3" s="1"/>
  <c r="J102" i="8"/>
  <c r="B135" i="3" s="1"/>
  <c r="F102" i="8"/>
  <c r="AR102" i="3" s="1"/>
  <c r="Y101" i="8"/>
  <c r="B240" i="3" s="1"/>
  <c r="J101" i="8"/>
  <c r="B134" i="3" s="1"/>
  <c r="F101" i="8"/>
  <c r="AR101" i="3" s="1"/>
  <c r="Y100" i="8"/>
  <c r="B239" i="3" s="1"/>
  <c r="J100" i="8"/>
  <c r="B133" i="3" s="1"/>
  <c r="F100" i="8"/>
  <c r="AR100" i="3" s="1"/>
  <c r="Y99" i="8"/>
  <c r="B238" i="3" s="1"/>
  <c r="J99" i="8"/>
  <c r="B132" i="3" s="1"/>
  <c r="F99" i="8"/>
  <c r="AR99" i="3" s="1"/>
  <c r="Y98" i="8"/>
  <c r="B237" i="3" s="1"/>
  <c r="J98" i="8"/>
  <c r="B131" i="3" s="1"/>
  <c r="F98" i="8"/>
  <c r="AR98" i="3" s="1"/>
  <c r="Y97" i="8"/>
  <c r="B236" i="3" s="1"/>
  <c r="J97" i="8"/>
  <c r="B130" i="3" s="1"/>
  <c r="F97" i="8"/>
  <c r="AR97" i="3" s="1"/>
  <c r="Y96" i="8"/>
  <c r="B235" i="3" s="1"/>
  <c r="J96" i="8"/>
  <c r="B129" i="3" s="1"/>
  <c r="F96" i="8"/>
  <c r="AR96" i="3" s="1"/>
  <c r="Y95" i="8"/>
  <c r="B234" i="3" s="1"/>
  <c r="J95" i="8"/>
  <c r="B128" i="3" s="1"/>
  <c r="F95" i="8"/>
  <c r="AR95" i="3" s="1"/>
  <c r="Y94" i="8"/>
  <c r="B233" i="3" s="1"/>
  <c r="J94" i="8"/>
  <c r="B127" i="3" s="1"/>
  <c r="F94" i="8"/>
  <c r="AR94" i="3" s="1"/>
  <c r="Y93" i="8"/>
  <c r="B232" i="3" s="1"/>
  <c r="J93" i="8"/>
  <c r="B126" i="3" s="1"/>
  <c r="F93" i="8"/>
  <c r="AR93" i="3" s="1"/>
  <c r="Y92" i="8"/>
  <c r="B231" i="3" s="1"/>
  <c r="J92" i="8"/>
  <c r="B125" i="3" s="1"/>
  <c r="F92" i="8"/>
  <c r="AR92" i="3" s="1"/>
  <c r="Y91" i="8"/>
  <c r="B230" i="3" s="1"/>
  <c r="J91" i="8"/>
  <c r="B124" i="3" s="1"/>
  <c r="F91" i="8"/>
  <c r="AR91" i="3" s="1"/>
  <c r="Y90" i="8"/>
  <c r="B229" i="3" s="1"/>
  <c r="J90" i="8"/>
  <c r="B123" i="3" s="1"/>
  <c r="F90" i="8"/>
  <c r="AR90" i="3" s="1"/>
  <c r="Y89" i="8"/>
  <c r="B228" i="3" s="1"/>
  <c r="J89" i="8"/>
  <c r="B122" i="3" s="1"/>
  <c r="F89" i="8"/>
  <c r="AR89" i="3" s="1"/>
  <c r="Y88" i="8"/>
  <c r="B227" i="3" s="1"/>
  <c r="J88" i="8"/>
  <c r="B121" i="3" s="1"/>
  <c r="F88" i="8"/>
  <c r="AR88" i="3" s="1"/>
  <c r="Y87" i="8"/>
  <c r="B226" i="3" s="1"/>
  <c r="J87" i="8"/>
  <c r="B120" i="3" s="1"/>
  <c r="F87" i="8"/>
  <c r="AR87" i="3" s="1"/>
  <c r="Y86" i="8"/>
  <c r="B225" i="3" s="1"/>
  <c r="J86" i="8"/>
  <c r="B119" i="3" s="1"/>
  <c r="F86" i="8"/>
  <c r="AR86" i="3" s="1"/>
  <c r="Y85" i="8"/>
  <c r="B224" i="3" s="1"/>
  <c r="J85" i="8"/>
  <c r="B118" i="3" s="1"/>
  <c r="F85" i="8"/>
  <c r="AR85" i="3" s="1"/>
  <c r="Y84" i="8"/>
  <c r="B223" i="3" s="1"/>
  <c r="J84" i="8"/>
  <c r="B117" i="3" s="1"/>
  <c r="F84" i="8"/>
  <c r="AR84" i="3" s="1"/>
  <c r="Y83" i="8"/>
  <c r="B222" i="3" s="1"/>
  <c r="J83" i="8"/>
  <c r="B116" i="3" s="1"/>
  <c r="F83" i="8"/>
  <c r="AR83" i="3" s="1"/>
  <c r="Y82" i="8"/>
  <c r="B221" i="3" s="1"/>
  <c r="J82" i="8"/>
  <c r="B115" i="3" s="1"/>
  <c r="F82" i="8"/>
  <c r="AR82" i="3" s="1"/>
  <c r="Y81" i="8"/>
  <c r="B220" i="3" s="1"/>
  <c r="J81" i="8"/>
  <c r="B114" i="3" s="1"/>
  <c r="F81" i="8"/>
  <c r="AR81" i="3" s="1"/>
  <c r="Y80" i="8"/>
  <c r="B219" i="3" s="1"/>
  <c r="J80" i="8"/>
  <c r="B113" i="3" s="1"/>
  <c r="F80" i="8"/>
  <c r="AR80" i="3" s="1"/>
  <c r="Y79" i="8"/>
  <c r="B218" i="3" s="1"/>
  <c r="J79" i="8"/>
  <c r="B112" i="3" s="1"/>
  <c r="F79" i="8"/>
  <c r="AR79" i="3" s="1"/>
  <c r="Y78" i="8"/>
  <c r="B217" i="3" s="1"/>
  <c r="J78" i="8"/>
  <c r="B111" i="3" s="1"/>
  <c r="F78" i="8"/>
  <c r="AR78" i="3" s="1"/>
  <c r="Y77" i="8"/>
  <c r="B216" i="3" s="1"/>
  <c r="J77" i="8"/>
  <c r="B110" i="3" s="1"/>
  <c r="F77" i="8"/>
  <c r="AR77" i="3" s="1"/>
  <c r="G77" i="8"/>
  <c r="AS77" i="3" s="1"/>
  <c r="Y76" i="8"/>
  <c r="B215" i="3" s="1"/>
  <c r="J76" i="8"/>
  <c r="B109" i="3" s="1"/>
  <c r="F76" i="8"/>
  <c r="AR76" i="3" s="1"/>
  <c r="Y75" i="8"/>
  <c r="B214" i="3" s="1"/>
  <c r="J75" i="8"/>
  <c r="B108" i="3" s="1"/>
  <c r="F75" i="8"/>
  <c r="AR75" i="3" s="1"/>
  <c r="Y74" i="8"/>
  <c r="B213" i="3" s="1"/>
  <c r="J74" i="8"/>
  <c r="B107" i="3" s="1"/>
  <c r="F74" i="8"/>
  <c r="AR74" i="3" s="1"/>
  <c r="Y73" i="8"/>
  <c r="B212" i="3" s="1"/>
  <c r="J73" i="8"/>
  <c r="B106" i="3" s="1"/>
  <c r="F73" i="8"/>
  <c r="AR73" i="3" s="1"/>
  <c r="Y72" i="8"/>
  <c r="B211" i="3" s="1"/>
  <c r="J72" i="8"/>
  <c r="B105" i="3" s="1"/>
  <c r="F72" i="8"/>
  <c r="AR72" i="3" s="1"/>
  <c r="Y71" i="8"/>
  <c r="B210" i="3" s="1"/>
  <c r="J71" i="8"/>
  <c r="B104" i="3" s="1"/>
  <c r="F71" i="8"/>
  <c r="AR71" i="3" s="1"/>
  <c r="Y70" i="8"/>
  <c r="B209" i="3" s="1"/>
  <c r="J70" i="8"/>
  <c r="B103" i="3" s="1"/>
  <c r="F70" i="8"/>
  <c r="AR70" i="3" s="1"/>
  <c r="Y69" i="8"/>
  <c r="B208" i="3" s="1"/>
  <c r="J69" i="8"/>
  <c r="B102" i="3" s="1"/>
  <c r="F69" i="8"/>
  <c r="AR69" i="3" s="1"/>
  <c r="Y68" i="8"/>
  <c r="B207" i="3" s="1"/>
  <c r="J68" i="8"/>
  <c r="B101" i="3" s="1"/>
  <c r="F68" i="8"/>
  <c r="AR68" i="3" s="1"/>
  <c r="Y67" i="8"/>
  <c r="B206" i="3" s="1"/>
  <c r="J67" i="8"/>
  <c r="B100" i="3" s="1"/>
  <c r="F67" i="8"/>
  <c r="AR67" i="3" s="1"/>
  <c r="Y66" i="8"/>
  <c r="B205" i="3" s="1"/>
  <c r="J66" i="8"/>
  <c r="B99" i="3" s="1"/>
  <c r="F66" i="8"/>
  <c r="AR66" i="3" s="1"/>
  <c r="Y65" i="8"/>
  <c r="B204" i="3" s="1"/>
  <c r="J65" i="8"/>
  <c r="B98" i="3" s="1"/>
  <c r="F65" i="8"/>
  <c r="AR65" i="3" s="1"/>
  <c r="Y64" i="8"/>
  <c r="B203" i="3" s="1"/>
  <c r="J64" i="8"/>
  <c r="B97" i="3" s="1"/>
  <c r="F64" i="8"/>
  <c r="AR64" i="3" s="1"/>
  <c r="Y63" i="8"/>
  <c r="B202" i="3" s="1"/>
  <c r="J63" i="8"/>
  <c r="B96" i="3" s="1"/>
  <c r="F63" i="8"/>
  <c r="AR63" i="3" s="1"/>
  <c r="Y62" i="8"/>
  <c r="B201" i="3" s="1"/>
  <c r="J62" i="8"/>
  <c r="B95" i="3" s="1"/>
  <c r="F62" i="8"/>
  <c r="AR62" i="3" s="1"/>
  <c r="Y61" i="8"/>
  <c r="B200" i="3" s="1"/>
  <c r="J61" i="8"/>
  <c r="B94" i="3" s="1"/>
  <c r="F61" i="8"/>
  <c r="AR61" i="3" s="1"/>
  <c r="Y60" i="8"/>
  <c r="B199" i="3" s="1"/>
  <c r="J60" i="8"/>
  <c r="B93" i="3" s="1"/>
  <c r="F60" i="8"/>
  <c r="AR60" i="3" s="1"/>
  <c r="Y59" i="8"/>
  <c r="B198" i="3" s="1"/>
  <c r="J59" i="8"/>
  <c r="B92" i="3" s="1"/>
  <c r="F59" i="8"/>
  <c r="AR59" i="3" s="1"/>
  <c r="Y58" i="8"/>
  <c r="B197" i="3" s="1"/>
  <c r="J58" i="8"/>
  <c r="B91" i="3" s="1"/>
  <c r="F58" i="8"/>
  <c r="AR58" i="3" s="1"/>
  <c r="Y57" i="8"/>
  <c r="B196" i="3" s="1"/>
  <c r="J57" i="8"/>
  <c r="B90" i="3" s="1"/>
  <c r="F57" i="8"/>
  <c r="AR57" i="3" s="1"/>
  <c r="Y56" i="8"/>
  <c r="B195" i="3" s="1"/>
  <c r="J56" i="8"/>
  <c r="B89" i="3" s="1"/>
  <c r="F56" i="8"/>
  <c r="AR56" i="3" s="1"/>
  <c r="Y55" i="8"/>
  <c r="B194" i="3" s="1"/>
  <c r="J55" i="8"/>
  <c r="B88" i="3" s="1"/>
  <c r="F55" i="8"/>
  <c r="AR55" i="3" s="1"/>
  <c r="Y54" i="8"/>
  <c r="B193" i="3" s="1"/>
  <c r="J54" i="8"/>
  <c r="B87" i="3" s="1"/>
  <c r="F54" i="8"/>
  <c r="AR54" i="3" s="1"/>
  <c r="Y53" i="8"/>
  <c r="B192" i="3" s="1"/>
  <c r="J53" i="8"/>
  <c r="B86" i="3" s="1"/>
  <c r="F53" i="8"/>
  <c r="AR53" i="3" s="1"/>
  <c r="Y52" i="8"/>
  <c r="B191" i="3" s="1"/>
  <c r="J52" i="8"/>
  <c r="B85" i="3" s="1"/>
  <c r="F52" i="8"/>
  <c r="AR52" i="3" s="1"/>
  <c r="Y51" i="8"/>
  <c r="B190" i="3" s="1"/>
  <c r="J51" i="8"/>
  <c r="B84" i="3" s="1"/>
  <c r="F51" i="8"/>
  <c r="AR51" i="3" s="1"/>
  <c r="Y50" i="8"/>
  <c r="B189" i="3" s="1"/>
  <c r="J50" i="8"/>
  <c r="B83" i="3" s="1"/>
  <c r="F50" i="8"/>
  <c r="AR50" i="3" s="1"/>
  <c r="Y49" i="8"/>
  <c r="B188" i="3" s="1"/>
  <c r="J49" i="8"/>
  <c r="B82" i="3" s="1"/>
  <c r="F49" i="8"/>
  <c r="AR49" i="3" s="1"/>
  <c r="Y48" i="8"/>
  <c r="B187" i="3" s="1"/>
  <c r="J48" i="8"/>
  <c r="B81" i="3" s="1"/>
  <c r="F48" i="8"/>
  <c r="AR48" i="3" s="1"/>
  <c r="Y47" i="8"/>
  <c r="B186" i="3" s="1"/>
  <c r="J47" i="8"/>
  <c r="B80" i="3" s="1"/>
  <c r="F47" i="8"/>
  <c r="AR47" i="3" s="1"/>
  <c r="Y46" i="8"/>
  <c r="B185" i="3" s="1"/>
  <c r="J46" i="8"/>
  <c r="B79" i="3" s="1"/>
  <c r="F46" i="8"/>
  <c r="AR46" i="3" s="1"/>
  <c r="Y45" i="8"/>
  <c r="B184" i="3" s="1"/>
  <c r="J45" i="8"/>
  <c r="B78" i="3" s="1"/>
  <c r="F45" i="8"/>
  <c r="AR45" i="3" s="1"/>
  <c r="Y44" i="8"/>
  <c r="B183" i="3" s="1"/>
  <c r="J44" i="8"/>
  <c r="B77" i="3" s="1"/>
  <c r="F44" i="8"/>
  <c r="AR44" i="3" s="1"/>
  <c r="Y43" i="8"/>
  <c r="B182" i="3" s="1"/>
  <c r="J43" i="8"/>
  <c r="B76" i="3" s="1"/>
  <c r="F43" i="8"/>
  <c r="AR43" i="3" s="1"/>
  <c r="Y42" i="8"/>
  <c r="B181" i="3" s="1"/>
  <c r="J42" i="8"/>
  <c r="B75" i="3" s="1"/>
  <c r="F42" i="8"/>
  <c r="AR42" i="3" s="1"/>
  <c r="Y41" i="8"/>
  <c r="B180" i="3" s="1"/>
  <c r="J41" i="8"/>
  <c r="B74" i="3" s="1"/>
  <c r="F41" i="8"/>
  <c r="AR41" i="3" s="1"/>
  <c r="Y40" i="8"/>
  <c r="B179" i="3" s="1"/>
  <c r="J40" i="8"/>
  <c r="B73" i="3" s="1"/>
  <c r="F40" i="8"/>
  <c r="AR40" i="3" s="1"/>
  <c r="Y39" i="8"/>
  <c r="B178" i="3" s="1"/>
  <c r="J39" i="8"/>
  <c r="B72" i="3" s="1"/>
  <c r="F39" i="8"/>
  <c r="AR39" i="3" s="1"/>
  <c r="Y38" i="8"/>
  <c r="B177" i="3" s="1"/>
  <c r="J38" i="8"/>
  <c r="B71" i="3" s="1"/>
  <c r="F38" i="8"/>
  <c r="AR38" i="3" s="1"/>
  <c r="Y37" i="8"/>
  <c r="B176" i="3" s="1"/>
  <c r="J37" i="8"/>
  <c r="B70" i="3" s="1"/>
  <c r="F37" i="8"/>
  <c r="AR37" i="3" s="1"/>
  <c r="Y36" i="8"/>
  <c r="B175" i="3" s="1"/>
  <c r="J36" i="8"/>
  <c r="B69" i="3" s="1"/>
  <c r="F36" i="8"/>
  <c r="AR36" i="3" s="1"/>
  <c r="Y35" i="8"/>
  <c r="B174" i="3" s="1"/>
  <c r="J35" i="8"/>
  <c r="B68" i="3" s="1"/>
  <c r="F35" i="8"/>
  <c r="AR35" i="3" s="1"/>
  <c r="Y34" i="8"/>
  <c r="B173" i="3" s="1"/>
  <c r="J34" i="8"/>
  <c r="B67" i="3" s="1"/>
  <c r="F34" i="8"/>
  <c r="AR34" i="3" s="1"/>
  <c r="Y33" i="8"/>
  <c r="B172" i="3" s="1"/>
  <c r="J33" i="8"/>
  <c r="B66" i="3" s="1"/>
  <c r="F33" i="8"/>
  <c r="AR33" i="3" s="1"/>
  <c r="Y32" i="8"/>
  <c r="B171" i="3" s="1"/>
  <c r="J32" i="8"/>
  <c r="B65" i="3" s="1"/>
  <c r="F32" i="8"/>
  <c r="AR32" i="3" s="1"/>
  <c r="Y31" i="8"/>
  <c r="B170" i="3" s="1"/>
  <c r="J31" i="8"/>
  <c r="B64" i="3" s="1"/>
  <c r="F31" i="8"/>
  <c r="AR31" i="3" s="1"/>
  <c r="Y30" i="8"/>
  <c r="B169" i="3" s="1"/>
  <c r="J30" i="8"/>
  <c r="B63" i="3" s="1"/>
  <c r="F30" i="8"/>
  <c r="AR30" i="3" s="1"/>
  <c r="Y29" i="8"/>
  <c r="B168" i="3" s="1"/>
  <c r="N29" i="8"/>
  <c r="J29" i="8"/>
  <c r="B62" i="3" s="1"/>
  <c r="F29" i="8"/>
  <c r="AR29" i="3" s="1"/>
  <c r="Y28" i="8"/>
  <c r="B167" i="3" s="1"/>
  <c r="N28" i="8"/>
  <c r="J28" i="8"/>
  <c r="B61" i="3" s="1"/>
  <c r="F28" i="8"/>
  <c r="AR28" i="3" s="1"/>
  <c r="Y27" i="8"/>
  <c r="B166" i="3" s="1"/>
  <c r="N27" i="8"/>
  <c r="J27" i="8"/>
  <c r="B60" i="3" s="1"/>
  <c r="F27" i="8"/>
  <c r="AR27" i="3" s="1"/>
  <c r="Y26" i="8"/>
  <c r="B165" i="3" s="1"/>
  <c r="N26" i="8"/>
  <c r="J26" i="8"/>
  <c r="B59" i="3" s="1"/>
  <c r="F26" i="8"/>
  <c r="AR26" i="3" s="1"/>
  <c r="Y25" i="8"/>
  <c r="B164" i="3" s="1"/>
  <c r="N25" i="8"/>
  <c r="J25" i="8"/>
  <c r="B58" i="3" s="1"/>
  <c r="K76" i="8"/>
  <c r="C109" i="3" s="1"/>
  <c r="Z75" i="8"/>
  <c r="C214" i="3" s="1"/>
  <c r="G75" i="8"/>
  <c r="AS75" i="3" s="1"/>
  <c r="K74" i="8"/>
  <c r="C107" i="3" s="1"/>
  <c r="Z73" i="8"/>
  <c r="C212" i="3" s="1"/>
  <c r="G73" i="8"/>
  <c r="AS73" i="3" s="1"/>
  <c r="K72" i="8"/>
  <c r="C105" i="3" s="1"/>
  <c r="Z71" i="8"/>
  <c r="C210" i="3" s="1"/>
  <c r="G71" i="8"/>
  <c r="AS71" i="3" s="1"/>
  <c r="K70" i="8"/>
  <c r="C103" i="3" s="1"/>
  <c r="Z69" i="8"/>
  <c r="C208" i="3" s="1"/>
  <c r="G69" i="8"/>
  <c r="AS69" i="3" s="1"/>
  <c r="K68" i="8"/>
  <c r="C101" i="3" s="1"/>
  <c r="K67" i="8"/>
  <c r="C100" i="3" s="1"/>
  <c r="Z66" i="8"/>
  <c r="C205" i="3" s="1"/>
  <c r="G66" i="8"/>
  <c r="AS66" i="3" s="1"/>
  <c r="K65" i="8"/>
  <c r="C98" i="3" s="1"/>
  <c r="Z64" i="8"/>
  <c r="C203" i="3" s="1"/>
  <c r="G64" i="8"/>
  <c r="AS64" i="3" s="1"/>
  <c r="K63" i="8"/>
  <c r="C96" i="3" s="1"/>
  <c r="K62" i="8"/>
  <c r="C95" i="3" s="1"/>
  <c r="Z61" i="8"/>
  <c r="C200" i="3" s="1"/>
  <c r="G61" i="8"/>
  <c r="AS61" i="3" s="1"/>
  <c r="K60" i="8"/>
  <c r="C93" i="3" s="1"/>
  <c r="Z59" i="8"/>
  <c r="C198" i="3" s="1"/>
  <c r="G59" i="8"/>
  <c r="AS59" i="3" s="1"/>
  <c r="K58" i="8"/>
  <c r="C91" i="3" s="1"/>
  <c r="Z57" i="8"/>
  <c r="C196" i="3" s="1"/>
  <c r="G57" i="8"/>
  <c r="AS57" i="3" s="1"/>
  <c r="K56" i="8"/>
  <c r="C89" i="3" s="1"/>
  <c r="Z55" i="8"/>
  <c r="C194" i="3" s="1"/>
  <c r="G55" i="8"/>
  <c r="AS55" i="3" s="1"/>
  <c r="K54" i="8"/>
  <c r="C87" i="3" s="1"/>
  <c r="Z53" i="8"/>
  <c r="C192" i="3" s="1"/>
  <c r="G53" i="8"/>
  <c r="AS53" i="3" s="1"/>
  <c r="K52" i="8"/>
  <c r="C85" i="3" s="1"/>
  <c r="Z51" i="8"/>
  <c r="C190" i="3" s="1"/>
  <c r="G51" i="8"/>
  <c r="AS51" i="3" s="1"/>
  <c r="K50" i="8"/>
  <c r="C83" i="3" s="1"/>
  <c r="Z49" i="8"/>
  <c r="C188" i="3" s="1"/>
  <c r="G49" i="8"/>
  <c r="AS49" i="3" s="1"/>
  <c r="K48" i="8"/>
  <c r="C81" i="3" s="1"/>
  <c r="Z47" i="8"/>
  <c r="C186" i="3" s="1"/>
  <c r="G47" i="8"/>
  <c r="AS47" i="3" s="1"/>
  <c r="K46" i="8"/>
  <c r="C79" i="3" s="1"/>
  <c r="Z45" i="8"/>
  <c r="C184" i="3" s="1"/>
  <c r="G45" i="8"/>
  <c r="AS45" i="3" s="1"/>
  <c r="K44" i="8"/>
  <c r="C77" i="3" s="1"/>
  <c r="Z43" i="8"/>
  <c r="C182" i="3" s="1"/>
  <c r="G43" i="8"/>
  <c r="AS43" i="3" s="1"/>
  <c r="K42" i="8"/>
  <c r="C75" i="3" s="1"/>
  <c r="Z41" i="8"/>
  <c r="C180" i="3" s="1"/>
  <c r="G41" i="8"/>
  <c r="AS41" i="3" s="1"/>
  <c r="K40" i="8"/>
  <c r="C73" i="3" s="1"/>
  <c r="Z39" i="8"/>
  <c r="C178" i="3" s="1"/>
  <c r="G39" i="8"/>
  <c r="AS39" i="3" s="1"/>
  <c r="K38" i="8"/>
  <c r="C71" i="3" s="1"/>
  <c r="Z37" i="8"/>
  <c r="C176" i="3" s="1"/>
  <c r="G37" i="8"/>
  <c r="AS37" i="3" s="1"/>
  <c r="K36" i="8"/>
  <c r="C69" i="3" s="1"/>
  <c r="Z35" i="8"/>
  <c r="C174" i="3" s="1"/>
  <c r="G35" i="8"/>
  <c r="AS35" i="3" s="1"/>
  <c r="K34" i="8"/>
  <c r="C67" i="3" s="1"/>
  <c r="Z33" i="8"/>
  <c r="C172" i="3" s="1"/>
  <c r="G33" i="8"/>
  <c r="AS33" i="3" s="1"/>
  <c r="K32" i="8"/>
  <c r="C65" i="3" s="1"/>
  <c r="Z31" i="8"/>
  <c r="C170" i="3" s="1"/>
  <c r="G31" i="8"/>
  <c r="AS31" i="3" s="1"/>
  <c r="K30" i="8"/>
  <c r="C63" i="3" s="1"/>
  <c r="Z29" i="8"/>
  <c r="C168" i="3" s="1"/>
  <c r="O29" i="8"/>
  <c r="G29" i="8"/>
  <c r="AS29" i="3" s="1"/>
  <c r="T28" i="8"/>
  <c r="E79" i="3" s="1"/>
  <c r="K28" i="8"/>
  <c r="C61" i="3" s="1"/>
  <c r="Z27" i="8"/>
  <c r="C166" i="3" s="1"/>
  <c r="O27" i="8"/>
  <c r="G27" i="8"/>
  <c r="AS27" i="3" s="1"/>
  <c r="T26" i="8"/>
  <c r="E77" i="3" s="1"/>
  <c r="K26" i="8"/>
  <c r="C59" i="3" s="1"/>
  <c r="Z25" i="8"/>
  <c r="C164" i="3" s="1"/>
  <c r="O25" i="8"/>
  <c r="G25" i="8"/>
  <c r="AS25" i="3" s="1"/>
  <c r="Z76" i="8"/>
  <c r="C215" i="3" s="1"/>
  <c r="G76" i="8"/>
  <c r="AS76" i="3" s="1"/>
  <c r="K75" i="8"/>
  <c r="C108" i="3" s="1"/>
  <c r="Z74" i="8"/>
  <c r="C213" i="3" s="1"/>
  <c r="G74" i="8"/>
  <c r="AS74" i="3" s="1"/>
  <c r="K73" i="8"/>
  <c r="C106" i="3" s="1"/>
  <c r="Z72" i="8"/>
  <c r="C211" i="3" s="1"/>
  <c r="G72" i="8"/>
  <c r="AS72" i="3" s="1"/>
  <c r="K71" i="8"/>
  <c r="C104" i="3" s="1"/>
  <c r="Z70" i="8"/>
  <c r="C209" i="3" s="1"/>
  <c r="G70" i="8"/>
  <c r="AS70" i="3" s="1"/>
  <c r="K69" i="8"/>
  <c r="C102" i="3" s="1"/>
  <c r="Z68" i="8"/>
  <c r="C207" i="3" s="1"/>
  <c r="G68" i="8"/>
  <c r="AS68" i="3" s="1"/>
  <c r="Z67" i="8"/>
  <c r="C206" i="3" s="1"/>
  <c r="G67" i="8"/>
  <c r="AS67" i="3" s="1"/>
  <c r="K66" i="8"/>
  <c r="C99" i="3" s="1"/>
  <c r="Z65" i="8"/>
  <c r="C204" i="3" s="1"/>
  <c r="G65" i="8"/>
  <c r="AS65" i="3" s="1"/>
  <c r="K64" i="8"/>
  <c r="C97" i="3" s="1"/>
  <c r="Z63" i="8"/>
  <c r="C202" i="3" s="1"/>
  <c r="G63" i="8"/>
  <c r="AS63" i="3" s="1"/>
  <c r="Z62" i="8"/>
  <c r="C201" i="3" s="1"/>
  <c r="G62" i="8"/>
  <c r="AS62" i="3" s="1"/>
  <c r="K61" i="8"/>
  <c r="C94" i="3" s="1"/>
  <c r="Z60" i="8"/>
  <c r="C199" i="3" s="1"/>
  <c r="G60" i="8"/>
  <c r="AS60" i="3" s="1"/>
  <c r="K59" i="8"/>
  <c r="C92" i="3" s="1"/>
  <c r="Z58" i="8"/>
  <c r="C197" i="3" s="1"/>
  <c r="G58" i="8"/>
  <c r="AS58" i="3" s="1"/>
  <c r="K57" i="8"/>
  <c r="C90" i="3" s="1"/>
  <c r="Z56" i="8"/>
  <c r="C195" i="3" s="1"/>
  <c r="G56" i="8"/>
  <c r="AS56" i="3" s="1"/>
  <c r="K55" i="8"/>
  <c r="C88" i="3" s="1"/>
  <c r="Z54" i="8"/>
  <c r="C193" i="3" s="1"/>
  <c r="G54" i="8"/>
  <c r="AS54" i="3" s="1"/>
  <c r="K53" i="8"/>
  <c r="C86" i="3" s="1"/>
  <c r="Z52" i="8"/>
  <c r="C191" i="3" s="1"/>
  <c r="G52" i="8"/>
  <c r="AS52" i="3" s="1"/>
  <c r="K51" i="8"/>
  <c r="C84" i="3" s="1"/>
  <c r="Z50" i="8"/>
  <c r="C189" i="3" s="1"/>
  <c r="G50" i="8"/>
  <c r="AS50" i="3" s="1"/>
  <c r="K49" i="8"/>
  <c r="C82" i="3" s="1"/>
  <c r="Z48" i="8"/>
  <c r="C187" i="3" s="1"/>
  <c r="G48" i="8"/>
  <c r="AS48" i="3" s="1"/>
  <c r="K47" i="8"/>
  <c r="C80" i="3" s="1"/>
  <c r="Z46" i="8"/>
  <c r="C185" i="3" s="1"/>
  <c r="G46" i="8"/>
  <c r="AS46" i="3" s="1"/>
  <c r="K45" i="8"/>
  <c r="C78" i="3" s="1"/>
  <c r="Z44" i="8"/>
  <c r="C183" i="3" s="1"/>
  <c r="G44" i="8"/>
  <c r="AS44" i="3" s="1"/>
  <c r="K43" i="8"/>
  <c r="C76" i="3" s="1"/>
  <c r="Z42" i="8"/>
  <c r="C181" i="3" s="1"/>
  <c r="G42" i="8"/>
  <c r="AS42" i="3" s="1"/>
  <c r="K41" i="8"/>
  <c r="C74" i="3" s="1"/>
  <c r="Z40" i="8"/>
  <c r="C179" i="3" s="1"/>
  <c r="G40" i="8"/>
  <c r="AS40" i="3" s="1"/>
  <c r="K39" i="8"/>
  <c r="C72" i="3" s="1"/>
  <c r="Z38" i="8"/>
  <c r="C177" i="3" s="1"/>
  <c r="G38" i="8"/>
  <c r="AS38" i="3" s="1"/>
  <c r="K37" i="8"/>
  <c r="C70" i="3" s="1"/>
  <c r="Z36" i="8"/>
  <c r="C175" i="3" s="1"/>
  <c r="G36" i="8"/>
  <c r="AS36" i="3" s="1"/>
  <c r="K35" i="8"/>
  <c r="C68" i="3" s="1"/>
  <c r="Z34" i="8"/>
  <c r="C173" i="3" s="1"/>
  <c r="G34" i="8"/>
  <c r="AS34" i="3" s="1"/>
  <c r="K33" i="8"/>
  <c r="C66" i="3" s="1"/>
  <c r="Z32" i="8"/>
  <c r="C171" i="3" s="1"/>
  <c r="G32" i="8"/>
  <c r="AS32" i="3" s="1"/>
  <c r="K31" i="8"/>
  <c r="C64" i="3" s="1"/>
  <c r="Z30" i="8"/>
  <c r="C169" i="3" s="1"/>
  <c r="G30" i="8"/>
  <c r="AS30" i="3" s="1"/>
  <c r="T29" i="8"/>
  <c r="E80" i="3" s="1"/>
  <c r="K29" i="8"/>
  <c r="C62" i="3" s="1"/>
  <c r="Z28" i="8"/>
  <c r="C167" i="3" s="1"/>
  <c r="O28" i="8"/>
  <c r="G28" i="8"/>
  <c r="AS28" i="3" s="1"/>
  <c r="T27" i="8"/>
  <c r="E78" i="3" s="1"/>
  <c r="K27" i="8"/>
  <c r="C60" i="3" s="1"/>
  <c r="Z26" i="8"/>
  <c r="C165" i="3" s="1"/>
  <c r="O26" i="8"/>
  <c r="G26" i="8"/>
  <c r="AS26" i="3" s="1"/>
  <c r="T25" i="8"/>
  <c r="E76" i="3" s="1"/>
  <c r="K25" i="8"/>
  <c r="C58" i="3" s="1"/>
  <c r="Z24" i="8"/>
  <c r="C163" i="3" s="1"/>
  <c r="T24" i="8"/>
  <c r="E75" i="3" s="1"/>
  <c r="O24" i="8"/>
  <c r="K24" i="8"/>
  <c r="C57" i="3" s="1"/>
  <c r="G24" i="8"/>
  <c r="AS24" i="3" s="1"/>
  <c r="Z23" i="8"/>
  <c r="C162" i="3" s="1"/>
  <c r="T23" i="8"/>
  <c r="E74" i="3" s="1"/>
  <c r="O23" i="8"/>
  <c r="K23" i="8"/>
  <c r="C56" i="3" s="1"/>
  <c r="G23" i="8"/>
  <c r="AS23" i="3" s="1"/>
  <c r="Z22" i="8"/>
  <c r="C161" i="3" s="1"/>
  <c r="T22" i="8"/>
  <c r="E73" i="3" s="1"/>
  <c r="O22" i="8"/>
  <c r="K22" i="8"/>
  <c r="C55" i="3" s="1"/>
  <c r="G22" i="8"/>
  <c r="AS22" i="3" s="1"/>
  <c r="Z21" i="8"/>
  <c r="C160" i="3" s="1"/>
  <c r="T21" i="8"/>
  <c r="E72" i="3" s="1"/>
  <c r="O21" i="8"/>
  <c r="K21" i="8"/>
  <c r="C54" i="3" s="1"/>
  <c r="G21" i="8"/>
  <c r="AS21" i="3" s="1"/>
  <c r="Z20" i="8"/>
  <c r="C159" i="3" s="1"/>
  <c r="T20" i="8"/>
  <c r="E71" i="3" s="1"/>
  <c r="O20" i="8"/>
  <c r="K20" i="8"/>
  <c r="C53" i="3" s="1"/>
  <c r="G20" i="8"/>
  <c r="AS20" i="3" s="1"/>
  <c r="Z19" i="8"/>
  <c r="C158" i="3" s="1"/>
  <c r="T19" i="8"/>
  <c r="E70" i="3" s="1"/>
  <c r="O19" i="8"/>
  <c r="K19" i="8"/>
  <c r="C52" i="3" s="1"/>
  <c r="G19" i="8"/>
  <c r="AS19" i="3" s="1"/>
  <c r="Z18" i="8"/>
  <c r="C157" i="3" s="1"/>
  <c r="T18" i="8"/>
  <c r="E69" i="3" s="1"/>
  <c r="O18" i="8"/>
  <c r="K18" i="8"/>
  <c r="C51" i="3" s="1"/>
  <c r="G18" i="8"/>
  <c r="AS18" i="3" s="1"/>
  <c r="Z17" i="8"/>
  <c r="C156" i="3" s="1"/>
  <c r="T17" i="8"/>
  <c r="E68" i="3" s="1"/>
  <c r="O17" i="8"/>
  <c r="K17" i="8"/>
  <c r="C50" i="3" s="1"/>
  <c r="G17" i="8"/>
  <c r="AS17" i="3" s="1"/>
  <c r="Z16" i="8"/>
  <c r="C155" i="3" s="1"/>
  <c r="T16" i="8"/>
  <c r="E67" i="3" s="1"/>
  <c r="O16" i="8"/>
  <c r="K16" i="8"/>
  <c r="C49" i="3" s="1"/>
  <c r="G16" i="8"/>
  <c r="AS16" i="3" s="1"/>
  <c r="Z15" i="8"/>
  <c r="C154" i="3" s="1"/>
  <c r="T15" i="8"/>
  <c r="E66" i="3" s="1"/>
  <c r="O15" i="8"/>
  <c r="K15" i="8"/>
  <c r="C48" i="3" s="1"/>
  <c r="G15" i="8"/>
  <c r="AS15" i="3" s="1"/>
  <c r="Z14" i="8"/>
  <c r="C153" i="3" s="1"/>
  <c r="T14" i="8"/>
  <c r="E65" i="3" s="1"/>
  <c r="O14" i="8"/>
  <c r="K14" i="8"/>
  <c r="C47" i="3" s="1"/>
  <c r="G14" i="8"/>
  <c r="AS14" i="3" s="1"/>
  <c r="Z13" i="8"/>
  <c r="C152" i="3" s="1"/>
  <c r="T13" i="8"/>
  <c r="E64" i="3" s="1"/>
  <c r="O13" i="8"/>
  <c r="K13" i="8"/>
  <c r="C46" i="3" s="1"/>
  <c r="G13" i="8"/>
  <c r="AS13" i="3" s="1"/>
  <c r="Z12" i="8"/>
  <c r="C151" i="3" s="1"/>
  <c r="T12" i="8"/>
  <c r="E63" i="3" s="1"/>
  <c r="O12" i="8"/>
  <c r="K12" i="8"/>
  <c r="C45" i="3" s="1"/>
  <c r="G12" i="8"/>
  <c r="AS12" i="3" s="1"/>
  <c r="Z11" i="8"/>
  <c r="C150" i="3" s="1"/>
  <c r="T11" i="8"/>
  <c r="E62" i="3" s="1"/>
  <c r="O11" i="8"/>
  <c r="K11" i="8"/>
  <c r="C44" i="3" s="1"/>
  <c r="G11" i="8"/>
  <c r="AS11" i="3" s="1"/>
  <c r="Z10" i="8"/>
  <c r="C149" i="3" s="1"/>
  <c r="T10" i="8"/>
  <c r="E61" i="3" s="1"/>
  <c r="O10" i="8"/>
  <c r="K10" i="8"/>
  <c r="C43" i="3" s="1"/>
  <c r="G10" i="8"/>
  <c r="AS10" i="3" s="1"/>
  <c r="Z9" i="8"/>
  <c r="C148" i="3" s="1"/>
  <c r="T9" i="8"/>
  <c r="E60" i="3" s="1"/>
  <c r="O9" i="8"/>
  <c r="K9" i="8"/>
  <c r="C42" i="3" s="1"/>
  <c r="G9" i="8"/>
  <c r="AS9" i="3" s="1"/>
  <c r="Z8" i="8"/>
  <c r="C147" i="3" s="1"/>
  <c r="T8" i="8"/>
  <c r="E59" i="3" s="1"/>
  <c r="O8" i="8"/>
  <c r="K8" i="8"/>
  <c r="C41" i="3" s="1"/>
  <c r="G8" i="8"/>
  <c r="AS8" i="3" s="1"/>
  <c r="Z7" i="8"/>
  <c r="C146" i="3" s="1"/>
  <c r="T7" i="8"/>
  <c r="E58" i="3" s="1"/>
  <c r="O7" i="8"/>
  <c r="K7" i="8"/>
  <c r="C40" i="3" s="1"/>
  <c r="G7" i="8"/>
  <c r="AS7" i="3" s="1"/>
  <c r="Z6" i="8"/>
  <c r="C145" i="3" s="1"/>
  <c r="T6" i="8"/>
  <c r="E57" i="3" s="1"/>
  <c r="O6" i="8"/>
  <c r="K6" i="8"/>
  <c r="C39" i="3" s="1"/>
  <c r="G6" i="8"/>
  <c r="AS6" i="3" s="1"/>
  <c r="Z5" i="8"/>
  <c r="C144" i="3" s="1"/>
  <c r="T5" i="8"/>
  <c r="E56" i="3" s="1"/>
  <c r="O5" i="8"/>
  <c r="K5" i="8"/>
  <c r="C38" i="3" s="1"/>
  <c r="G5" i="8"/>
  <c r="AS5" i="3" s="1"/>
  <c r="Z4" i="8"/>
  <c r="C143" i="3" s="1"/>
  <c r="T4" i="8"/>
  <c r="E55" i="3" s="1"/>
  <c r="O4" i="8"/>
  <c r="K4" i="8"/>
  <c r="C37" i="3" s="1"/>
  <c r="G4" i="8"/>
  <c r="AS4" i="3" s="1"/>
  <c r="Z3" i="8"/>
  <c r="T3" i="8"/>
  <c r="O3" i="8"/>
  <c r="K3" i="8"/>
  <c r="G3" i="8"/>
  <c r="F25" i="8"/>
  <c r="AR25" i="3" s="1"/>
  <c r="Y24" i="8"/>
  <c r="B163" i="3" s="1"/>
  <c r="N24" i="8"/>
  <c r="J24" i="8"/>
  <c r="B57" i="3" s="1"/>
  <c r="F24" i="8"/>
  <c r="AR24" i="3" s="1"/>
  <c r="Y23" i="8"/>
  <c r="B162" i="3" s="1"/>
  <c r="N23" i="8"/>
  <c r="J23" i="8"/>
  <c r="B56" i="3" s="1"/>
  <c r="F23" i="8"/>
  <c r="AR23" i="3" s="1"/>
  <c r="Y22" i="8"/>
  <c r="B161" i="3" s="1"/>
  <c r="N22" i="8"/>
  <c r="J22" i="8"/>
  <c r="B55" i="3" s="1"/>
  <c r="F22" i="8"/>
  <c r="AR22" i="3" s="1"/>
  <c r="Y21" i="8"/>
  <c r="B160" i="3" s="1"/>
  <c r="N21" i="8"/>
  <c r="J21" i="8"/>
  <c r="B54" i="3" s="1"/>
  <c r="F21" i="8"/>
  <c r="AR21" i="3" s="1"/>
  <c r="Y20" i="8"/>
  <c r="B159" i="3" s="1"/>
  <c r="N20" i="8"/>
  <c r="J20" i="8"/>
  <c r="B53" i="3" s="1"/>
  <c r="F20" i="8"/>
  <c r="AR20" i="3" s="1"/>
  <c r="Y19" i="8"/>
  <c r="B158" i="3" s="1"/>
  <c r="N19" i="8"/>
  <c r="J19" i="8"/>
  <c r="B52" i="3" s="1"/>
  <c r="F19" i="8"/>
  <c r="AR19" i="3" s="1"/>
  <c r="Y18" i="8"/>
  <c r="B157" i="3" s="1"/>
  <c r="N18" i="8"/>
  <c r="J18" i="8"/>
  <c r="B51" i="3" s="1"/>
  <c r="F18" i="8"/>
  <c r="AR18" i="3" s="1"/>
  <c r="Y17" i="8"/>
  <c r="B156" i="3" s="1"/>
  <c r="N17" i="8"/>
  <c r="J17" i="8"/>
  <c r="B50" i="3" s="1"/>
  <c r="F17" i="8"/>
  <c r="AR17" i="3" s="1"/>
  <c r="Y16" i="8"/>
  <c r="B155" i="3" s="1"/>
  <c r="N16" i="8"/>
  <c r="J16" i="8"/>
  <c r="B49" i="3" s="1"/>
  <c r="F16" i="8"/>
  <c r="AR16" i="3" s="1"/>
  <c r="Y15" i="8"/>
  <c r="B154" i="3" s="1"/>
  <c r="N15" i="8"/>
  <c r="J15" i="8"/>
  <c r="B48" i="3" s="1"/>
  <c r="F15" i="8"/>
  <c r="AR15" i="3" s="1"/>
  <c r="Y14" i="8"/>
  <c r="B153" i="3" s="1"/>
  <c r="N14" i="8"/>
  <c r="J14" i="8"/>
  <c r="B47" i="3" s="1"/>
  <c r="F14" i="8"/>
  <c r="AR14" i="3" s="1"/>
  <c r="Y13" i="8"/>
  <c r="B152" i="3" s="1"/>
  <c r="N13" i="8"/>
  <c r="J13" i="8"/>
  <c r="B46" i="3" s="1"/>
  <c r="F13" i="8"/>
  <c r="AR13" i="3" s="1"/>
  <c r="Y12" i="8"/>
  <c r="B151" i="3" s="1"/>
  <c r="N12" i="8"/>
  <c r="J12" i="8"/>
  <c r="B45" i="3" s="1"/>
  <c r="F12" i="8"/>
  <c r="AR12" i="3" s="1"/>
  <c r="Y11" i="8"/>
  <c r="B150" i="3" s="1"/>
  <c r="N11" i="8"/>
  <c r="J11" i="8"/>
  <c r="B44" i="3" s="1"/>
  <c r="F11" i="8"/>
  <c r="AR11" i="3" s="1"/>
  <c r="Y10" i="8"/>
  <c r="B149" i="3" s="1"/>
  <c r="N10" i="8"/>
  <c r="J10" i="8"/>
  <c r="B43" i="3" s="1"/>
  <c r="F10" i="8"/>
  <c r="AR10" i="3" s="1"/>
  <c r="Y9" i="8"/>
  <c r="B148" i="3" s="1"/>
  <c r="N9" i="8"/>
  <c r="J9" i="8"/>
  <c r="B42" i="3" s="1"/>
  <c r="F9" i="8"/>
  <c r="AR9" i="3" s="1"/>
  <c r="Y8" i="8"/>
  <c r="B147" i="3" s="1"/>
  <c r="N8" i="8"/>
  <c r="J8" i="8"/>
  <c r="B41" i="3" s="1"/>
  <c r="F8" i="8"/>
  <c r="AR8" i="3" s="1"/>
  <c r="Y7" i="8"/>
  <c r="B146" i="3" s="1"/>
  <c r="N7" i="8"/>
  <c r="J7" i="8"/>
  <c r="B40" i="3" s="1"/>
  <c r="F7" i="8"/>
  <c r="AR7" i="3" s="1"/>
  <c r="Y6" i="8"/>
  <c r="B145" i="3" s="1"/>
  <c r="N6" i="8"/>
  <c r="J6" i="8"/>
  <c r="B39" i="3" s="1"/>
  <c r="F6" i="8"/>
  <c r="AR6" i="3" s="1"/>
  <c r="Y5" i="8"/>
  <c r="B144" i="3" s="1"/>
  <c r="N5" i="8"/>
  <c r="J5" i="8"/>
  <c r="B38" i="3" s="1"/>
  <c r="F5" i="8"/>
  <c r="AR5" i="3" s="1"/>
  <c r="Y4" i="8"/>
  <c r="B143" i="3" s="1"/>
  <c r="N4" i="8"/>
  <c r="J4" i="8"/>
  <c r="B37" i="3" s="1"/>
  <c r="F4" i="8"/>
  <c r="AR4" i="3" s="1"/>
  <c r="Y3" i="8"/>
  <c r="N3" i="8"/>
  <c r="J3" i="8"/>
  <c r="F3" i="8"/>
  <c r="E4" i="10" l="1"/>
  <c r="D219" i="3"/>
  <c r="AT86" i="3"/>
  <c r="D118" i="3"/>
  <c r="AT84" i="3"/>
  <c r="D223" i="3"/>
  <c r="D228" i="3"/>
  <c r="D112" i="3"/>
  <c r="AT97" i="3"/>
  <c r="D119" i="3"/>
  <c r="AT80" i="3"/>
  <c r="D116" i="3"/>
  <c r="D231" i="3"/>
  <c r="D226" i="3"/>
  <c r="D121" i="3"/>
  <c r="D135" i="3"/>
  <c r="D110" i="3"/>
  <c r="D117" i="3"/>
  <c r="D234" i="3"/>
  <c r="D127" i="3"/>
  <c r="D227" i="3"/>
  <c r="D222" i="3"/>
  <c r="D236" i="3"/>
  <c r="AT92" i="3"/>
  <c r="D130" i="3"/>
  <c r="AT87" i="3"/>
  <c r="D221" i="3"/>
  <c r="D220" i="3"/>
  <c r="D114" i="3"/>
  <c r="AT101" i="3"/>
  <c r="D230" i="3"/>
  <c r="AT88" i="3"/>
  <c r="D134" i="3"/>
  <c r="D133" i="3"/>
  <c r="D126" i="3"/>
  <c r="D124" i="3"/>
  <c r="AT83" i="3"/>
  <c r="D233" i="3"/>
  <c r="D237" i="3"/>
  <c r="D129" i="3"/>
  <c r="D217" i="3"/>
  <c r="D122" i="3"/>
  <c r="AT91" i="3"/>
  <c r="D232" i="3"/>
  <c r="D224" i="3"/>
  <c r="D229" i="3"/>
  <c r="AT79" i="3"/>
  <c r="AT96" i="3"/>
  <c r="AT100" i="3"/>
  <c r="D131" i="3"/>
  <c r="D156" i="3"/>
  <c r="D115" i="3"/>
  <c r="P18" i="8"/>
  <c r="F69" i="3" s="1"/>
  <c r="G69" i="3" s="1"/>
  <c r="D238" i="3"/>
  <c r="AT85" i="3"/>
  <c r="AT90" i="3"/>
  <c r="D125" i="3"/>
  <c r="AT89" i="3"/>
  <c r="D241" i="3"/>
  <c r="AT78" i="3"/>
  <c r="D120" i="3"/>
  <c r="D225" i="3"/>
  <c r="D43" i="3"/>
  <c r="D218" i="3"/>
  <c r="D113" i="3"/>
  <c r="D239" i="3"/>
  <c r="AT99" i="3"/>
  <c r="AT103" i="3"/>
  <c r="AT102" i="3"/>
  <c r="D51" i="3"/>
  <c r="P10" i="8"/>
  <c r="F61" i="3" s="1"/>
  <c r="G61" i="3" s="1"/>
  <c r="AT81" i="3"/>
  <c r="D235" i="3"/>
  <c r="AT95" i="3"/>
  <c r="AT94" i="3"/>
  <c r="D128" i="3"/>
  <c r="D148" i="3"/>
  <c r="AT18" i="3"/>
  <c r="AT82" i="3"/>
  <c r="D136" i="3"/>
  <c r="AT93" i="3"/>
  <c r="AT98" i="3"/>
  <c r="D123" i="3"/>
  <c r="D150" i="3"/>
  <c r="D158" i="3"/>
  <c r="D132" i="3"/>
  <c r="AT16" i="3"/>
  <c r="D160" i="3"/>
  <c r="D53" i="3"/>
  <c r="P22" i="8"/>
  <c r="F73" i="3" s="1"/>
  <c r="G73" i="3" s="1"/>
  <c r="D144" i="3"/>
  <c r="D152" i="3"/>
  <c r="D37" i="3"/>
  <c r="D45" i="3"/>
  <c r="AT12" i="3"/>
  <c r="AT20" i="3"/>
  <c r="AT4" i="3"/>
  <c r="D41" i="3"/>
  <c r="D49" i="3"/>
  <c r="D57" i="3"/>
  <c r="D242" i="3"/>
  <c r="P24" i="8"/>
  <c r="F75" i="3" s="1"/>
  <c r="G75" i="3" s="1"/>
  <c r="P6" i="8"/>
  <c r="F57" i="3" s="1"/>
  <c r="G57" i="3" s="1"/>
  <c r="P8" i="8"/>
  <c r="F59" i="3" s="1"/>
  <c r="G59" i="3" s="1"/>
  <c r="P14" i="8"/>
  <c r="F65" i="3" s="1"/>
  <c r="G65" i="3" s="1"/>
  <c r="P16" i="8"/>
  <c r="F67" i="3" s="1"/>
  <c r="G67" i="3" s="1"/>
  <c r="D162" i="3"/>
  <c r="D154" i="3"/>
  <c r="D55" i="3"/>
  <c r="D146" i="3"/>
  <c r="D39" i="3"/>
  <c r="D47" i="3"/>
  <c r="AT22" i="3"/>
  <c r="P12" i="8"/>
  <c r="F63" i="3" s="1"/>
  <c r="G63" i="3" s="1"/>
  <c r="P20" i="8"/>
  <c r="F71" i="3" s="1"/>
  <c r="G71" i="3" s="1"/>
  <c r="AT6" i="3"/>
  <c r="P4" i="8"/>
  <c r="F55" i="3" s="1"/>
  <c r="G55" i="3" s="1"/>
  <c r="D240" i="3"/>
  <c r="AT10" i="3"/>
  <c r="D216" i="3"/>
  <c r="AT14" i="3"/>
  <c r="D111" i="3"/>
  <c r="AT8" i="3"/>
  <c r="AT24" i="3"/>
  <c r="CU3" i="3"/>
  <c r="K16" i="5"/>
  <c r="B59" i="10" s="1"/>
  <c r="I16" i="5"/>
  <c r="A16" i="2"/>
  <c r="AT5" i="3"/>
  <c r="P5" i="8"/>
  <c r="F56" i="3" s="1"/>
  <c r="AT7" i="3"/>
  <c r="P7" i="8"/>
  <c r="F58" i="3" s="1"/>
  <c r="AT9" i="3"/>
  <c r="P9" i="8"/>
  <c r="F60" i="3" s="1"/>
  <c r="AT11" i="3"/>
  <c r="P11" i="8"/>
  <c r="F62" i="3" s="1"/>
  <c r="AT13" i="3"/>
  <c r="P13" i="8"/>
  <c r="F64" i="3" s="1"/>
  <c r="AT15" i="3"/>
  <c r="P15" i="8"/>
  <c r="F66" i="3" s="1"/>
  <c r="AT17" i="3"/>
  <c r="P17" i="8"/>
  <c r="F68" i="3" s="1"/>
  <c r="AT19" i="3"/>
  <c r="P19" i="8"/>
  <c r="F70" i="3" s="1"/>
  <c r="AT21" i="3"/>
  <c r="P21" i="8"/>
  <c r="F72" i="3" s="1"/>
  <c r="AT23" i="3"/>
  <c r="P23" i="8"/>
  <c r="F74" i="3" s="1"/>
  <c r="AT25" i="3"/>
  <c r="D145" i="3"/>
  <c r="D40" i="3"/>
  <c r="D147" i="3"/>
  <c r="D42" i="3"/>
  <c r="D149" i="3"/>
  <c r="D44" i="3"/>
  <c r="D151" i="3"/>
  <c r="D46" i="3"/>
  <c r="D153" i="3"/>
  <c r="D48" i="3"/>
  <c r="D155" i="3"/>
  <c r="D50" i="3"/>
  <c r="D157" i="3"/>
  <c r="D52" i="3"/>
  <c r="D159" i="3"/>
  <c r="D54" i="3"/>
  <c r="D161" i="3"/>
  <c r="D56" i="3"/>
  <c r="D163" i="3"/>
  <c r="CU4" i="3"/>
  <c r="AH56" i="3"/>
  <c r="AF56" i="3"/>
  <c r="S56" i="3"/>
  <c r="CT55" i="3"/>
  <c r="CU55" i="3"/>
  <c r="AB55" i="3"/>
  <c r="Z55" i="3"/>
  <c r="Q55" i="3"/>
  <c r="AI54" i="3"/>
  <c r="AG54" i="3"/>
  <c r="T54" i="3"/>
  <c r="AI53" i="3"/>
  <c r="AG53" i="3"/>
  <c r="T53" i="3"/>
  <c r="CU24" i="3"/>
  <c r="CT24" i="3"/>
  <c r="AH57" i="3"/>
  <c r="AF57" i="3"/>
  <c r="S57" i="3"/>
  <c r="AB58" i="3"/>
  <c r="Z58" i="3"/>
  <c r="Q58" i="3"/>
  <c r="AN58" i="3"/>
  <c r="AL58" i="3"/>
  <c r="U58" i="3" s="1"/>
  <c r="AH59" i="3"/>
  <c r="AF59" i="3"/>
  <c r="S59" i="3" s="1"/>
  <c r="AB60" i="3"/>
  <c r="Z60" i="3"/>
  <c r="Q60" i="3" s="1"/>
  <c r="AN60" i="3"/>
  <c r="AL60" i="3"/>
  <c r="U60" i="3" s="1"/>
  <c r="AH61" i="3"/>
  <c r="AF61" i="3"/>
  <c r="S61" i="3" s="1"/>
  <c r="AB62" i="3"/>
  <c r="Z62" i="3"/>
  <c r="Q62" i="3" s="1"/>
  <c r="AN62" i="3"/>
  <c r="AL62" i="3"/>
  <c r="U62" i="3"/>
  <c r="AI55" i="3"/>
  <c r="AG55" i="3"/>
  <c r="T55" i="3"/>
  <c r="AC56" i="3"/>
  <c r="AA56" i="3"/>
  <c r="R56" i="3" s="1"/>
  <c r="AO56" i="3"/>
  <c r="AM56" i="3"/>
  <c r="V56" i="3" s="1"/>
  <c r="AI57" i="3"/>
  <c r="AG57" i="3"/>
  <c r="T57" i="3"/>
  <c r="AC58" i="3"/>
  <c r="AA58" i="3"/>
  <c r="R58" i="3" s="1"/>
  <c r="AO58" i="3"/>
  <c r="AM58" i="3"/>
  <c r="V58" i="3" s="1"/>
  <c r="AI59" i="3"/>
  <c r="AG59" i="3"/>
  <c r="T59" i="3"/>
  <c r="AC60" i="3"/>
  <c r="AA60" i="3"/>
  <c r="R60" i="3" s="1"/>
  <c r="AO60" i="3"/>
  <c r="AM60" i="3"/>
  <c r="V60" i="3" s="1"/>
  <c r="AI61" i="3"/>
  <c r="AG61" i="3"/>
  <c r="T61" i="3" s="1"/>
  <c r="AC62" i="3"/>
  <c r="AA62" i="3"/>
  <c r="R62" i="3" s="1"/>
  <c r="AO62" i="3"/>
  <c r="AM62" i="3"/>
  <c r="V62" i="3"/>
  <c r="CU19" i="3"/>
  <c r="CT19" i="3"/>
  <c r="CU14" i="3"/>
  <c r="CT14" i="3"/>
  <c r="CU9" i="3"/>
  <c r="CT9" i="3"/>
  <c r="CT56" i="3"/>
  <c r="CU56" i="3"/>
  <c r="CT58" i="3"/>
  <c r="CU58" i="3"/>
  <c r="CT60" i="3"/>
  <c r="CU60" i="3"/>
  <c r="CT62" i="3"/>
  <c r="CU62" i="3"/>
  <c r="CT64" i="3"/>
  <c r="CU64" i="3"/>
  <c r="CT66" i="3"/>
  <c r="CU66" i="3"/>
  <c r="CT68" i="3"/>
  <c r="CU68" i="3"/>
  <c r="CT70" i="3"/>
  <c r="CU70" i="3"/>
  <c r="CT72" i="3"/>
  <c r="CU72" i="3"/>
  <c r="CT74" i="3"/>
  <c r="CU74" i="3"/>
  <c r="CU76" i="3"/>
  <c r="CT76" i="3"/>
  <c r="CU78" i="3"/>
  <c r="CT78" i="3"/>
  <c r="CU80" i="3"/>
  <c r="CT80" i="3"/>
  <c r="CU82" i="3"/>
  <c r="CT82" i="3"/>
  <c r="CT84" i="3"/>
  <c r="CU84" i="3"/>
  <c r="CT86" i="3"/>
  <c r="CU86" i="3"/>
  <c r="CT88" i="3"/>
  <c r="CU88" i="3"/>
  <c r="CT90" i="3"/>
  <c r="CU90" i="3"/>
  <c r="CT92" i="3"/>
  <c r="CU92" i="3"/>
  <c r="CT93" i="3"/>
  <c r="CU93" i="3"/>
  <c r="CT96" i="3"/>
  <c r="CU96" i="3"/>
  <c r="CT98" i="3"/>
  <c r="CU98" i="3"/>
  <c r="CU100" i="3"/>
  <c r="CT100" i="3"/>
  <c r="CU102" i="3"/>
  <c r="CT102" i="3"/>
  <c r="Z56" i="3"/>
  <c r="Q56" i="3"/>
  <c r="AB56" i="3"/>
  <c r="AF55" i="3"/>
  <c r="S55" i="3"/>
  <c r="AH55" i="3"/>
  <c r="AH54" i="3"/>
  <c r="AF54" i="3"/>
  <c r="S54" i="3"/>
  <c r="AN53" i="3"/>
  <c r="AL53" i="3"/>
  <c r="U53" i="3" s="1"/>
  <c r="AB53" i="3"/>
  <c r="Z53" i="3"/>
  <c r="Q53" i="3" s="1"/>
  <c r="CT52" i="3"/>
  <c r="CU52" i="3"/>
  <c r="CT50" i="3"/>
  <c r="CU50" i="3"/>
  <c r="CT48" i="3"/>
  <c r="CU48" i="3"/>
  <c r="CT46" i="3"/>
  <c r="CU46" i="3"/>
  <c r="CT44" i="3"/>
  <c r="CU44" i="3"/>
  <c r="CT42" i="3"/>
  <c r="CU42" i="3"/>
  <c r="CT40" i="3"/>
  <c r="CU40" i="3"/>
  <c r="CT38" i="3"/>
  <c r="CU38" i="3"/>
  <c r="CT36" i="3"/>
  <c r="CU36" i="3"/>
  <c r="CT34" i="3"/>
  <c r="CU34" i="3"/>
  <c r="CT32" i="3"/>
  <c r="CU32" i="3"/>
  <c r="CT30" i="3"/>
  <c r="CU30" i="3"/>
  <c r="CT28" i="3"/>
  <c r="CU28" i="3"/>
  <c r="CT26" i="3"/>
  <c r="CU26" i="3"/>
  <c r="AB63" i="3"/>
  <c r="Z63" i="3"/>
  <c r="Q63" i="3"/>
  <c r="AN63" i="3"/>
  <c r="AL63" i="3"/>
  <c r="U63" i="3"/>
  <c r="AH64" i="3"/>
  <c r="AF64" i="3"/>
  <c r="S64" i="3" s="1"/>
  <c r="AB65" i="3"/>
  <c r="Z65" i="3"/>
  <c r="Q65" i="3" s="1"/>
  <c r="AN65" i="3"/>
  <c r="AL65" i="3"/>
  <c r="U65" i="3"/>
  <c r="AH66" i="3"/>
  <c r="AF66" i="3"/>
  <c r="S66" i="3"/>
  <c r="AB67" i="3"/>
  <c r="Z67" i="3"/>
  <c r="Q67" i="3"/>
  <c r="AN67" i="3"/>
  <c r="AL67" i="3"/>
  <c r="U67" i="3"/>
  <c r="AH68" i="3"/>
  <c r="AF68" i="3"/>
  <c r="S68" i="3" s="1"/>
  <c r="AB69" i="3"/>
  <c r="Z69" i="3"/>
  <c r="Q69" i="3"/>
  <c r="AN69" i="3"/>
  <c r="AL69" i="3"/>
  <c r="U69" i="3" s="1"/>
  <c r="AH70" i="3"/>
  <c r="AF70" i="3"/>
  <c r="S70" i="3" s="1"/>
  <c r="AB71" i="3"/>
  <c r="Z71" i="3"/>
  <c r="Q71" i="3"/>
  <c r="AN71" i="3"/>
  <c r="AL71" i="3"/>
  <c r="U71" i="3"/>
  <c r="AH72" i="3"/>
  <c r="AF72" i="3"/>
  <c r="S72" i="3" s="1"/>
  <c r="AB73" i="3"/>
  <c r="Z73" i="3"/>
  <c r="Q73" i="3"/>
  <c r="AN73" i="3"/>
  <c r="AL73" i="3"/>
  <c r="U73" i="3"/>
  <c r="AH74" i="3"/>
  <c r="AF74" i="3"/>
  <c r="S74" i="3" s="1"/>
  <c r="AC63" i="3"/>
  <c r="AA63" i="3"/>
  <c r="R63" i="3" s="1"/>
  <c r="AO63" i="3"/>
  <c r="AM63" i="3"/>
  <c r="V63" i="3" s="1"/>
  <c r="AI64" i="3"/>
  <c r="AG64" i="3"/>
  <c r="T64" i="3"/>
  <c r="AC65" i="3"/>
  <c r="AA65" i="3"/>
  <c r="R65" i="3"/>
  <c r="AO65" i="3"/>
  <c r="AM65" i="3"/>
  <c r="V65" i="3" s="1"/>
  <c r="AI66" i="3"/>
  <c r="AG66" i="3"/>
  <c r="T66" i="3"/>
  <c r="AC67" i="3"/>
  <c r="AA67" i="3"/>
  <c r="R67" i="3"/>
  <c r="AO67" i="3"/>
  <c r="AM67" i="3"/>
  <c r="V67" i="3"/>
  <c r="AI68" i="3"/>
  <c r="AG68" i="3"/>
  <c r="T68" i="3" s="1"/>
  <c r="AC69" i="3"/>
  <c r="AA69" i="3"/>
  <c r="R69" i="3" s="1"/>
  <c r="AO69" i="3"/>
  <c r="AM69" i="3"/>
  <c r="V69" i="3"/>
  <c r="AI70" i="3"/>
  <c r="AG70" i="3"/>
  <c r="T70" i="3"/>
  <c r="AC71" i="3"/>
  <c r="AA71" i="3"/>
  <c r="R71" i="3" s="1"/>
  <c r="AO71" i="3"/>
  <c r="AM71" i="3"/>
  <c r="V71" i="3"/>
  <c r="AI72" i="3"/>
  <c r="AG72" i="3"/>
  <c r="T72" i="3"/>
  <c r="AC73" i="3"/>
  <c r="AA73" i="3"/>
  <c r="R73" i="3"/>
  <c r="AO73" i="3"/>
  <c r="AM73" i="3"/>
  <c r="V73" i="3" s="1"/>
  <c r="AI74" i="3"/>
  <c r="AG74" i="3"/>
  <c r="T74" i="3" s="1"/>
  <c r="AC75" i="3"/>
  <c r="AA75" i="3"/>
  <c r="R75" i="3"/>
  <c r="AO75" i="3"/>
  <c r="AM75" i="3"/>
  <c r="V75" i="3"/>
  <c r="AI76" i="3"/>
  <c r="AG76" i="3"/>
  <c r="T76" i="3" s="1"/>
  <c r="AC77" i="3"/>
  <c r="AA77" i="3"/>
  <c r="R77" i="3"/>
  <c r="AO77" i="3"/>
  <c r="AM77" i="3"/>
  <c r="V77" i="3"/>
  <c r="AI78" i="3"/>
  <c r="AG78" i="3"/>
  <c r="T78" i="3"/>
  <c r="AC79" i="3"/>
  <c r="AA79" i="3"/>
  <c r="R79" i="3" s="1"/>
  <c r="AO79" i="3"/>
  <c r="AM79" i="3"/>
  <c r="V79" i="3" s="1"/>
  <c r="AI80" i="3"/>
  <c r="AG80" i="3"/>
  <c r="T80" i="3" s="1"/>
  <c r="AC81" i="3"/>
  <c r="AA81" i="3"/>
  <c r="R81" i="3"/>
  <c r="AO81" i="3"/>
  <c r="AM81" i="3"/>
  <c r="V81" i="3" s="1"/>
  <c r="AI82" i="3"/>
  <c r="AG82" i="3"/>
  <c r="T82" i="3" s="1"/>
  <c r="AC83" i="3"/>
  <c r="AA83" i="3"/>
  <c r="R83" i="3"/>
  <c r="AO83" i="3"/>
  <c r="AM83" i="3"/>
  <c r="V83" i="3"/>
  <c r="AI84" i="3"/>
  <c r="AG84" i="3"/>
  <c r="T84" i="3" s="1"/>
  <c r="AH75" i="3"/>
  <c r="AF75" i="3"/>
  <c r="S75" i="3" s="1"/>
  <c r="AB76" i="3"/>
  <c r="Z76" i="3"/>
  <c r="Q76" i="3"/>
  <c r="AN76" i="3"/>
  <c r="AL76" i="3"/>
  <c r="U76" i="3" s="1"/>
  <c r="AH77" i="3"/>
  <c r="AF77" i="3"/>
  <c r="S77" i="3" s="1"/>
  <c r="AB78" i="3"/>
  <c r="Z78" i="3"/>
  <c r="Q78" i="3"/>
  <c r="AN78" i="3"/>
  <c r="AL78" i="3"/>
  <c r="U78" i="3" s="1"/>
  <c r="AH79" i="3"/>
  <c r="AF79" i="3"/>
  <c r="S79" i="3" s="1"/>
  <c r="AB80" i="3"/>
  <c r="Z80" i="3"/>
  <c r="Q80" i="3" s="1"/>
  <c r="AN80" i="3"/>
  <c r="AL80" i="3"/>
  <c r="U80" i="3" s="1"/>
  <c r="AH81" i="3"/>
  <c r="AF81" i="3"/>
  <c r="S81" i="3" s="1"/>
  <c r="AB82" i="3"/>
  <c r="Z82" i="3"/>
  <c r="Q82" i="3"/>
  <c r="AN82" i="3"/>
  <c r="AL82" i="3"/>
  <c r="U82" i="3" s="1"/>
  <c r="AH83" i="3"/>
  <c r="AF83" i="3"/>
  <c r="S83" i="3" s="1"/>
  <c r="AB84" i="3"/>
  <c r="Z84" i="3"/>
  <c r="Q84" i="3"/>
  <c r="AN84" i="3"/>
  <c r="U84" i="3"/>
  <c r="AL84" i="3"/>
  <c r="AH85" i="3"/>
  <c r="AF85" i="3"/>
  <c r="S85" i="3" s="1"/>
  <c r="AB86" i="3"/>
  <c r="Z86" i="3"/>
  <c r="Q86" i="3" s="1"/>
  <c r="AN86" i="3"/>
  <c r="AL86" i="3"/>
  <c r="U86" i="3"/>
  <c r="AH87" i="3"/>
  <c r="AF87" i="3"/>
  <c r="S87" i="3"/>
  <c r="AB88" i="3"/>
  <c r="Z88" i="3"/>
  <c r="Q88" i="3" s="1"/>
  <c r="AN88" i="3"/>
  <c r="AL88" i="3"/>
  <c r="U88" i="3"/>
  <c r="AH89" i="3"/>
  <c r="AF89" i="3"/>
  <c r="S89" i="3"/>
  <c r="AB90" i="3"/>
  <c r="Z90" i="3"/>
  <c r="Q90" i="3"/>
  <c r="AN90" i="3"/>
  <c r="AL90" i="3"/>
  <c r="U90" i="3" s="1"/>
  <c r="AH91" i="3"/>
  <c r="AF91" i="3"/>
  <c r="S91" i="3" s="1"/>
  <c r="Z92" i="3"/>
  <c r="Q92" i="3" s="1"/>
  <c r="AB92" i="3"/>
  <c r="AF93" i="3"/>
  <c r="S93" i="3" s="1"/>
  <c r="AH93" i="3"/>
  <c r="AL94" i="3"/>
  <c r="U94" i="3" s="1"/>
  <c r="AN94" i="3"/>
  <c r="Z96" i="3"/>
  <c r="Q96" i="3"/>
  <c r="AB96" i="3"/>
  <c r="AO84" i="3"/>
  <c r="AM84" i="3"/>
  <c r="V84" i="3"/>
  <c r="AI85" i="3"/>
  <c r="AG85" i="3"/>
  <c r="T85" i="3"/>
  <c r="AC86" i="3"/>
  <c r="AA86" i="3"/>
  <c r="R86" i="3" s="1"/>
  <c r="AO86" i="3"/>
  <c r="AM86" i="3"/>
  <c r="V86" i="3" s="1"/>
  <c r="AI87" i="3"/>
  <c r="AG87" i="3"/>
  <c r="T87" i="3" s="1"/>
  <c r="AC88" i="3"/>
  <c r="AA88" i="3"/>
  <c r="R88" i="3" s="1"/>
  <c r="AO88" i="3"/>
  <c r="AM88" i="3"/>
  <c r="V88" i="3" s="1"/>
  <c r="AI89" i="3"/>
  <c r="AG89" i="3"/>
  <c r="T89" i="3" s="1"/>
  <c r="AC90" i="3"/>
  <c r="AA90" i="3"/>
  <c r="R90" i="3"/>
  <c r="AO90" i="3"/>
  <c r="AM90" i="3"/>
  <c r="V90" i="3"/>
  <c r="AI91" i="3"/>
  <c r="AG91" i="3"/>
  <c r="T91" i="3" s="1"/>
  <c r="AH92" i="3"/>
  <c r="AF92" i="3"/>
  <c r="S92" i="3" s="1"/>
  <c r="AN93" i="3"/>
  <c r="AL93" i="3"/>
  <c r="U93" i="3"/>
  <c r="AB95" i="3"/>
  <c r="Z95" i="3"/>
  <c r="Q95" i="3" s="1"/>
  <c r="AH96" i="3"/>
  <c r="AF96" i="3"/>
  <c r="S96" i="3" s="1"/>
  <c r="AH97" i="3"/>
  <c r="AF97" i="3"/>
  <c r="S97" i="3"/>
  <c r="AB98" i="3"/>
  <c r="Z98" i="3"/>
  <c r="Q98" i="3" s="1"/>
  <c r="AN98" i="3"/>
  <c r="AL98" i="3"/>
  <c r="U98" i="3"/>
  <c r="AG99" i="3"/>
  <c r="T99" i="3"/>
  <c r="AI99" i="3"/>
  <c r="AG101" i="3"/>
  <c r="T101" i="3" s="1"/>
  <c r="AI101" i="3"/>
  <c r="AG103" i="3"/>
  <c r="T103" i="3"/>
  <c r="AI103" i="3"/>
  <c r="AI92" i="3"/>
  <c r="AG92" i="3"/>
  <c r="T92" i="3"/>
  <c r="AC93" i="3"/>
  <c r="AA93" i="3"/>
  <c r="R93" i="3" s="1"/>
  <c r="AO93" i="3"/>
  <c r="AM93" i="3"/>
  <c r="V93" i="3" s="1"/>
  <c r="AI94" i="3"/>
  <c r="AG94" i="3"/>
  <c r="T94" i="3"/>
  <c r="AC95" i="3"/>
  <c r="AA95" i="3"/>
  <c r="R95" i="3"/>
  <c r="AO95" i="3"/>
  <c r="AM95" i="3"/>
  <c r="V95" i="3" s="1"/>
  <c r="AI96" i="3"/>
  <c r="AG96" i="3"/>
  <c r="T96" i="3" s="1"/>
  <c r="AC97" i="3"/>
  <c r="AA97" i="3"/>
  <c r="R97" i="3"/>
  <c r="AO97" i="3"/>
  <c r="AM97" i="3"/>
  <c r="V97" i="3" s="1"/>
  <c r="AI98" i="3"/>
  <c r="AG98" i="3"/>
  <c r="T98" i="3" s="1"/>
  <c r="AC99" i="3"/>
  <c r="AA99" i="3"/>
  <c r="R99" i="3" s="1"/>
  <c r="AC100" i="3"/>
  <c r="AA100" i="3"/>
  <c r="R100" i="3"/>
  <c r="AC101" i="3"/>
  <c r="AA101" i="3"/>
  <c r="R101" i="3"/>
  <c r="AC102" i="3"/>
  <c r="AA102" i="3"/>
  <c r="R102" i="3" s="1"/>
  <c r="AC103" i="3"/>
  <c r="AA103" i="3"/>
  <c r="R103" i="3" s="1"/>
  <c r="AH99" i="3"/>
  <c r="AF99" i="3"/>
  <c r="S99" i="3"/>
  <c r="AB100" i="3"/>
  <c r="Z100" i="3"/>
  <c r="Q100" i="3" s="1"/>
  <c r="AN100" i="3"/>
  <c r="AL100" i="3"/>
  <c r="U100" i="3" s="1"/>
  <c r="AH101" i="3"/>
  <c r="AF101" i="3"/>
  <c r="S101" i="3"/>
  <c r="AB102" i="3"/>
  <c r="Z102" i="3"/>
  <c r="Q102" i="3" s="1"/>
  <c r="AN102" i="3"/>
  <c r="AL102" i="3"/>
  <c r="U102" i="3"/>
  <c r="AH103" i="3"/>
  <c r="AF103" i="3"/>
  <c r="S103" i="3" s="1"/>
  <c r="CT23" i="3"/>
  <c r="CU23" i="3"/>
  <c r="CT21" i="3"/>
  <c r="CU21" i="3"/>
  <c r="CT18" i="3"/>
  <c r="CU18" i="3"/>
  <c r="CT15" i="3"/>
  <c r="CU15" i="3"/>
  <c r="CT12" i="3"/>
  <c r="CU12" i="3"/>
  <c r="CT7" i="3"/>
  <c r="CU7" i="3"/>
  <c r="CT5" i="3"/>
  <c r="CU5" i="3"/>
  <c r="AN55" i="3"/>
  <c r="AL55" i="3"/>
  <c r="U55" i="3"/>
  <c r="AO54" i="3"/>
  <c r="AM54" i="3"/>
  <c r="V54" i="3" s="1"/>
  <c r="AC54" i="3"/>
  <c r="AA54" i="3"/>
  <c r="R54" i="3" s="1"/>
  <c r="AO53" i="3"/>
  <c r="AM53" i="3"/>
  <c r="V53" i="3"/>
  <c r="AC53" i="3"/>
  <c r="AA53" i="3"/>
  <c r="R53" i="3" s="1"/>
  <c r="AB57" i="3"/>
  <c r="Z57" i="3"/>
  <c r="Q57" i="3" s="1"/>
  <c r="AN57" i="3"/>
  <c r="AL57" i="3"/>
  <c r="U57" i="3" s="1"/>
  <c r="AH58" i="3"/>
  <c r="AF58" i="3"/>
  <c r="S58" i="3" s="1"/>
  <c r="AB59" i="3"/>
  <c r="Z59" i="3"/>
  <c r="Q59" i="3"/>
  <c r="AN59" i="3"/>
  <c r="AL59" i="3"/>
  <c r="U59" i="3" s="1"/>
  <c r="AH60" i="3"/>
  <c r="AF60" i="3"/>
  <c r="S60" i="3" s="1"/>
  <c r="AB61" i="3"/>
  <c r="Z61" i="3"/>
  <c r="Q61" i="3"/>
  <c r="AN61" i="3"/>
  <c r="AL61" i="3"/>
  <c r="U61" i="3"/>
  <c r="AH62" i="3"/>
  <c r="AF62" i="3"/>
  <c r="S62" i="3" s="1"/>
  <c r="AC55" i="3"/>
  <c r="AA55" i="3"/>
  <c r="R55" i="3" s="1"/>
  <c r="AO55" i="3"/>
  <c r="AM55" i="3"/>
  <c r="V55" i="3"/>
  <c r="AI56" i="3"/>
  <c r="AG56" i="3"/>
  <c r="T56" i="3" s="1"/>
  <c r="AC57" i="3"/>
  <c r="AA57" i="3"/>
  <c r="R57" i="3" s="1"/>
  <c r="AO57" i="3"/>
  <c r="AM57" i="3"/>
  <c r="V57" i="3"/>
  <c r="AI58" i="3"/>
  <c r="AG58" i="3"/>
  <c r="T58" i="3" s="1"/>
  <c r="AC59" i="3"/>
  <c r="AA59" i="3"/>
  <c r="R59" i="3"/>
  <c r="AO59" i="3"/>
  <c r="AM59" i="3"/>
  <c r="V59" i="3" s="1"/>
  <c r="AI60" i="3"/>
  <c r="AG60" i="3"/>
  <c r="T60" i="3" s="1"/>
  <c r="AC61" i="3"/>
  <c r="AA61" i="3"/>
  <c r="R61" i="3"/>
  <c r="AO61" i="3"/>
  <c r="AM61" i="3"/>
  <c r="V61" i="3"/>
  <c r="AI62" i="3"/>
  <c r="AG62" i="3"/>
  <c r="T62" i="3" s="1"/>
  <c r="CU16" i="3"/>
  <c r="CT16" i="3"/>
  <c r="CU10" i="3"/>
  <c r="CT10" i="3"/>
  <c r="CU8" i="3"/>
  <c r="CT8" i="3"/>
  <c r="CT57" i="3"/>
  <c r="CU57" i="3"/>
  <c r="CT59" i="3"/>
  <c r="CU59" i="3"/>
  <c r="CT61" i="3"/>
  <c r="CU61" i="3"/>
  <c r="CT63" i="3"/>
  <c r="C38" i="6" s="1"/>
  <c r="CU63" i="3"/>
  <c r="CT65" i="3"/>
  <c r="CU65" i="3"/>
  <c r="CT67" i="3"/>
  <c r="CU67" i="3"/>
  <c r="CT69" i="3"/>
  <c r="CU69" i="3"/>
  <c r="CT71" i="3"/>
  <c r="CU71" i="3"/>
  <c r="CT73" i="3"/>
  <c r="CU73" i="3"/>
  <c r="CU75" i="3"/>
  <c r="CT75" i="3"/>
  <c r="CU77" i="3"/>
  <c r="CT77" i="3"/>
  <c r="CU79" i="3"/>
  <c r="CT79" i="3"/>
  <c r="CU81" i="3"/>
  <c r="CT81" i="3"/>
  <c r="CU83" i="3"/>
  <c r="CT83" i="3"/>
  <c r="CT85" i="3"/>
  <c r="CU85" i="3"/>
  <c r="CT87" i="3"/>
  <c r="CU87" i="3"/>
  <c r="CT89" i="3"/>
  <c r="CU89" i="3"/>
  <c r="CT91" i="3"/>
  <c r="CU91" i="3"/>
  <c r="CT94" i="3"/>
  <c r="CU94" i="3"/>
  <c r="CT95" i="3"/>
  <c r="CU95" i="3"/>
  <c r="CT97" i="3"/>
  <c r="CU97" i="3"/>
  <c r="CU99" i="3"/>
  <c r="CT99" i="3"/>
  <c r="CU101" i="3"/>
  <c r="CT101" i="3"/>
  <c r="CU103" i="3"/>
  <c r="CT103" i="3"/>
  <c r="AN54" i="3"/>
  <c r="AL54" i="3"/>
  <c r="U54" i="3" s="1"/>
  <c r="AB54" i="3"/>
  <c r="Z54" i="3"/>
  <c r="Q54" i="3" s="1"/>
  <c r="CT53" i="3"/>
  <c r="C37" i="6" s="1"/>
  <c r="CU53" i="3"/>
  <c r="AH53" i="3"/>
  <c r="AF53" i="3"/>
  <c r="S53" i="3"/>
  <c r="CT51" i="3"/>
  <c r="CU51" i="3"/>
  <c r="CT49" i="3"/>
  <c r="CU49" i="3"/>
  <c r="CT47" i="3"/>
  <c r="CU47" i="3"/>
  <c r="CT45" i="3"/>
  <c r="CU45" i="3"/>
  <c r="CT43" i="3"/>
  <c r="CU43" i="3"/>
  <c r="CT41" i="3"/>
  <c r="CU41" i="3"/>
  <c r="CT39" i="3"/>
  <c r="CU39" i="3"/>
  <c r="CT37" i="3"/>
  <c r="CU37" i="3"/>
  <c r="CT35" i="3"/>
  <c r="CU35" i="3"/>
  <c r="CT33" i="3"/>
  <c r="CU33" i="3"/>
  <c r="CT31" i="3"/>
  <c r="CU31" i="3"/>
  <c r="CT29" i="3"/>
  <c r="CU29" i="3"/>
  <c r="CT27" i="3"/>
  <c r="CU27" i="3"/>
  <c r="CT25" i="3"/>
  <c r="CU25" i="3"/>
  <c r="AH63" i="3"/>
  <c r="AF63" i="3"/>
  <c r="S63" i="3" s="1"/>
  <c r="AB64" i="3"/>
  <c r="Z64" i="3"/>
  <c r="Q64" i="3" s="1"/>
  <c r="AN64" i="3"/>
  <c r="AL64" i="3"/>
  <c r="U64" i="3"/>
  <c r="AH65" i="3"/>
  <c r="AF65" i="3"/>
  <c r="S65" i="3"/>
  <c r="AB66" i="3"/>
  <c r="Z66" i="3"/>
  <c r="Q66" i="3" s="1"/>
  <c r="AN66" i="3"/>
  <c r="AL66" i="3"/>
  <c r="U66" i="3" s="1"/>
  <c r="AH67" i="3"/>
  <c r="AF67" i="3"/>
  <c r="S67" i="3"/>
  <c r="AB68" i="3"/>
  <c r="Z68" i="3"/>
  <c r="Q68" i="3" s="1"/>
  <c r="AN68" i="3"/>
  <c r="AL68" i="3"/>
  <c r="U68" i="3" s="1"/>
  <c r="AH69" i="3"/>
  <c r="AF69" i="3"/>
  <c r="S69" i="3"/>
  <c r="AB70" i="3"/>
  <c r="Z70" i="3"/>
  <c r="Q70" i="3" s="1"/>
  <c r="AN70" i="3"/>
  <c r="AL70" i="3"/>
  <c r="U70" i="3"/>
  <c r="AH71" i="3"/>
  <c r="AF71" i="3"/>
  <c r="S71" i="3" s="1"/>
  <c r="AB72" i="3"/>
  <c r="Z72" i="3"/>
  <c r="Q72" i="3" s="1"/>
  <c r="AN72" i="3"/>
  <c r="AL72" i="3"/>
  <c r="U72" i="3"/>
  <c r="AH73" i="3"/>
  <c r="AF73" i="3"/>
  <c r="S73" i="3"/>
  <c r="AB74" i="3"/>
  <c r="Z74" i="3"/>
  <c r="Q74" i="3" s="1"/>
  <c r="AN74" i="3"/>
  <c r="AL74" i="3"/>
  <c r="U74" i="3"/>
  <c r="AI63" i="3"/>
  <c r="AG63" i="3"/>
  <c r="T63" i="3"/>
  <c r="AC64" i="3"/>
  <c r="AA64" i="3"/>
  <c r="R64" i="3" s="1"/>
  <c r="AO64" i="3"/>
  <c r="AM64" i="3"/>
  <c r="V64" i="3" s="1"/>
  <c r="AI65" i="3"/>
  <c r="AG65" i="3"/>
  <c r="T65" i="3" s="1"/>
  <c r="AC66" i="3"/>
  <c r="AA66" i="3"/>
  <c r="R66" i="3"/>
  <c r="AO66" i="3"/>
  <c r="AM66" i="3"/>
  <c r="V66" i="3"/>
  <c r="AI67" i="3"/>
  <c r="AG67" i="3"/>
  <c r="T67" i="3" s="1"/>
  <c r="AC68" i="3"/>
  <c r="AA68" i="3"/>
  <c r="R68" i="3"/>
  <c r="AO68" i="3"/>
  <c r="AM68" i="3"/>
  <c r="V68" i="3"/>
  <c r="AI69" i="3"/>
  <c r="AG69" i="3"/>
  <c r="T69" i="3"/>
  <c r="AC70" i="3"/>
  <c r="AA70" i="3"/>
  <c r="R70" i="3" s="1"/>
  <c r="AO70" i="3"/>
  <c r="AM70" i="3"/>
  <c r="V70" i="3" s="1"/>
  <c r="AI71" i="3"/>
  <c r="AG71" i="3"/>
  <c r="T71" i="3" s="1"/>
  <c r="AC72" i="3"/>
  <c r="AA72" i="3"/>
  <c r="R72" i="3"/>
  <c r="AO72" i="3"/>
  <c r="AM72" i="3"/>
  <c r="V72" i="3" s="1"/>
  <c r="AI73" i="3"/>
  <c r="AG73" i="3"/>
  <c r="T73" i="3" s="1"/>
  <c r="AC74" i="3"/>
  <c r="AA74" i="3"/>
  <c r="R74" i="3"/>
  <c r="AO74" i="3"/>
  <c r="AM74" i="3"/>
  <c r="V74" i="3"/>
  <c r="AI75" i="3"/>
  <c r="AG75" i="3"/>
  <c r="T75" i="3" s="1"/>
  <c r="AC76" i="3"/>
  <c r="AA76" i="3"/>
  <c r="R76" i="3" s="1"/>
  <c r="AO76" i="3"/>
  <c r="AM76" i="3"/>
  <c r="V76" i="3" s="1"/>
  <c r="AI77" i="3"/>
  <c r="AG77" i="3"/>
  <c r="T77" i="3" s="1"/>
  <c r="AC78" i="3"/>
  <c r="AA78" i="3"/>
  <c r="R78" i="3" s="1"/>
  <c r="AO78" i="3"/>
  <c r="AM78" i="3"/>
  <c r="V78" i="3" s="1"/>
  <c r="AI79" i="3"/>
  <c r="AG79" i="3"/>
  <c r="T79" i="3" s="1"/>
  <c r="AC80" i="3"/>
  <c r="AA80" i="3"/>
  <c r="R80" i="3"/>
  <c r="AO80" i="3"/>
  <c r="AM80" i="3"/>
  <c r="V80" i="3" s="1"/>
  <c r="AI81" i="3"/>
  <c r="AG81" i="3"/>
  <c r="T81" i="3" s="1"/>
  <c r="AC82" i="3"/>
  <c r="AA82" i="3"/>
  <c r="R82" i="3"/>
  <c r="AO82" i="3"/>
  <c r="AM82" i="3"/>
  <c r="V82" i="3" s="1"/>
  <c r="AI83" i="3"/>
  <c r="AG83" i="3"/>
  <c r="T83" i="3" s="1"/>
  <c r="AC84" i="3"/>
  <c r="AA84" i="3"/>
  <c r="R84" i="3"/>
  <c r="AB75" i="3"/>
  <c r="Z75" i="3"/>
  <c r="Q75" i="3" s="1"/>
  <c r="AN75" i="3"/>
  <c r="AL75" i="3"/>
  <c r="U75" i="3" s="1"/>
  <c r="AH76" i="3"/>
  <c r="AF76" i="3"/>
  <c r="S76" i="3" s="1"/>
  <c r="AB77" i="3"/>
  <c r="Z77" i="3"/>
  <c r="Q77" i="3" s="1"/>
  <c r="AN77" i="3"/>
  <c r="AL77" i="3"/>
  <c r="U77" i="3"/>
  <c r="AH78" i="3"/>
  <c r="AF78" i="3"/>
  <c r="S78" i="3"/>
  <c r="AB79" i="3"/>
  <c r="Z79" i="3"/>
  <c r="Q79" i="3" s="1"/>
  <c r="AN79" i="3"/>
  <c r="AL79" i="3"/>
  <c r="U79" i="3"/>
  <c r="AH80" i="3"/>
  <c r="AF80" i="3"/>
  <c r="S80" i="3"/>
  <c r="AB81" i="3"/>
  <c r="Z81" i="3"/>
  <c r="Q81" i="3" s="1"/>
  <c r="AN81" i="3"/>
  <c r="AL81" i="3"/>
  <c r="U81" i="3" s="1"/>
  <c r="AH82" i="3"/>
  <c r="AF82" i="3"/>
  <c r="S82" i="3" s="1"/>
  <c r="AB83" i="3"/>
  <c r="Z83" i="3"/>
  <c r="Q83" i="3" s="1"/>
  <c r="AN83" i="3"/>
  <c r="AL83" i="3"/>
  <c r="U83" i="3"/>
  <c r="AF84" i="3"/>
  <c r="S84" i="3" s="1"/>
  <c r="AH84" i="3"/>
  <c r="AB85" i="3"/>
  <c r="Z85" i="3"/>
  <c r="Q85" i="3"/>
  <c r="AN85" i="3"/>
  <c r="AL85" i="3"/>
  <c r="U85" i="3"/>
  <c r="AH86" i="3"/>
  <c r="AF86" i="3"/>
  <c r="S86" i="3"/>
  <c r="AB87" i="3"/>
  <c r="Z87" i="3"/>
  <c r="Q87" i="3" s="1"/>
  <c r="AN87" i="3"/>
  <c r="AL87" i="3"/>
  <c r="U87" i="3" s="1"/>
  <c r="AH88" i="3"/>
  <c r="AF88" i="3"/>
  <c r="S88" i="3" s="1"/>
  <c r="AB89" i="3"/>
  <c r="Z89" i="3"/>
  <c r="Q89" i="3"/>
  <c r="AN89" i="3"/>
  <c r="AL89" i="3"/>
  <c r="U89" i="3" s="1"/>
  <c r="AH90" i="3"/>
  <c r="AF90" i="3"/>
  <c r="S90" i="3"/>
  <c r="AB91" i="3"/>
  <c r="Z91" i="3"/>
  <c r="Q91" i="3"/>
  <c r="AN91" i="3"/>
  <c r="AL91" i="3"/>
  <c r="U91" i="3" s="1"/>
  <c r="AL92" i="3"/>
  <c r="U92" i="3"/>
  <c r="AN92" i="3"/>
  <c r="Z94" i="3"/>
  <c r="Q94" i="3"/>
  <c r="AB94" i="3"/>
  <c r="AF95" i="3"/>
  <c r="S95" i="3"/>
  <c r="AH95" i="3"/>
  <c r="AN96" i="3"/>
  <c r="AL96" i="3"/>
  <c r="U96" i="3"/>
  <c r="AC85" i="3"/>
  <c r="AA85" i="3"/>
  <c r="R85" i="3" s="1"/>
  <c r="AO85" i="3"/>
  <c r="AM85" i="3"/>
  <c r="V85" i="3"/>
  <c r="AI86" i="3"/>
  <c r="AG86" i="3"/>
  <c r="T86" i="3"/>
  <c r="AC87" i="3"/>
  <c r="AA87" i="3"/>
  <c r="R87" i="3" s="1"/>
  <c r="AO87" i="3"/>
  <c r="AM87" i="3"/>
  <c r="V87" i="3" s="1"/>
  <c r="AI88" i="3"/>
  <c r="AG88" i="3"/>
  <c r="T88" i="3" s="1"/>
  <c r="AC89" i="3"/>
  <c r="AA89" i="3"/>
  <c r="R89" i="3" s="1"/>
  <c r="AO89" i="3"/>
  <c r="AM89" i="3"/>
  <c r="V89" i="3"/>
  <c r="AI90" i="3"/>
  <c r="AG90" i="3"/>
  <c r="T90" i="3" s="1"/>
  <c r="AC91" i="3"/>
  <c r="AA91" i="3"/>
  <c r="R91" i="3"/>
  <c r="AO91" i="3"/>
  <c r="AM91" i="3"/>
  <c r="V91" i="3"/>
  <c r="AB93" i="3"/>
  <c r="Z93" i="3"/>
  <c r="Q93" i="3" s="1"/>
  <c r="AH94" i="3"/>
  <c r="AF94" i="3"/>
  <c r="S94" i="3" s="1"/>
  <c r="AN95" i="3"/>
  <c r="AL95" i="3"/>
  <c r="U95" i="3" s="1"/>
  <c r="AB97" i="3"/>
  <c r="Z97" i="3"/>
  <c r="Q97" i="3" s="1"/>
  <c r="AN97" i="3"/>
  <c r="AL97" i="3"/>
  <c r="U97" i="3"/>
  <c r="AH98" i="3"/>
  <c r="AF98" i="3"/>
  <c r="S98" i="3" s="1"/>
  <c r="AB99" i="3"/>
  <c r="Z99" i="3"/>
  <c r="Q99" i="3"/>
  <c r="AG100" i="3"/>
  <c r="T100" i="3" s="1"/>
  <c r="AI100" i="3"/>
  <c r="AG102" i="3"/>
  <c r="T102" i="3" s="1"/>
  <c r="AI102" i="3"/>
  <c r="AC92" i="3"/>
  <c r="AA92" i="3"/>
  <c r="R92" i="3" s="1"/>
  <c r="AO92" i="3"/>
  <c r="AM92" i="3"/>
  <c r="V92" i="3" s="1"/>
  <c r="AI93" i="3"/>
  <c r="AG93" i="3"/>
  <c r="T93" i="3" s="1"/>
  <c r="AC94" i="3"/>
  <c r="AA94" i="3"/>
  <c r="R94" i="3" s="1"/>
  <c r="AO94" i="3"/>
  <c r="AM94" i="3"/>
  <c r="V94" i="3" s="1"/>
  <c r="AI95" i="3"/>
  <c r="AG95" i="3"/>
  <c r="T95" i="3"/>
  <c r="AC96" i="3"/>
  <c r="AA96" i="3"/>
  <c r="R96" i="3" s="1"/>
  <c r="AO96" i="3"/>
  <c r="AM96" i="3"/>
  <c r="V96" i="3"/>
  <c r="AI97" i="3"/>
  <c r="AG97" i="3"/>
  <c r="T97" i="3" s="1"/>
  <c r="AC98" i="3"/>
  <c r="AA98" i="3"/>
  <c r="R98" i="3" s="1"/>
  <c r="AO98" i="3"/>
  <c r="AM98" i="3"/>
  <c r="V98" i="3" s="1"/>
  <c r="AO99" i="3"/>
  <c r="AM99" i="3"/>
  <c r="V99" i="3" s="1"/>
  <c r="AO100" i="3"/>
  <c r="AM100" i="3"/>
  <c r="V100" i="3" s="1"/>
  <c r="AO101" i="3"/>
  <c r="AM101" i="3"/>
  <c r="V101" i="3" s="1"/>
  <c r="AO102" i="3"/>
  <c r="AM102" i="3"/>
  <c r="V102" i="3"/>
  <c r="AO103" i="3"/>
  <c r="AM103" i="3"/>
  <c r="V103" i="3"/>
  <c r="AN99" i="3"/>
  <c r="AL99" i="3"/>
  <c r="U99" i="3" s="1"/>
  <c r="AH100" i="3"/>
  <c r="AF100" i="3"/>
  <c r="S100" i="3" s="1"/>
  <c r="AB101" i="3"/>
  <c r="Z101" i="3"/>
  <c r="Q101" i="3" s="1"/>
  <c r="AN101" i="3"/>
  <c r="AL101" i="3"/>
  <c r="U101" i="3"/>
  <c r="AH102" i="3"/>
  <c r="AF102" i="3"/>
  <c r="S102" i="3" s="1"/>
  <c r="AB103" i="3"/>
  <c r="Z103" i="3"/>
  <c r="Q103" i="3" s="1"/>
  <c r="AN103" i="3"/>
  <c r="AL103" i="3"/>
  <c r="U103" i="3"/>
  <c r="CT22" i="3"/>
  <c r="CU22" i="3"/>
  <c r="CT20" i="3"/>
  <c r="CU20" i="3"/>
  <c r="CT17" i="3"/>
  <c r="CU17" i="3"/>
  <c r="CT13" i="3"/>
  <c r="CU13" i="3"/>
  <c r="CT11" i="3"/>
  <c r="CU11" i="3"/>
  <c r="CT6" i="3"/>
  <c r="CU6" i="3"/>
  <c r="AT77" i="3"/>
  <c r="N30" i="8"/>
  <c r="P3" i="8"/>
  <c r="K104" i="8"/>
  <c r="C36" i="3"/>
  <c r="C137" i="3" s="1"/>
  <c r="T30" i="8"/>
  <c r="E54" i="3"/>
  <c r="J104" i="8"/>
  <c r="B36" i="3"/>
  <c r="Y104" i="8"/>
  <c r="AA67" i="8"/>
  <c r="AA62" i="8"/>
  <c r="B142" i="3"/>
  <c r="D143" i="3"/>
  <c r="D38" i="3"/>
  <c r="G104" i="8"/>
  <c r="AS3" i="3"/>
  <c r="AS104" i="3" s="1"/>
  <c r="O30" i="8"/>
  <c r="Z104" i="8"/>
  <c r="AB67" i="8"/>
  <c r="AB62" i="8"/>
  <c r="C142" i="3"/>
  <c r="C243" i="3" s="1"/>
  <c r="D58" i="3"/>
  <c r="D164" i="3"/>
  <c r="D59" i="3"/>
  <c r="D165" i="3"/>
  <c r="D60" i="3"/>
  <c r="D166" i="3"/>
  <c r="D61" i="3"/>
  <c r="D167" i="3"/>
  <c r="D62" i="3"/>
  <c r="D168" i="3"/>
  <c r="D63" i="3"/>
  <c r="AT31" i="3"/>
  <c r="D170" i="3"/>
  <c r="D65" i="3"/>
  <c r="AT33" i="3"/>
  <c r="D172" i="3"/>
  <c r="D67" i="3"/>
  <c r="AT35" i="3"/>
  <c r="D174" i="3"/>
  <c r="D69" i="3"/>
  <c r="AT37" i="3"/>
  <c r="D176" i="3"/>
  <c r="D71" i="3"/>
  <c r="AT39" i="3"/>
  <c r="D178" i="3"/>
  <c r="D73" i="3"/>
  <c r="AT41" i="3"/>
  <c r="D180" i="3"/>
  <c r="D75" i="3"/>
  <c r="AT43" i="3"/>
  <c r="D182" i="3"/>
  <c r="D77" i="3"/>
  <c r="AT45" i="3"/>
  <c r="D184" i="3"/>
  <c r="D79" i="3"/>
  <c r="AT47" i="3"/>
  <c r="D186" i="3"/>
  <c r="D81" i="3"/>
  <c r="AT49" i="3"/>
  <c r="D188" i="3"/>
  <c r="D83" i="3"/>
  <c r="AT51" i="3"/>
  <c r="D190" i="3"/>
  <c r="D85" i="3"/>
  <c r="AT53" i="3"/>
  <c r="D192" i="3"/>
  <c r="D87" i="3"/>
  <c r="AT55" i="3"/>
  <c r="D194" i="3"/>
  <c r="D89" i="3"/>
  <c r="AT57" i="3"/>
  <c r="D196" i="3"/>
  <c r="D91" i="3"/>
  <c r="AT59" i="3"/>
  <c r="D198" i="3"/>
  <c r="D93" i="3"/>
  <c r="AT61" i="3"/>
  <c r="D200" i="3"/>
  <c r="D95" i="3"/>
  <c r="AT63" i="3"/>
  <c r="D202" i="3"/>
  <c r="D97" i="3"/>
  <c r="AT65" i="3"/>
  <c r="D204" i="3"/>
  <c r="D99" i="3"/>
  <c r="AT67" i="3"/>
  <c r="D206" i="3"/>
  <c r="D101" i="3"/>
  <c r="AT69" i="3"/>
  <c r="D208" i="3"/>
  <c r="D103" i="3"/>
  <c r="AT71" i="3"/>
  <c r="D210" i="3"/>
  <c r="D105" i="3"/>
  <c r="AT73" i="3"/>
  <c r="D212" i="3"/>
  <c r="D107" i="3"/>
  <c r="AT75" i="3"/>
  <c r="D214" i="3"/>
  <c r="D109" i="3"/>
  <c r="F104" i="8"/>
  <c r="AR3" i="3"/>
  <c r="P25" i="8"/>
  <c r="F76" i="3" s="1"/>
  <c r="AT26" i="3"/>
  <c r="P26" i="8"/>
  <c r="F77" i="3" s="1"/>
  <c r="AT27" i="3"/>
  <c r="P27" i="8"/>
  <c r="F78" i="3" s="1"/>
  <c r="AT28" i="3"/>
  <c r="P28" i="8"/>
  <c r="F79" i="3" s="1"/>
  <c r="AT29" i="3"/>
  <c r="P29" i="8"/>
  <c r="F80" i="3" s="1"/>
  <c r="AT30" i="3"/>
  <c r="D169" i="3"/>
  <c r="D64" i="3"/>
  <c r="AT32" i="3"/>
  <c r="D171" i="3"/>
  <c r="D66" i="3"/>
  <c r="AT34" i="3"/>
  <c r="D173" i="3"/>
  <c r="D68" i="3"/>
  <c r="AT36" i="3"/>
  <c r="D175" i="3"/>
  <c r="D70" i="3"/>
  <c r="AT38" i="3"/>
  <c r="D177" i="3"/>
  <c r="D72" i="3"/>
  <c r="AT40" i="3"/>
  <c r="D179" i="3"/>
  <c r="D74" i="3"/>
  <c r="AT42" i="3"/>
  <c r="D181" i="3"/>
  <c r="D76" i="3"/>
  <c r="AT44" i="3"/>
  <c r="D183" i="3"/>
  <c r="D78" i="3"/>
  <c r="AT46" i="3"/>
  <c r="D185" i="3"/>
  <c r="D80" i="3"/>
  <c r="AT48" i="3"/>
  <c r="D187" i="3"/>
  <c r="D82" i="3"/>
  <c r="AT50" i="3"/>
  <c r="D189" i="3"/>
  <c r="D84" i="3"/>
  <c r="AT52" i="3"/>
  <c r="D191" i="3"/>
  <c r="D86" i="3"/>
  <c r="AT54" i="3"/>
  <c r="D193" i="3"/>
  <c r="D88" i="3"/>
  <c r="AT56" i="3"/>
  <c r="D195" i="3"/>
  <c r="D90" i="3"/>
  <c r="AT58" i="3"/>
  <c r="D197" i="3"/>
  <c r="D92" i="3"/>
  <c r="AT60" i="3"/>
  <c r="D199" i="3"/>
  <c r="D94" i="3"/>
  <c r="AT62" i="3"/>
  <c r="D201" i="3"/>
  <c r="D96" i="3"/>
  <c r="AT64" i="3"/>
  <c r="D203" i="3"/>
  <c r="D98" i="3"/>
  <c r="AT66" i="3"/>
  <c r="D205" i="3"/>
  <c r="D100" i="3"/>
  <c r="AT68" i="3"/>
  <c r="D207" i="3"/>
  <c r="D102" i="3"/>
  <c r="AT70" i="3"/>
  <c r="D209" i="3"/>
  <c r="D104" i="3"/>
  <c r="AT72" i="3"/>
  <c r="D211" i="3"/>
  <c r="D106" i="3"/>
  <c r="AT74" i="3"/>
  <c r="D213" i="3"/>
  <c r="D108" i="3"/>
  <c r="AT76" i="3"/>
  <c r="D215" i="3"/>
  <c r="B87" i="10" l="1"/>
  <c r="B87" i="4"/>
  <c r="B59" i="4"/>
  <c r="D31" i="2"/>
  <c r="BE5" i="6"/>
  <c r="BC5" i="6"/>
  <c r="BD5" i="6"/>
  <c r="D35" i="2"/>
  <c r="G80" i="3"/>
  <c r="G79" i="3"/>
  <c r="G78" i="3"/>
  <c r="G77" i="3"/>
  <c r="G76" i="3"/>
  <c r="G74" i="3"/>
  <c r="G72" i="3"/>
  <c r="G70" i="3"/>
  <c r="G68" i="3"/>
  <c r="G66" i="3"/>
  <c r="G64" i="3"/>
  <c r="G62" i="3"/>
  <c r="G60" i="3"/>
  <c r="G58" i="3"/>
  <c r="G56" i="3"/>
  <c r="AA104" i="8"/>
  <c r="E81" i="3"/>
  <c r="P30" i="8"/>
  <c r="F54" i="3"/>
  <c r="AR104" i="3"/>
  <c r="AT3" i="3"/>
  <c r="AT104" i="3" s="1"/>
  <c r="D142" i="3"/>
  <c r="D243" i="3" s="1"/>
  <c r="B243" i="3"/>
  <c r="B137" i="3"/>
  <c r="D36" i="3"/>
  <c r="D137" i="3" s="1"/>
  <c r="D39" i="2" l="1"/>
  <c r="F81" i="3"/>
  <c r="G54" i="3"/>
  <c r="G81" i="3" s="1"/>
  <c r="CD116" i="3" l="1"/>
  <c r="CD118" i="3" s="1"/>
  <c r="B24" i="3"/>
  <c r="AW33" i="3" s="1"/>
  <c r="C24" i="3"/>
  <c r="C26" i="3" s="1"/>
  <c r="BD9" i="6"/>
  <c r="BD11" i="6" s="1"/>
  <c r="BE9" i="6"/>
  <c r="BE11" i="6" s="1"/>
  <c r="BC9" i="6"/>
  <c r="BC11" i="6" s="1"/>
  <c r="E16" i="4" l="1"/>
  <c r="E16" i="10"/>
  <c r="L16" i="4"/>
  <c r="L16" i="10"/>
  <c r="I16" i="4"/>
  <c r="I16" i="10"/>
  <c r="L11" i="10"/>
  <c r="M49" i="10"/>
  <c r="L15" i="10"/>
  <c r="L10" i="10"/>
  <c r="L14" i="10"/>
  <c r="L9" i="10"/>
  <c r="L8" i="10"/>
  <c r="L18" i="10"/>
  <c r="L13" i="10"/>
  <c r="L17" i="10"/>
  <c r="L12" i="10"/>
  <c r="E11" i="10"/>
  <c r="G49" i="10"/>
  <c r="E15" i="10"/>
  <c r="E10" i="10"/>
  <c r="E14" i="10"/>
  <c r="E9" i="10"/>
  <c r="E8" i="10"/>
  <c r="E18" i="10"/>
  <c r="E13" i="10"/>
  <c r="E17" i="10"/>
  <c r="E12" i="10"/>
  <c r="I11" i="10"/>
  <c r="J49" i="10"/>
  <c r="I15" i="10"/>
  <c r="I10" i="10"/>
  <c r="I14" i="10"/>
  <c r="I9" i="10"/>
  <c r="I8" i="10"/>
  <c r="I18" i="10"/>
  <c r="I13" i="10"/>
  <c r="I17" i="10"/>
  <c r="I12" i="10"/>
  <c r="E14" i="4"/>
  <c r="L12" i="4"/>
  <c r="L14" i="4"/>
  <c r="I12" i="4"/>
  <c r="I14" i="4"/>
  <c r="E11" i="4"/>
  <c r="E12" i="4"/>
  <c r="L10" i="4"/>
  <c r="L11" i="4"/>
  <c r="I10" i="4"/>
  <c r="I11" i="4"/>
  <c r="CC4" i="3"/>
  <c r="CC12" i="3"/>
  <c r="CC20" i="3"/>
  <c r="CC28" i="3"/>
  <c r="CC36" i="3"/>
  <c r="CC44" i="3"/>
  <c r="CC52" i="3"/>
  <c r="CC60" i="3"/>
  <c r="CC68" i="3"/>
  <c r="CC76" i="3"/>
  <c r="CC84" i="3"/>
  <c r="CC92" i="3"/>
  <c r="CC100" i="3"/>
  <c r="CD4" i="3"/>
  <c r="CD12" i="3"/>
  <c r="CD20" i="3"/>
  <c r="CD28" i="3"/>
  <c r="CD36" i="3"/>
  <c r="CD44" i="3"/>
  <c r="CD52" i="3"/>
  <c r="CD60" i="3"/>
  <c r="CD68" i="3"/>
  <c r="CD76" i="3"/>
  <c r="CD84" i="3"/>
  <c r="CD92" i="3"/>
  <c r="CD100" i="3"/>
  <c r="CC5" i="3"/>
  <c r="CC13" i="3"/>
  <c r="CC21" i="3"/>
  <c r="CC29" i="3"/>
  <c r="CC37" i="3"/>
  <c r="CC45" i="3"/>
  <c r="CC53" i="3"/>
  <c r="CC61" i="3"/>
  <c r="CC69" i="3"/>
  <c r="CC77" i="3"/>
  <c r="CC85" i="3"/>
  <c r="CC93" i="3"/>
  <c r="CC101" i="3"/>
  <c r="CD99" i="3"/>
  <c r="CD5" i="3"/>
  <c r="CD13" i="3"/>
  <c r="CD21" i="3"/>
  <c r="CD29" i="3"/>
  <c r="CD37" i="3"/>
  <c r="CD45" i="3"/>
  <c r="CD53" i="3"/>
  <c r="CD61" i="3"/>
  <c r="CD69" i="3"/>
  <c r="CD77" i="3"/>
  <c r="CD85" i="3"/>
  <c r="CD93" i="3"/>
  <c r="CD101" i="3"/>
  <c r="CC6" i="3"/>
  <c r="CC14" i="3"/>
  <c r="CC22" i="3"/>
  <c r="CC30" i="3"/>
  <c r="CC38" i="3"/>
  <c r="CC46" i="3"/>
  <c r="CC54" i="3"/>
  <c r="CC62" i="3"/>
  <c r="CC70" i="3"/>
  <c r="CC78" i="3"/>
  <c r="CC86" i="3"/>
  <c r="CC94" i="3"/>
  <c r="CC102" i="3"/>
  <c r="CD83" i="3"/>
  <c r="CD6" i="3"/>
  <c r="CD14" i="3"/>
  <c r="CD22" i="3"/>
  <c r="CD30" i="3"/>
  <c r="CD38" i="3"/>
  <c r="CD46" i="3"/>
  <c r="CD54" i="3"/>
  <c r="CD62" i="3"/>
  <c r="CD70" i="3"/>
  <c r="CD78" i="3"/>
  <c r="CD86" i="3"/>
  <c r="CD94" i="3"/>
  <c r="CD102" i="3"/>
  <c r="CD67" i="3"/>
  <c r="CC7" i="3"/>
  <c r="CC15" i="3"/>
  <c r="CC23" i="3"/>
  <c r="CC31" i="3"/>
  <c r="CC39" i="3"/>
  <c r="CC47" i="3"/>
  <c r="CC55" i="3"/>
  <c r="CC63" i="3"/>
  <c r="CC71" i="3"/>
  <c r="CC79" i="3"/>
  <c r="CC87" i="3"/>
  <c r="CC95" i="3"/>
  <c r="CC103" i="3"/>
  <c r="CD91" i="3"/>
  <c r="CD7" i="3"/>
  <c r="CD15" i="3"/>
  <c r="CD23" i="3"/>
  <c r="CD31" i="3"/>
  <c r="CD39" i="3"/>
  <c r="CD47" i="3"/>
  <c r="CD55" i="3"/>
  <c r="CD63" i="3"/>
  <c r="CD71" i="3"/>
  <c r="CD79" i="3"/>
  <c r="CD87" i="3"/>
  <c r="CD95" i="3"/>
  <c r="CD103" i="3"/>
  <c r="CD51" i="3"/>
  <c r="CC8" i="3"/>
  <c r="CC16" i="3"/>
  <c r="CC24" i="3"/>
  <c r="CC32" i="3"/>
  <c r="CC40" i="3"/>
  <c r="CC48" i="3"/>
  <c r="CC56" i="3"/>
  <c r="CC64" i="3"/>
  <c r="CC72" i="3"/>
  <c r="CC80" i="3"/>
  <c r="CC88" i="3"/>
  <c r="CC96" i="3"/>
  <c r="CD35" i="3"/>
  <c r="CD8" i="3"/>
  <c r="CD16" i="3"/>
  <c r="CD24" i="3"/>
  <c r="CD32" i="3"/>
  <c r="CD40" i="3"/>
  <c r="CD48" i="3"/>
  <c r="CD56" i="3"/>
  <c r="CD64" i="3"/>
  <c r="CD72" i="3"/>
  <c r="CD80" i="3"/>
  <c r="CD88" i="3"/>
  <c r="CD96" i="3"/>
  <c r="CD75" i="3"/>
  <c r="CC9" i="3"/>
  <c r="CC17" i="3"/>
  <c r="CC25" i="3"/>
  <c r="CC33" i="3"/>
  <c r="CC41" i="3"/>
  <c r="CC49" i="3"/>
  <c r="CC57" i="3"/>
  <c r="CC65" i="3"/>
  <c r="CC73" i="3"/>
  <c r="CC81" i="3"/>
  <c r="CC89" i="3"/>
  <c r="CC97" i="3"/>
  <c r="CD59" i="3"/>
  <c r="CD9" i="3"/>
  <c r="CD17" i="3"/>
  <c r="CD25" i="3"/>
  <c r="CD33" i="3"/>
  <c r="CD41" i="3"/>
  <c r="CD49" i="3"/>
  <c r="CD57" i="3"/>
  <c r="CD65" i="3"/>
  <c r="CD73" i="3"/>
  <c r="CD81" i="3"/>
  <c r="CD89" i="3"/>
  <c r="CD97" i="3"/>
  <c r="CD43" i="3"/>
  <c r="CC10" i="3"/>
  <c r="CC18" i="3"/>
  <c r="CC26" i="3"/>
  <c r="CC34" i="3"/>
  <c r="CC42" i="3"/>
  <c r="CC50" i="3"/>
  <c r="CC58" i="3"/>
  <c r="CC66" i="3"/>
  <c r="CC74" i="3"/>
  <c r="CC82" i="3"/>
  <c r="CC90" i="3"/>
  <c r="CC98" i="3"/>
  <c r="CD27" i="3"/>
  <c r="CD10" i="3"/>
  <c r="CD18" i="3"/>
  <c r="CD26" i="3"/>
  <c r="CD34" i="3"/>
  <c r="CD42" i="3"/>
  <c r="CD50" i="3"/>
  <c r="CD58" i="3"/>
  <c r="CD66" i="3"/>
  <c r="CD74" i="3"/>
  <c r="CD82" i="3"/>
  <c r="CD90" i="3"/>
  <c r="CD98" i="3"/>
  <c r="CD19" i="3"/>
  <c r="CC11" i="3"/>
  <c r="CC19" i="3"/>
  <c r="CC27" i="3"/>
  <c r="CC35" i="3"/>
  <c r="CC43" i="3"/>
  <c r="CC51" i="3"/>
  <c r="CC59" i="3"/>
  <c r="CC67" i="3"/>
  <c r="CC75" i="3"/>
  <c r="CC83" i="3"/>
  <c r="CC91" i="3"/>
  <c r="CC99" i="3"/>
  <c r="CD11" i="3"/>
  <c r="CC3" i="3"/>
  <c r="CD3" i="3"/>
  <c r="B26" i="3"/>
  <c r="AY48" i="3"/>
  <c r="BJ34" i="3"/>
  <c r="CE39" i="3"/>
  <c r="CL45" i="3"/>
  <c r="AY67" i="3"/>
  <c r="AY20" i="3"/>
  <c r="BQ37" i="3"/>
  <c r="AY83" i="3"/>
  <c r="AY81" i="3"/>
  <c r="BC31" i="3"/>
  <c r="CE31" i="3"/>
  <c r="AY25" i="3"/>
  <c r="AY13" i="3"/>
  <c r="CL41" i="3"/>
  <c r="BQ43" i="3"/>
  <c r="BX47" i="3"/>
  <c r="AY91" i="3"/>
  <c r="BQ30" i="3"/>
  <c r="AY51" i="3"/>
  <c r="BX31" i="3"/>
  <c r="CE29" i="3"/>
  <c r="BQ27" i="3"/>
  <c r="BC28" i="3"/>
  <c r="CE28" i="3"/>
  <c r="AY56" i="3"/>
  <c r="BJ41" i="3"/>
  <c r="AY77" i="3"/>
  <c r="AY50" i="3"/>
  <c r="AY5" i="3"/>
  <c r="CE46" i="3"/>
  <c r="BQ29" i="3"/>
  <c r="AY76" i="3"/>
  <c r="BO61" i="3"/>
  <c r="BO69" i="3"/>
  <c r="BO85" i="3"/>
  <c r="BP61" i="3"/>
  <c r="BP69" i="3"/>
  <c r="BP77" i="3"/>
  <c r="BP85" i="3"/>
  <c r="BP93" i="3"/>
  <c r="BO62" i="3"/>
  <c r="BO70" i="3"/>
  <c r="BO78" i="3"/>
  <c r="BO86" i="3"/>
  <c r="BO94" i="3"/>
  <c r="BO102" i="3"/>
  <c r="BP62" i="3"/>
  <c r="BP70" i="3"/>
  <c r="BP78" i="3"/>
  <c r="BP86" i="3"/>
  <c r="BP94" i="3"/>
  <c r="BP102" i="3"/>
  <c r="BO63" i="3"/>
  <c r="BO71" i="3"/>
  <c r="BO79" i="3"/>
  <c r="BO87" i="3"/>
  <c r="BO95" i="3"/>
  <c r="BO103" i="3"/>
  <c r="BP63" i="3"/>
  <c r="BP71" i="3"/>
  <c r="BP79" i="3"/>
  <c r="BP87" i="3"/>
  <c r="BP95" i="3"/>
  <c r="BP103" i="3"/>
  <c r="BO64" i="3"/>
  <c r="BO72" i="3"/>
  <c r="BO80" i="3"/>
  <c r="BO88" i="3"/>
  <c r="BO96" i="3"/>
  <c r="BP64" i="3"/>
  <c r="BP72" i="3"/>
  <c r="BP80" i="3"/>
  <c r="BP88" i="3"/>
  <c r="BP96" i="3"/>
  <c r="BP98" i="3"/>
  <c r="BO67" i="3"/>
  <c r="BP75" i="3"/>
  <c r="BP91" i="3"/>
  <c r="BO92" i="3"/>
  <c r="BP92" i="3"/>
  <c r="BO77" i="3"/>
  <c r="BO65" i="3"/>
  <c r="BO73" i="3"/>
  <c r="BO81" i="3"/>
  <c r="BO89" i="3"/>
  <c r="BO97" i="3"/>
  <c r="BP90" i="3"/>
  <c r="BO83" i="3"/>
  <c r="BO99" i="3"/>
  <c r="BP67" i="3"/>
  <c r="BO68" i="3"/>
  <c r="BO100" i="3"/>
  <c r="BP68" i="3"/>
  <c r="BP100" i="3"/>
  <c r="BO101" i="3"/>
  <c r="BP65" i="3"/>
  <c r="BP73" i="3"/>
  <c r="BP81" i="3"/>
  <c r="BP89" i="3"/>
  <c r="BP97" i="3"/>
  <c r="BO66" i="3"/>
  <c r="BO74" i="3"/>
  <c r="BO82" i="3"/>
  <c r="BO90" i="3"/>
  <c r="BO98" i="3"/>
  <c r="BP66" i="3"/>
  <c r="BP74" i="3"/>
  <c r="BP82" i="3"/>
  <c r="BO75" i="3"/>
  <c r="BO91" i="3"/>
  <c r="BP83" i="3"/>
  <c r="BP99" i="3"/>
  <c r="BO76" i="3"/>
  <c r="BP84" i="3"/>
  <c r="BO93" i="3"/>
  <c r="BO84" i="3"/>
  <c r="BP101" i="3"/>
  <c r="BP76" i="3"/>
  <c r="BO60" i="3"/>
  <c r="BP60" i="3"/>
  <c r="BO59" i="3"/>
  <c r="BP59" i="3"/>
  <c r="BH61" i="3"/>
  <c r="BH69" i="3"/>
  <c r="BH77" i="3"/>
  <c r="BH85" i="3"/>
  <c r="BH93" i="3"/>
  <c r="BH101" i="3"/>
  <c r="BI76" i="3"/>
  <c r="BI61" i="3"/>
  <c r="BI69" i="3"/>
  <c r="BI77" i="3"/>
  <c r="BI85" i="3"/>
  <c r="BI93" i="3"/>
  <c r="BI101" i="3"/>
  <c r="BH68" i="3"/>
  <c r="BH62" i="3"/>
  <c r="BH70" i="3"/>
  <c r="BH78" i="3"/>
  <c r="BH86" i="3"/>
  <c r="BH94" i="3"/>
  <c r="BH102" i="3"/>
  <c r="BH84" i="3"/>
  <c r="BI62" i="3"/>
  <c r="BI70" i="3"/>
  <c r="BI78" i="3"/>
  <c r="BI86" i="3"/>
  <c r="BI94" i="3"/>
  <c r="BI102" i="3"/>
  <c r="BH63" i="3"/>
  <c r="BH71" i="3"/>
  <c r="BH79" i="3"/>
  <c r="BH87" i="3"/>
  <c r="BH95" i="3"/>
  <c r="BH103" i="3"/>
  <c r="BH76" i="3"/>
  <c r="BI63" i="3"/>
  <c r="BI71" i="3"/>
  <c r="BI79" i="3"/>
  <c r="BI87" i="3"/>
  <c r="BI95" i="3"/>
  <c r="BI103" i="3"/>
  <c r="BH100" i="3"/>
  <c r="BH64" i="3"/>
  <c r="BH72" i="3"/>
  <c r="BH80" i="3"/>
  <c r="BH88" i="3"/>
  <c r="BH96" i="3"/>
  <c r="BH92" i="3"/>
  <c r="BI64" i="3"/>
  <c r="BI72" i="3"/>
  <c r="BI80" i="3"/>
  <c r="BI88" i="3"/>
  <c r="BI96" i="3"/>
  <c r="BH65" i="3"/>
  <c r="BH73" i="3"/>
  <c r="BH81" i="3"/>
  <c r="BH89" i="3"/>
  <c r="BH97" i="3"/>
  <c r="BI75" i="3"/>
  <c r="BI65" i="3"/>
  <c r="BI73" i="3"/>
  <c r="BI81" i="3"/>
  <c r="BI89" i="3"/>
  <c r="BI97" i="3"/>
  <c r="BI91" i="3"/>
  <c r="BI68" i="3"/>
  <c r="BH66" i="3"/>
  <c r="BH74" i="3"/>
  <c r="BH82" i="3"/>
  <c r="BH90" i="3"/>
  <c r="BH98" i="3"/>
  <c r="BI83" i="3"/>
  <c r="BI92" i="3"/>
  <c r="BI66" i="3"/>
  <c r="BI74" i="3"/>
  <c r="BI82" i="3"/>
  <c r="BI90" i="3"/>
  <c r="BI98" i="3"/>
  <c r="BI84" i="3"/>
  <c r="BH67" i="3"/>
  <c r="BH75" i="3"/>
  <c r="BH83" i="3"/>
  <c r="BH91" i="3"/>
  <c r="BH99" i="3"/>
  <c r="BI99" i="3"/>
  <c r="BI100" i="3"/>
  <c r="BI67" i="3"/>
  <c r="BH60" i="3"/>
  <c r="BI60" i="3"/>
  <c r="BH59" i="3"/>
  <c r="BI59" i="3"/>
  <c r="BB103" i="3"/>
  <c r="BB95" i="3"/>
  <c r="BB87" i="3"/>
  <c r="BB79" i="3"/>
  <c r="BB71" i="3"/>
  <c r="BB63" i="3"/>
  <c r="BA102" i="3"/>
  <c r="BA86" i="3"/>
  <c r="BA62" i="3"/>
  <c r="BB81" i="3"/>
  <c r="BB96" i="3"/>
  <c r="BA103" i="3"/>
  <c r="BA95" i="3"/>
  <c r="BA87" i="3"/>
  <c r="BA79" i="3"/>
  <c r="BA71" i="3"/>
  <c r="BA63" i="3"/>
  <c r="BB62" i="3"/>
  <c r="BA94" i="3"/>
  <c r="BA70" i="3"/>
  <c r="BB89" i="3"/>
  <c r="BB72" i="3"/>
  <c r="BB102" i="3"/>
  <c r="BB94" i="3"/>
  <c r="BB86" i="3"/>
  <c r="BB78" i="3"/>
  <c r="BB70" i="3"/>
  <c r="BA78" i="3"/>
  <c r="BB97" i="3"/>
  <c r="BB80" i="3"/>
  <c r="BB101" i="3"/>
  <c r="BB93" i="3"/>
  <c r="BB85" i="3"/>
  <c r="BB77" i="3"/>
  <c r="BB69" i="3"/>
  <c r="BB61" i="3"/>
  <c r="BA90" i="3"/>
  <c r="BA65" i="3"/>
  <c r="BA96" i="3"/>
  <c r="BA101" i="3"/>
  <c r="BA93" i="3"/>
  <c r="BA85" i="3"/>
  <c r="BA77" i="3"/>
  <c r="BA69" i="3"/>
  <c r="BA61" i="3"/>
  <c r="BB82" i="3"/>
  <c r="BA74" i="3"/>
  <c r="BB73" i="3"/>
  <c r="BB88" i="3"/>
  <c r="BB100" i="3"/>
  <c r="BB92" i="3"/>
  <c r="BB84" i="3"/>
  <c r="BB76" i="3"/>
  <c r="BB68" i="3"/>
  <c r="BB90" i="3"/>
  <c r="BA82" i="3"/>
  <c r="BA97" i="3"/>
  <c r="BA72" i="3"/>
  <c r="BA100" i="3"/>
  <c r="BA92" i="3"/>
  <c r="BA84" i="3"/>
  <c r="BA76" i="3"/>
  <c r="BA68" i="3"/>
  <c r="BB98" i="3"/>
  <c r="BA81" i="3"/>
  <c r="BA88" i="3"/>
  <c r="BB99" i="3"/>
  <c r="BB91" i="3"/>
  <c r="BB83" i="3"/>
  <c r="BB75" i="3"/>
  <c r="BB67" i="3"/>
  <c r="BB66" i="3"/>
  <c r="BA66" i="3"/>
  <c r="BB65" i="3"/>
  <c r="BA73" i="3"/>
  <c r="BB64" i="3"/>
  <c r="BA99" i="3"/>
  <c r="BA91" i="3"/>
  <c r="BA83" i="3"/>
  <c r="BA75" i="3"/>
  <c r="BA67" i="3"/>
  <c r="BB74" i="3"/>
  <c r="BA98" i="3"/>
  <c r="BA89" i="3"/>
  <c r="BA64" i="3"/>
  <c r="BA80" i="3"/>
  <c r="BA60" i="3"/>
  <c r="BB60" i="3"/>
  <c r="BQ32" i="3"/>
  <c r="BX27" i="3"/>
  <c r="BC33" i="3"/>
  <c r="BX23" i="3"/>
  <c r="BX21" i="3"/>
  <c r="CL22" i="3"/>
  <c r="BC41" i="3"/>
  <c r="CE21" i="3"/>
  <c r="AY29" i="3"/>
  <c r="AY6" i="3"/>
  <c r="AY60" i="3"/>
  <c r="AY44" i="3"/>
  <c r="BJ24" i="3"/>
  <c r="BQ46" i="3"/>
  <c r="AY98" i="3"/>
  <c r="BX40" i="3"/>
  <c r="BC32" i="3"/>
  <c r="AY96" i="3"/>
  <c r="BC35" i="3"/>
  <c r="BC45" i="3"/>
  <c r="BJ33" i="3"/>
  <c r="BC21" i="3"/>
  <c r="BQ25" i="3"/>
  <c r="AU26" i="3"/>
  <c r="CL28" i="3"/>
  <c r="AY82" i="3"/>
  <c r="BQ41" i="3"/>
  <c r="AY90" i="3"/>
  <c r="AY47" i="3"/>
  <c r="AY11" i="3"/>
  <c r="BQ34" i="3"/>
  <c r="AY62" i="3"/>
  <c r="AY97" i="3"/>
  <c r="CE35" i="3"/>
  <c r="CE45" i="3"/>
  <c r="CL31" i="3"/>
  <c r="AY10" i="3"/>
  <c r="AY93" i="3"/>
  <c r="AV102" i="3"/>
  <c r="AY52" i="3"/>
  <c r="AY64" i="3"/>
  <c r="BJ26" i="3"/>
  <c r="AY68" i="3"/>
  <c r="BQ31" i="3"/>
  <c r="AY72" i="3"/>
  <c r="BJ46" i="3"/>
  <c r="AY101" i="3"/>
  <c r="CE32" i="3"/>
  <c r="BQ33" i="3"/>
  <c r="BC34" i="3"/>
  <c r="AY66" i="3"/>
  <c r="CL24" i="3"/>
  <c r="BJ37" i="3"/>
  <c r="BJ47" i="3"/>
  <c r="BX30" i="3"/>
  <c r="CL42" i="3"/>
  <c r="BX29" i="3"/>
  <c r="AV69" i="3"/>
  <c r="AY69" i="3"/>
  <c r="BC30" i="3"/>
  <c r="AY61" i="3"/>
  <c r="CE30" i="3"/>
  <c r="AY53" i="3"/>
  <c r="CE33" i="3"/>
  <c r="BQ22" i="3"/>
  <c r="AY54" i="3"/>
  <c r="AY58" i="3"/>
  <c r="CE34" i="3"/>
  <c r="AY70" i="3"/>
  <c r="BQ26" i="3"/>
  <c r="CL37" i="3"/>
  <c r="AY80" i="3"/>
  <c r="BJ29" i="3"/>
  <c r="AY34" i="3"/>
  <c r="AY31" i="3"/>
  <c r="AV48" i="3"/>
  <c r="AY74" i="3"/>
  <c r="BQ39" i="3"/>
  <c r="CL27" i="3"/>
  <c r="AY21" i="3"/>
  <c r="AY36" i="3"/>
  <c r="AY102" i="3"/>
  <c r="BC26" i="3"/>
  <c r="BX37" i="3"/>
  <c r="BQ45" i="3"/>
  <c r="BQ28" i="3"/>
  <c r="BX41" i="3"/>
  <c r="AY88" i="3"/>
  <c r="AY100" i="3"/>
  <c r="BX25" i="3"/>
  <c r="CL26" i="3"/>
  <c r="BQ35" i="3"/>
  <c r="BC27" i="3"/>
  <c r="AY94" i="3"/>
  <c r="AY30" i="3"/>
  <c r="BX24" i="3"/>
  <c r="AY78" i="3"/>
  <c r="CE27" i="3"/>
  <c r="AY40" i="3"/>
  <c r="BQ24" i="3"/>
  <c r="AY26" i="3"/>
  <c r="BC47" i="3"/>
  <c r="CE26" i="3"/>
  <c r="BC39" i="3"/>
  <c r="AY46" i="3"/>
  <c r="BC29" i="3"/>
  <c r="BC43" i="3"/>
  <c r="AY89" i="3"/>
  <c r="AY85" i="3"/>
  <c r="AY24" i="3"/>
  <c r="BQ42" i="3"/>
  <c r="BB59" i="3"/>
  <c r="BA59" i="3"/>
  <c r="AY27" i="3"/>
  <c r="AU85" i="3"/>
  <c r="CL44" i="3"/>
  <c r="AY65" i="3"/>
  <c r="AV12" i="3"/>
  <c r="BX26" i="3"/>
  <c r="BQ44" i="3"/>
  <c r="CE42" i="3"/>
  <c r="CL46" i="3"/>
  <c r="AX92" i="3"/>
  <c r="CE23" i="3"/>
  <c r="CE40" i="3"/>
  <c r="BQ38" i="3"/>
  <c r="CL29" i="3"/>
  <c r="BC23" i="3"/>
  <c r="BQ36" i="3"/>
  <c r="BJ36" i="3"/>
  <c r="BJ27" i="3"/>
  <c r="BQ47" i="3"/>
  <c r="BQ21" i="3"/>
  <c r="AV4" i="3"/>
  <c r="AY8" i="3"/>
  <c r="AY18" i="3"/>
  <c r="BJ45" i="3"/>
  <c r="AY22" i="3"/>
  <c r="AU12" i="3"/>
  <c r="AY3" i="3"/>
  <c r="AY73" i="3"/>
  <c r="AY17" i="3"/>
  <c r="AV51" i="3"/>
  <c r="CL47" i="3"/>
  <c r="BJ43" i="3"/>
  <c r="BX45" i="3"/>
  <c r="BJ42" i="3"/>
  <c r="AY63" i="3"/>
  <c r="BX43" i="3"/>
  <c r="AY57" i="3"/>
  <c r="AY7" i="3"/>
  <c r="AW3" i="3"/>
  <c r="AY92" i="3"/>
  <c r="AX51" i="3"/>
  <c r="AY87" i="3"/>
  <c r="AY38" i="3"/>
  <c r="AY49" i="3"/>
  <c r="BC40" i="3"/>
  <c r="BX33" i="3"/>
  <c r="CL21" i="3"/>
  <c r="CL43" i="3"/>
  <c r="BC37" i="3"/>
  <c r="CE43" i="3"/>
  <c r="AY95" i="3"/>
  <c r="CL35" i="3"/>
  <c r="AY42" i="3"/>
  <c r="BX38" i="3"/>
  <c r="BJ28" i="3"/>
  <c r="AY43" i="3"/>
  <c r="CE41" i="3"/>
  <c r="AY14" i="3"/>
  <c r="BC46" i="3"/>
  <c r="AY86" i="3"/>
  <c r="BX34" i="3"/>
  <c r="CE37" i="3"/>
  <c r="AY37" i="3"/>
  <c r="BJ23" i="3"/>
  <c r="CE38" i="3"/>
  <c r="BX39" i="3"/>
  <c r="BJ40" i="3"/>
  <c r="BX28" i="3"/>
  <c r="BC25" i="3"/>
  <c r="AW71" i="3"/>
  <c r="AY75" i="3"/>
  <c r="AV74" i="3"/>
  <c r="AY59" i="3"/>
  <c r="AU30" i="3"/>
  <c r="BJ32" i="3"/>
  <c r="AV5" i="3"/>
  <c r="AU60" i="3"/>
  <c r="AW63" i="3"/>
  <c r="BC22" i="3"/>
  <c r="AY79" i="3"/>
  <c r="AV78" i="3"/>
  <c r="AU89" i="3"/>
  <c r="AV55" i="3"/>
  <c r="AX56" i="3"/>
  <c r="AX49" i="3"/>
  <c r="AY16" i="3"/>
  <c r="BC42" i="3"/>
  <c r="AV62" i="3"/>
  <c r="AU81" i="3"/>
  <c r="AV39" i="3"/>
  <c r="AW60" i="3"/>
  <c r="CE44" i="3"/>
  <c r="AY39" i="3"/>
  <c r="AV58" i="3"/>
  <c r="AU73" i="3"/>
  <c r="AV27" i="3"/>
  <c r="AW80" i="3"/>
  <c r="BC44" i="3"/>
  <c r="CL36" i="3"/>
  <c r="AV54" i="3"/>
  <c r="AU61" i="3"/>
  <c r="AV11" i="3"/>
  <c r="AW84" i="3"/>
  <c r="BX42" i="3"/>
  <c r="AY33" i="3"/>
  <c r="AV30" i="3"/>
  <c r="AU49" i="3"/>
  <c r="AU96" i="3"/>
  <c r="AW74" i="3"/>
  <c r="BC24" i="3"/>
  <c r="AY41" i="3"/>
  <c r="AY23" i="3"/>
  <c r="AU78" i="3"/>
  <c r="AU21" i="3"/>
  <c r="AU67" i="3"/>
  <c r="AW21" i="3"/>
  <c r="BQ23" i="3"/>
  <c r="BQ40" i="3"/>
  <c r="AY12" i="3"/>
  <c r="AU66" i="3"/>
  <c r="AU5" i="3"/>
  <c r="AU59" i="3"/>
  <c r="CE22" i="3"/>
  <c r="AY28" i="3"/>
  <c r="AY4" i="3"/>
  <c r="AU42" i="3"/>
  <c r="AV80" i="3"/>
  <c r="AU39" i="3"/>
  <c r="AY84" i="3"/>
  <c r="CL25" i="3"/>
  <c r="AY71" i="3"/>
  <c r="AU38" i="3"/>
  <c r="AV76" i="3"/>
  <c r="AW22" i="3"/>
  <c r="CE47" i="3"/>
  <c r="BJ25" i="3"/>
  <c r="CL34" i="3"/>
  <c r="AU34" i="3"/>
  <c r="AV60" i="3"/>
  <c r="AX67" i="3"/>
  <c r="AX47" i="3"/>
  <c r="AV8" i="3"/>
  <c r="AX19" i="3"/>
  <c r="AX80" i="3"/>
  <c r="AU14" i="3"/>
  <c r="AU25" i="3"/>
  <c r="AU28" i="3"/>
  <c r="AU63" i="3"/>
  <c r="AW95" i="3"/>
  <c r="AX48" i="3"/>
  <c r="BX46" i="3"/>
  <c r="CL23" i="3"/>
  <c r="AV42" i="3"/>
  <c r="AV73" i="3"/>
  <c r="AU17" i="3"/>
  <c r="AU92" i="3"/>
  <c r="AU55" i="3"/>
  <c r="AX74" i="3"/>
  <c r="AX12" i="3"/>
  <c r="AX90" i="3"/>
  <c r="AY45" i="3"/>
  <c r="CL38" i="3"/>
  <c r="CL30" i="3"/>
  <c r="CL40" i="3"/>
  <c r="AV6" i="3"/>
  <c r="AV61" i="3"/>
  <c r="AV94" i="3"/>
  <c r="AU56" i="3"/>
  <c r="AU19" i="3"/>
  <c r="AX24" i="3"/>
  <c r="AX37" i="3"/>
  <c r="BJ35" i="3"/>
  <c r="CL39" i="3"/>
  <c r="BJ38" i="3"/>
  <c r="CE24" i="3"/>
  <c r="CE25" i="3"/>
  <c r="AU102" i="3"/>
  <c r="AV57" i="3"/>
  <c r="AV101" i="3"/>
  <c r="AU52" i="3"/>
  <c r="AX31" i="3"/>
  <c r="AX39" i="3"/>
  <c r="CL33" i="3"/>
  <c r="BX35" i="3"/>
  <c r="CE36" i="3"/>
  <c r="BJ22" i="3"/>
  <c r="BJ21" i="3"/>
  <c r="AU98" i="3"/>
  <c r="AV53" i="3"/>
  <c r="AV77" i="3"/>
  <c r="AU48" i="3"/>
  <c r="AX97" i="3"/>
  <c r="AX23" i="3"/>
  <c r="BX32" i="3"/>
  <c r="CL32" i="3"/>
  <c r="BC36" i="3"/>
  <c r="AY19" i="3"/>
  <c r="BC38" i="3"/>
  <c r="AU94" i="3"/>
  <c r="AV41" i="3"/>
  <c r="AV96" i="3"/>
  <c r="AV91" i="3"/>
  <c r="AX4" i="3"/>
  <c r="AW24" i="3"/>
  <c r="BJ31" i="3"/>
  <c r="BJ30" i="3"/>
  <c r="AY32" i="3"/>
  <c r="BJ44" i="3"/>
  <c r="AY15" i="3"/>
  <c r="AU90" i="3"/>
  <c r="AV29" i="3"/>
  <c r="AV84" i="3"/>
  <c r="AV79" i="3"/>
  <c r="AX78" i="3"/>
  <c r="AX63" i="3"/>
  <c r="AX102" i="3"/>
  <c r="AW103" i="3"/>
  <c r="AW77" i="3"/>
  <c r="AW31" i="3"/>
  <c r="AX101" i="3"/>
  <c r="AX70" i="3"/>
  <c r="AW42" i="3"/>
  <c r="AX27" i="3"/>
  <c r="AW64" i="3"/>
  <c r="AV72" i="3"/>
  <c r="AU24" i="3"/>
  <c r="AU44" i="3"/>
  <c r="AV23" i="3"/>
  <c r="AU51" i="3"/>
  <c r="AW48" i="3"/>
  <c r="AW36" i="3"/>
  <c r="AX3" i="3"/>
  <c r="AX54" i="3"/>
  <c r="AX38" i="3"/>
  <c r="AX77" i="3"/>
  <c r="AW19" i="3"/>
  <c r="AX26" i="3"/>
  <c r="BX22" i="3"/>
  <c r="AV50" i="3"/>
  <c r="AU86" i="3"/>
  <c r="AU22" i="3"/>
  <c r="AV49" i="3"/>
  <c r="AU69" i="3"/>
  <c r="AV82" i="3"/>
  <c r="AV68" i="3"/>
  <c r="AU20" i="3"/>
  <c r="AU40" i="3"/>
  <c r="AV19" i="3"/>
  <c r="AU47" i="3"/>
  <c r="AX50" i="3"/>
  <c r="AW56" i="3"/>
  <c r="AW32" i="3"/>
  <c r="AW100" i="3"/>
  <c r="AX6" i="3"/>
  <c r="AX13" i="3"/>
  <c r="AW72" i="3"/>
  <c r="AX86" i="3"/>
  <c r="AY55" i="3"/>
  <c r="AV46" i="3"/>
  <c r="AU82" i="3"/>
  <c r="AU18" i="3"/>
  <c r="AV45" i="3"/>
  <c r="AU65" i="3"/>
  <c r="AV66" i="3"/>
  <c r="AV64" i="3"/>
  <c r="AU16" i="3"/>
  <c r="AV103" i="3"/>
  <c r="AV15" i="3"/>
  <c r="AU43" i="3"/>
  <c r="AW99" i="3"/>
  <c r="AW62" i="3"/>
  <c r="AX71" i="3"/>
  <c r="AW39" i="3"/>
  <c r="AX81" i="3"/>
  <c r="AW53" i="3"/>
  <c r="AW4" i="3"/>
  <c r="AW7" i="3"/>
  <c r="AX82" i="3"/>
  <c r="AY35" i="3"/>
  <c r="AV38" i="3"/>
  <c r="AU74" i="3"/>
  <c r="AU10" i="3"/>
  <c r="AV37" i="3"/>
  <c r="AU57" i="3"/>
  <c r="AV93" i="3"/>
  <c r="AV56" i="3"/>
  <c r="AU8" i="3"/>
  <c r="AV87" i="3"/>
  <c r="AV7" i="3"/>
  <c r="AU35" i="3"/>
  <c r="AW86" i="3"/>
  <c r="AX68" i="3"/>
  <c r="AX42" i="3"/>
  <c r="AW58" i="3"/>
  <c r="AW57" i="3"/>
  <c r="AW13" i="3"/>
  <c r="AX94" i="3"/>
  <c r="AW90" i="3"/>
  <c r="BX44" i="3"/>
  <c r="AV34" i="3"/>
  <c r="AU70" i="3"/>
  <c r="AU6" i="3"/>
  <c r="AV33" i="3"/>
  <c r="AU53" i="3"/>
  <c r="AV85" i="3"/>
  <c r="AV52" i="3"/>
  <c r="AU100" i="3"/>
  <c r="AV83" i="3"/>
  <c r="AV3" i="3"/>
  <c r="AU31" i="3"/>
  <c r="AW54" i="3"/>
  <c r="AW28" i="3"/>
  <c r="AW50" i="3"/>
  <c r="AX29" i="3"/>
  <c r="AX52" i="3"/>
  <c r="AX75" i="3"/>
  <c r="AX62" i="3"/>
  <c r="AW26" i="3"/>
  <c r="AX53" i="3"/>
  <c r="AX59" i="3"/>
  <c r="AX20" i="3"/>
  <c r="AX33" i="3"/>
  <c r="AW38" i="3"/>
  <c r="AX61" i="3"/>
  <c r="AY103" i="3"/>
  <c r="AV26" i="3"/>
  <c r="AU62" i="3"/>
  <c r="AV86" i="3"/>
  <c r="AV25" i="3"/>
  <c r="AU45" i="3"/>
  <c r="AV65" i="3"/>
  <c r="AV44" i="3"/>
  <c r="AU80" i="3"/>
  <c r="AV75" i="3"/>
  <c r="AU103" i="3"/>
  <c r="AU7" i="3"/>
  <c r="AX89" i="3"/>
  <c r="AX87" i="3"/>
  <c r="AX21" i="3"/>
  <c r="AW35" i="3"/>
  <c r="AW44" i="3"/>
  <c r="AW87" i="3"/>
  <c r="AW6" i="3"/>
  <c r="AX32" i="3"/>
  <c r="BX36" i="3"/>
  <c r="AY99" i="3"/>
  <c r="AV22" i="3"/>
  <c r="AU58" i="3"/>
  <c r="AV70" i="3"/>
  <c r="AV21" i="3"/>
  <c r="AU41" i="3"/>
  <c r="AU101" i="3"/>
  <c r="AV36" i="3"/>
  <c r="AU76" i="3"/>
  <c r="AV71" i="3"/>
  <c r="AU99" i="3"/>
  <c r="AW47" i="3"/>
  <c r="AX57" i="3"/>
  <c r="AX18" i="3"/>
  <c r="AW93" i="3"/>
  <c r="AX79" i="3"/>
  <c r="AX103" i="3"/>
  <c r="AW23" i="3"/>
  <c r="AX9" i="3"/>
  <c r="AV18" i="3"/>
  <c r="AU54" i="3"/>
  <c r="AV97" i="3"/>
  <c r="AV17" i="3"/>
  <c r="AU37" i="3"/>
  <c r="AU97" i="3"/>
  <c r="AV32" i="3"/>
  <c r="AU72" i="3"/>
  <c r="AV67" i="3"/>
  <c r="AU95" i="3"/>
  <c r="AW98" i="3"/>
  <c r="AX25" i="3"/>
  <c r="AW101" i="3"/>
  <c r="AW61" i="3"/>
  <c r="AW68" i="3"/>
  <c r="AW34" i="3"/>
  <c r="AW16" i="3"/>
  <c r="AW17" i="3"/>
  <c r="AY9" i="3"/>
  <c r="AV98" i="3"/>
  <c r="AV14" i="3"/>
  <c r="AU50" i="3"/>
  <c r="AV89" i="3"/>
  <c r="AV13" i="3"/>
  <c r="AU33" i="3"/>
  <c r="AU93" i="3"/>
  <c r="AV20" i="3"/>
  <c r="AU68" i="3"/>
  <c r="AV63" i="3"/>
  <c r="AU83" i="3"/>
  <c r="AW45" i="3"/>
  <c r="AW97" i="3"/>
  <c r="AW40" i="3"/>
  <c r="AW29" i="3"/>
  <c r="AW8" i="3"/>
  <c r="AX5" i="3"/>
  <c r="AX98" i="3"/>
  <c r="AX76" i="3"/>
  <c r="BJ39" i="3"/>
  <c r="AV90" i="3"/>
  <c r="AV10" i="3"/>
  <c r="AU46" i="3"/>
  <c r="AV81" i="3"/>
  <c r="AV9" i="3"/>
  <c r="AU29" i="3"/>
  <c r="AV100" i="3"/>
  <c r="AV16" i="3"/>
  <c r="AU64" i="3"/>
  <c r="AV59" i="3"/>
  <c r="AU71" i="3"/>
  <c r="AX7" i="3"/>
  <c r="AW65" i="3"/>
  <c r="AW12" i="3"/>
  <c r="AX88" i="3"/>
  <c r="AW59" i="3"/>
  <c r="AW73" i="3"/>
  <c r="AX34" i="3"/>
  <c r="AX44" i="3"/>
  <c r="AW69" i="3"/>
  <c r="AW78" i="3"/>
  <c r="AX100" i="3"/>
  <c r="AX16" i="3"/>
  <c r="AW10" i="3"/>
  <c r="AX30" i="3"/>
  <c r="AX8" i="3"/>
  <c r="AW37" i="3"/>
  <c r="AW46" i="3"/>
  <c r="AW11" i="3"/>
  <c r="AW15" i="3"/>
  <c r="AX45" i="3"/>
  <c r="AW102" i="3"/>
  <c r="AW79" i="3"/>
  <c r="AW5" i="3"/>
  <c r="AX11" i="3"/>
  <c r="AX83" i="3"/>
  <c r="AX46" i="3"/>
  <c r="AW14" i="3"/>
  <c r="AX22" i="3"/>
  <c r="AW66" i="3"/>
  <c r="AW85" i="3"/>
  <c r="AW70" i="3"/>
  <c r="AW94" i="3"/>
  <c r="AX64" i="3"/>
  <c r="AW88" i="3"/>
  <c r="AV40" i="3"/>
  <c r="AU4" i="3"/>
  <c r="AU36" i="3"/>
  <c r="AV47" i="3"/>
  <c r="AU91" i="3"/>
  <c r="AU27" i="3"/>
  <c r="AX93" i="3"/>
  <c r="AX60" i="3"/>
  <c r="AW20" i="3"/>
  <c r="AX10" i="3"/>
  <c r="AX40" i="3"/>
  <c r="AX43" i="3"/>
  <c r="AX17" i="3"/>
  <c r="AX35" i="3"/>
  <c r="AX95" i="3"/>
  <c r="AW52" i="3"/>
  <c r="AX73" i="3"/>
  <c r="AX72" i="3"/>
  <c r="AU3" i="3"/>
  <c r="AU32" i="3"/>
  <c r="AV43" i="3"/>
  <c r="AU87" i="3"/>
  <c r="AU23" i="3"/>
  <c r="AW92" i="3"/>
  <c r="AX28" i="3"/>
  <c r="AW67" i="3"/>
  <c r="AW82" i="3"/>
  <c r="AW43" i="3"/>
  <c r="AW91" i="3"/>
  <c r="AW89" i="3"/>
  <c r="AW55" i="3"/>
  <c r="AW30" i="3"/>
  <c r="AX91" i="3"/>
  <c r="AX41" i="3"/>
  <c r="AW75" i="3"/>
  <c r="AU77" i="3"/>
  <c r="AU13" i="3"/>
  <c r="AV92" i="3"/>
  <c r="AV28" i="3"/>
  <c r="AU88" i="3"/>
  <c r="AV99" i="3"/>
  <c r="AV35" i="3"/>
  <c r="AU79" i="3"/>
  <c r="AU15" i="3"/>
  <c r="AX96" i="3"/>
  <c r="AX58" i="3"/>
  <c r="AX14" i="3"/>
  <c r="AW18" i="3"/>
  <c r="AX65" i="3"/>
  <c r="AW27" i="3"/>
  <c r="AW25" i="3"/>
  <c r="AX55" i="3"/>
  <c r="AW9" i="3"/>
  <c r="AW83" i="3"/>
  <c r="AW81" i="3"/>
  <c r="AW41" i="3"/>
  <c r="AU9" i="3"/>
  <c r="AV88" i="3"/>
  <c r="AV24" i="3"/>
  <c r="AU84" i="3"/>
  <c r="AV95" i="3"/>
  <c r="AV31" i="3"/>
  <c r="AU75" i="3"/>
  <c r="AU11" i="3"/>
  <c r="AX15" i="3"/>
  <c r="AX69" i="3"/>
  <c r="AW76" i="3"/>
  <c r="AX85" i="3"/>
  <c r="AX36" i="3"/>
  <c r="AW96" i="3"/>
  <c r="AX84" i="3"/>
  <c r="AX66" i="3"/>
  <c r="AX99" i="3"/>
  <c r="AW51" i="3"/>
  <c r="AW49" i="3"/>
  <c r="E15" i="4"/>
  <c r="E13" i="4"/>
  <c r="G49" i="4"/>
  <c r="C22" i="2" s="1"/>
  <c r="E9" i="4"/>
  <c r="E17" i="4"/>
  <c r="E18" i="4"/>
  <c r="E10" i="4"/>
  <c r="E8" i="4"/>
  <c r="L8" i="4"/>
  <c r="L9" i="4"/>
  <c r="L17" i="4"/>
  <c r="L15" i="4"/>
  <c r="L13" i="4"/>
  <c r="L18" i="4"/>
  <c r="M49" i="4"/>
  <c r="E22" i="2" s="1"/>
  <c r="I9" i="4"/>
  <c r="I13" i="4"/>
  <c r="I18" i="4"/>
  <c r="J49" i="4"/>
  <c r="D22" i="2" s="1"/>
  <c r="I17" i="4"/>
  <c r="I15" i="4"/>
  <c r="I8" i="4"/>
  <c r="CG66" i="3" l="1"/>
  <c r="CF35" i="3"/>
  <c r="CG10" i="3"/>
  <c r="CG89" i="3"/>
  <c r="CF65" i="3"/>
  <c r="CF16" i="3"/>
  <c r="CG91" i="3"/>
  <c r="CG94" i="3"/>
  <c r="CF78" i="3"/>
  <c r="CG53" i="3"/>
  <c r="CF37" i="3"/>
  <c r="CG12" i="3"/>
  <c r="CF27" i="3"/>
  <c r="CG81" i="3"/>
  <c r="CF57" i="3"/>
  <c r="CF8" i="3"/>
  <c r="CF103" i="3"/>
  <c r="CG86" i="3"/>
  <c r="CF70" i="3"/>
  <c r="CF29" i="3"/>
  <c r="CG4" i="3"/>
  <c r="CF19" i="3"/>
  <c r="CF98" i="3"/>
  <c r="CG73" i="3"/>
  <c r="CF49" i="3"/>
  <c r="CG51" i="3"/>
  <c r="CF95" i="3"/>
  <c r="CG78" i="3"/>
  <c r="CF62" i="3"/>
  <c r="CF21" i="3"/>
  <c r="CF100" i="3"/>
  <c r="CF11" i="3"/>
  <c r="CF90" i="3"/>
  <c r="CG65" i="3"/>
  <c r="CF41" i="3"/>
  <c r="CG16" i="3"/>
  <c r="CG103" i="3"/>
  <c r="CF87" i="3"/>
  <c r="CG70" i="3"/>
  <c r="CF54" i="3"/>
  <c r="CF13" i="3"/>
  <c r="CF92" i="3"/>
  <c r="CG19" i="3"/>
  <c r="CF82" i="3"/>
  <c r="CG57" i="3"/>
  <c r="CF33" i="3"/>
  <c r="CG8" i="3"/>
  <c r="CG95" i="3"/>
  <c r="CF79" i="3"/>
  <c r="CG62" i="3"/>
  <c r="CF46" i="3"/>
  <c r="CF5" i="3"/>
  <c r="CF84" i="3"/>
  <c r="CG3" i="3"/>
  <c r="CG98" i="3"/>
  <c r="CF74" i="3"/>
  <c r="CG49" i="3"/>
  <c r="CF25" i="3"/>
  <c r="CG87" i="3"/>
  <c r="CF71" i="3"/>
  <c r="CG54" i="3"/>
  <c r="CF38" i="3"/>
  <c r="CG13" i="3"/>
  <c r="CG100" i="3"/>
  <c r="CF76" i="3"/>
  <c r="CF3" i="3"/>
  <c r="CG90" i="3"/>
  <c r="CF66" i="3"/>
  <c r="CF17" i="3"/>
  <c r="CF96" i="3"/>
  <c r="CG79" i="3"/>
  <c r="CF63" i="3"/>
  <c r="CF30" i="3"/>
  <c r="CG5" i="3"/>
  <c r="CG92" i="3"/>
  <c r="CF68" i="3"/>
  <c r="CG11" i="3"/>
  <c r="CG82" i="3"/>
  <c r="CF58" i="3"/>
  <c r="CF9" i="3"/>
  <c r="CF88" i="3"/>
  <c r="CG71" i="3"/>
  <c r="CF55" i="3"/>
  <c r="CF22" i="3"/>
  <c r="CG99" i="3"/>
  <c r="CG84" i="3"/>
  <c r="CF60" i="3"/>
  <c r="CF99" i="3"/>
  <c r="CG74" i="3"/>
  <c r="CF50" i="3"/>
  <c r="CG75" i="3"/>
  <c r="CF80" i="3"/>
  <c r="CG63" i="3"/>
  <c r="CF47" i="3"/>
  <c r="CF14" i="3"/>
  <c r="CF101" i="3"/>
  <c r="CG76" i="3"/>
  <c r="CF52" i="3"/>
  <c r="CF91" i="3"/>
  <c r="CF42" i="3"/>
  <c r="CG17" i="3"/>
  <c r="CG96" i="3"/>
  <c r="CF72" i="3"/>
  <c r="CG55" i="3"/>
  <c r="CF39" i="3"/>
  <c r="CF6" i="3"/>
  <c r="CF93" i="3"/>
  <c r="CG68" i="3"/>
  <c r="CF44" i="3"/>
  <c r="CF83" i="3"/>
  <c r="CG58" i="3"/>
  <c r="CF34" i="3"/>
  <c r="CG9" i="3"/>
  <c r="CG88" i="3"/>
  <c r="CF64" i="3"/>
  <c r="CF31" i="3"/>
  <c r="CG14" i="3"/>
  <c r="CG101" i="3"/>
  <c r="CF85" i="3"/>
  <c r="CG60" i="3"/>
  <c r="CF36" i="3"/>
  <c r="CF75" i="3"/>
  <c r="CG50" i="3"/>
  <c r="CF26" i="3"/>
  <c r="CG59" i="3"/>
  <c r="CG80" i="3"/>
  <c r="CF56" i="3"/>
  <c r="CF23" i="3"/>
  <c r="CG6" i="3"/>
  <c r="CG93" i="3"/>
  <c r="CF77" i="3"/>
  <c r="CG52" i="3"/>
  <c r="CF28" i="3"/>
  <c r="CF67" i="3"/>
  <c r="CF18" i="3"/>
  <c r="CF97" i="3"/>
  <c r="CG72" i="3"/>
  <c r="CF48" i="3"/>
  <c r="CF15" i="3"/>
  <c r="CG83" i="3"/>
  <c r="CG85" i="3"/>
  <c r="CF69" i="3"/>
  <c r="CF20" i="3"/>
  <c r="CF59" i="3"/>
  <c r="CF10" i="3"/>
  <c r="CF89" i="3"/>
  <c r="CG64" i="3"/>
  <c r="CF40" i="3"/>
  <c r="CF7" i="3"/>
  <c r="CF102" i="3"/>
  <c r="CG77" i="3"/>
  <c r="CF61" i="3"/>
  <c r="CF12" i="3"/>
  <c r="CF51" i="3"/>
  <c r="CF81" i="3"/>
  <c r="CG56" i="3"/>
  <c r="CF32" i="3"/>
  <c r="CG15" i="3"/>
  <c r="CG67" i="3"/>
  <c r="CF94" i="3"/>
  <c r="CG69" i="3"/>
  <c r="CF53" i="3"/>
  <c r="CF4" i="3"/>
  <c r="CF43" i="3"/>
  <c r="CG18" i="3"/>
  <c r="CG97" i="3"/>
  <c r="CF73" i="3"/>
  <c r="CG48" i="3"/>
  <c r="CF24" i="3"/>
  <c r="CG7" i="3"/>
  <c r="CG102" i="3"/>
  <c r="CF86" i="3"/>
  <c r="CG61" i="3"/>
  <c r="CF45" i="3"/>
  <c r="CG20" i="3"/>
  <c r="CG40" i="3"/>
  <c r="CG27" i="3"/>
  <c r="CG32" i="3"/>
  <c r="CG45" i="3"/>
  <c r="CG24" i="3"/>
  <c r="CG37" i="3"/>
  <c r="CG29" i="3"/>
  <c r="CG35" i="3"/>
  <c r="CG41" i="3"/>
  <c r="CG46" i="3"/>
  <c r="CG33" i="3"/>
  <c r="CG38" i="3"/>
  <c r="CG25" i="3"/>
  <c r="CG30" i="3"/>
  <c r="CG22" i="3"/>
  <c r="CG47" i="3"/>
  <c r="CG39" i="3"/>
  <c r="CG42" i="3"/>
  <c r="CG31" i="3"/>
  <c r="CG44" i="3"/>
  <c r="CG34" i="3"/>
  <c r="CG23" i="3"/>
  <c r="CG36" i="3"/>
  <c r="CG26" i="3"/>
  <c r="CG43" i="3"/>
  <c r="CG28" i="3"/>
  <c r="CG21" i="3"/>
  <c r="CJ59" i="3"/>
  <c r="CM59" i="3" s="1"/>
  <c r="CJ67" i="3"/>
  <c r="CM67" i="3" s="1"/>
  <c r="CJ75" i="3"/>
  <c r="CM75" i="3" s="1"/>
  <c r="CJ83" i="3"/>
  <c r="CM83" i="3" s="1"/>
  <c r="CJ91" i="3"/>
  <c r="CM91" i="3" s="1"/>
  <c r="CJ99" i="3"/>
  <c r="CM99" i="3" s="1"/>
  <c r="CK59" i="3"/>
  <c r="CN59" i="3" s="1"/>
  <c r="CK67" i="3"/>
  <c r="CN67" i="3" s="1"/>
  <c r="CK75" i="3"/>
  <c r="CN75" i="3" s="1"/>
  <c r="CK83" i="3"/>
  <c r="CN83" i="3" s="1"/>
  <c r="CK91" i="3"/>
  <c r="CN91" i="3" s="1"/>
  <c r="CK99" i="3"/>
  <c r="CN99" i="3" s="1"/>
  <c r="CJ60" i="3"/>
  <c r="CM60" i="3" s="1"/>
  <c r="CJ68" i="3"/>
  <c r="CM68" i="3" s="1"/>
  <c r="CJ76" i="3"/>
  <c r="CM76" i="3" s="1"/>
  <c r="CJ84" i="3"/>
  <c r="CM84" i="3" s="1"/>
  <c r="CJ92" i="3"/>
  <c r="CM92" i="3" s="1"/>
  <c r="CJ100" i="3"/>
  <c r="CM100" i="3" s="1"/>
  <c r="CK98" i="3"/>
  <c r="CN98" i="3" s="1"/>
  <c r="CK60" i="3"/>
  <c r="CN60" i="3" s="1"/>
  <c r="CK68" i="3"/>
  <c r="CN68" i="3" s="1"/>
  <c r="CK76" i="3"/>
  <c r="CN76" i="3" s="1"/>
  <c r="CK84" i="3"/>
  <c r="CN84" i="3" s="1"/>
  <c r="CK92" i="3"/>
  <c r="CN92" i="3" s="1"/>
  <c r="CK100" i="3"/>
  <c r="CN100" i="3" s="1"/>
  <c r="CJ61" i="3"/>
  <c r="CM61" i="3" s="1"/>
  <c r="CJ69" i="3"/>
  <c r="CM69" i="3" s="1"/>
  <c r="CJ77" i="3"/>
  <c r="CM77" i="3" s="1"/>
  <c r="CJ85" i="3"/>
  <c r="CM85" i="3" s="1"/>
  <c r="CJ93" i="3"/>
  <c r="CM93" i="3" s="1"/>
  <c r="CJ101" i="3"/>
  <c r="CM101" i="3" s="1"/>
  <c r="CK90" i="3"/>
  <c r="CN90" i="3" s="1"/>
  <c r="CK61" i="3"/>
  <c r="CN61" i="3" s="1"/>
  <c r="CK69" i="3"/>
  <c r="CN69" i="3" s="1"/>
  <c r="CK77" i="3"/>
  <c r="CN77" i="3" s="1"/>
  <c r="CK85" i="3"/>
  <c r="CN85" i="3" s="1"/>
  <c r="CK93" i="3"/>
  <c r="CN93" i="3" s="1"/>
  <c r="CK101" i="3"/>
  <c r="CN101" i="3" s="1"/>
  <c r="CK66" i="3"/>
  <c r="CN66" i="3" s="1"/>
  <c r="CJ62" i="3"/>
  <c r="CM62" i="3" s="1"/>
  <c r="CJ70" i="3"/>
  <c r="CM70" i="3" s="1"/>
  <c r="CJ78" i="3"/>
  <c r="CM78" i="3" s="1"/>
  <c r="CJ86" i="3"/>
  <c r="CM86" i="3" s="1"/>
  <c r="CJ94" i="3"/>
  <c r="CM94" i="3" s="1"/>
  <c r="CJ102" i="3"/>
  <c r="CM102" i="3" s="1"/>
  <c r="CK74" i="3"/>
  <c r="CN74" i="3" s="1"/>
  <c r="CK62" i="3"/>
  <c r="CN62" i="3" s="1"/>
  <c r="CK70" i="3"/>
  <c r="CN70" i="3" s="1"/>
  <c r="CK78" i="3"/>
  <c r="CN78" i="3" s="1"/>
  <c r="CK86" i="3"/>
  <c r="CN86" i="3" s="1"/>
  <c r="CK94" i="3"/>
  <c r="CN94" i="3" s="1"/>
  <c r="CK102" i="3"/>
  <c r="CN102" i="3" s="1"/>
  <c r="CK82" i="3"/>
  <c r="CN82" i="3" s="1"/>
  <c r="CJ63" i="3"/>
  <c r="CM63" i="3" s="1"/>
  <c r="CJ71" i="3"/>
  <c r="CM71" i="3" s="1"/>
  <c r="CJ79" i="3"/>
  <c r="CM79" i="3" s="1"/>
  <c r="CJ87" i="3"/>
  <c r="CM87" i="3" s="1"/>
  <c r="CJ95" i="3"/>
  <c r="CM95" i="3" s="1"/>
  <c r="CJ103" i="3"/>
  <c r="CM103" i="3" s="1"/>
  <c r="CJ90" i="3"/>
  <c r="CM90" i="3" s="1"/>
  <c r="CK63" i="3"/>
  <c r="CN63" i="3" s="1"/>
  <c r="CK71" i="3"/>
  <c r="CN71" i="3" s="1"/>
  <c r="CK79" i="3"/>
  <c r="CN79" i="3" s="1"/>
  <c r="CK87" i="3"/>
  <c r="CN87" i="3" s="1"/>
  <c r="CK95" i="3"/>
  <c r="CN95" i="3" s="1"/>
  <c r="CK103" i="3"/>
  <c r="CN103" i="3" s="1"/>
  <c r="CJ64" i="3"/>
  <c r="CM64" i="3" s="1"/>
  <c r="CJ72" i="3"/>
  <c r="CM72" i="3" s="1"/>
  <c r="CJ80" i="3"/>
  <c r="CM80" i="3" s="1"/>
  <c r="CJ88" i="3"/>
  <c r="CM88" i="3" s="1"/>
  <c r="CJ96" i="3"/>
  <c r="CM96" i="3" s="1"/>
  <c r="CJ98" i="3"/>
  <c r="CM98" i="3" s="1"/>
  <c r="CK64" i="3"/>
  <c r="CN64" i="3" s="1"/>
  <c r="CK72" i="3"/>
  <c r="CN72" i="3" s="1"/>
  <c r="CK80" i="3"/>
  <c r="CN80" i="3" s="1"/>
  <c r="CK88" i="3"/>
  <c r="CN88" i="3" s="1"/>
  <c r="CK96" i="3"/>
  <c r="CN96" i="3" s="1"/>
  <c r="CJ65" i="3"/>
  <c r="CM65" i="3" s="1"/>
  <c r="CJ73" i="3"/>
  <c r="CM73" i="3" s="1"/>
  <c r="CJ81" i="3"/>
  <c r="CM81" i="3" s="1"/>
  <c r="CJ89" i="3"/>
  <c r="CM89" i="3" s="1"/>
  <c r="CJ97" i="3"/>
  <c r="CM97" i="3" s="1"/>
  <c r="CJ82" i="3"/>
  <c r="CM82" i="3" s="1"/>
  <c r="CK65" i="3"/>
  <c r="CN65" i="3" s="1"/>
  <c r="CK73" i="3"/>
  <c r="CN73" i="3" s="1"/>
  <c r="CK81" i="3"/>
  <c r="CN81" i="3" s="1"/>
  <c r="CK89" i="3"/>
  <c r="CN89" i="3" s="1"/>
  <c r="CK97" i="3"/>
  <c r="CN97" i="3" s="1"/>
  <c r="CJ74" i="3"/>
  <c r="CM74" i="3" s="1"/>
  <c r="CJ66" i="3"/>
  <c r="CM66" i="3" s="1"/>
  <c r="BD86" i="3"/>
  <c r="BD94" i="3"/>
  <c r="BE95" i="3"/>
  <c r="BE103" i="3"/>
  <c r="BD64" i="3"/>
  <c r="BD72" i="3"/>
  <c r="BD74" i="3"/>
  <c r="BD90" i="3"/>
  <c r="BE65" i="3"/>
  <c r="BD98" i="3"/>
  <c r="BD75" i="3"/>
  <c r="BE68" i="3"/>
  <c r="BE76" i="3"/>
  <c r="BE90" i="3"/>
  <c r="BD87" i="3"/>
  <c r="BD71" i="3"/>
  <c r="BW34" i="3"/>
  <c r="BZ34" i="3" s="1"/>
  <c r="BW72" i="3"/>
  <c r="BZ72" i="3" s="1"/>
  <c r="BV21" i="3"/>
  <c r="BY21" i="3" s="1"/>
  <c r="BH26" i="3"/>
  <c r="BK26" i="3" s="1"/>
  <c r="BH53" i="3"/>
  <c r="BK53" i="3" s="1"/>
  <c r="BR103" i="3"/>
  <c r="BV53" i="3"/>
  <c r="BY53" i="3" s="1"/>
  <c r="BV58" i="3"/>
  <c r="BY58" i="3" s="1"/>
  <c r="BO39" i="3"/>
  <c r="BR39" i="3" s="1"/>
  <c r="BA14" i="3"/>
  <c r="BD14" i="3" s="1"/>
  <c r="BO34" i="3"/>
  <c r="BR34" i="3" s="1"/>
  <c r="BB41" i="3"/>
  <c r="BE41" i="3" s="1"/>
  <c r="BA11" i="3"/>
  <c r="BD11" i="3" s="1"/>
  <c r="BS77" i="3"/>
  <c r="BL97" i="3"/>
  <c r="BV26" i="3"/>
  <c r="BY26" i="3" s="1"/>
  <c r="BW9" i="3"/>
  <c r="BZ9" i="3" s="1"/>
  <c r="BD100" i="3"/>
  <c r="BD67" i="3"/>
  <c r="BE60" i="3"/>
  <c r="BE92" i="3"/>
  <c r="BE100" i="3"/>
  <c r="BE61" i="3"/>
  <c r="BE69" i="3"/>
  <c r="BE77" i="3"/>
  <c r="BE85" i="3"/>
  <c r="BE93" i="3"/>
  <c r="BD83" i="3"/>
  <c r="BD62" i="3"/>
  <c r="BE78" i="3"/>
  <c r="BE86" i="3"/>
  <c r="BE94" i="3"/>
  <c r="BE102" i="3"/>
  <c r="BD79" i="3"/>
  <c r="BE66" i="3"/>
  <c r="BD80" i="3"/>
  <c r="BD88" i="3"/>
  <c r="BE91" i="3"/>
  <c r="BD65" i="3"/>
  <c r="BD73" i="3"/>
  <c r="BD81" i="3"/>
  <c r="BD89" i="3"/>
  <c r="BE75" i="3"/>
  <c r="BD99" i="3"/>
  <c r="BO14" i="3"/>
  <c r="BA19" i="3"/>
  <c r="BD19" i="3" s="1"/>
  <c r="BB3" i="3"/>
  <c r="BE3" i="3" s="1"/>
  <c r="BS80" i="3"/>
  <c r="BO3" i="3"/>
  <c r="BR3" i="3" s="1"/>
  <c r="BW29" i="3"/>
  <c r="BZ29" i="3" s="1"/>
  <c r="CK29" i="3"/>
  <c r="CN29" i="3" s="1"/>
  <c r="BW67" i="3"/>
  <c r="BZ67" i="3" s="1"/>
  <c r="BW100" i="3"/>
  <c r="BZ100" i="3" s="1"/>
  <c r="BK86" i="3"/>
  <c r="BW80" i="3"/>
  <c r="BZ80" i="3" s="1"/>
  <c r="BV93" i="3"/>
  <c r="BY93" i="3" s="1"/>
  <c r="BL88" i="3"/>
  <c r="BW77" i="3"/>
  <c r="BZ77" i="3" s="1"/>
  <c r="BW61" i="3"/>
  <c r="BZ61" i="3" s="1"/>
  <c r="BI56" i="3"/>
  <c r="BL56" i="3" s="1"/>
  <c r="BV90" i="3"/>
  <c r="BY90" i="3" s="1"/>
  <c r="BR90" i="3"/>
  <c r="BR74" i="3"/>
  <c r="BA58" i="3"/>
  <c r="BD58" i="3" s="1"/>
  <c r="BB48" i="3"/>
  <c r="BE48" i="3" s="1"/>
  <c r="BS71" i="3"/>
  <c r="BB55" i="3"/>
  <c r="BE55" i="3" s="1"/>
  <c r="BP44" i="3"/>
  <c r="BS44" i="3" s="1"/>
  <c r="BA39" i="3"/>
  <c r="BD39" i="3" s="1"/>
  <c r="CJ50" i="3"/>
  <c r="CM50" i="3" s="1"/>
  <c r="BV45" i="3"/>
  <c r="BY45" i="3" s="1"/>
  <c r="BK74" i="3"/>
  <c r="BV63" i="3"/>
  <c r="BY63" i="3" s="1"/>
  <c r="BH58" i="3"/>
  <c r="BK58" i="3" s="1"/>
  <c r="CK52" i="3"/>
  <c r="CN52" i="3" s="1"/>
  <c r="BW47" i="3"/>
  <c r="BZ47" i="3" s="1"/>
  <c r="BI42" i="3"/>
  <c r="BL42" i="3" s="1"/>
  <c r="CK36" i="3"/>
  <c r="CN36" i="3" s="1"/>
  <c r="BV31" i="3"/>
  <c r="BY31" i="3" s="1"/>
  <c r="CK25" i="3"/>
  <c r="CN25" i="3" s="1"/>
  <c r="BW20" i="3"/>
  <c r="BZ20" i="3" s="1"/>
  <c r="BI15" i="3"/>
  <c r="BL15" i="3" s="1"/>
  <c r="CJ44" i="3"/>
  <c r="CM44" i="3" s="1"/>
  <c r="BW39" i="3"/>
  <c r="BZ39" i="3" s="1"/>
  <c r="BI34" i="3"/>
  <c r="BL34" i="3" s="1"/>
  <c r="CK28" i="3"/>
  <c r="CN28" i="3" s="1"/>
  <c r="BW23" i="3"/>
  <c r="BZ23" i="3" s="1"/>
  <c r="BH18" i="3"/>
  <c r="BK18" i="3" s="1"/>
  <c r="CJ12" i="3"/>
  <c r="CM12" i="3" s="1"/>
  <c r="BI9" i="3"/>
  <c r="BL9" i="3" s="1"/>
  <c r="CJ3" i="3"/>
  <c r="CM3" i="3" s="1"/>
  <c r="BO26" i="3"/>
  <c r="BR26" i="3" s="1"/>
  <c r="BA21" i="3"/>
  <c r="BD21" i="3" s="1"/>
  <c r="BP10" i="3"/>
  <c r="BS10" i="3" s="1"/>
  <c r="BA40" i="3"/>
  <c r="BD40" i="3" s="1"/>
  <c r="BP29" i="3"/>
  <c r="BS29" i="3" s="1"/>
  <c r="BB24" i="3"/>
  <c r="BE24" i="3" s="1"/>
  <c r="BP13" i="3"/>
  <c r="BS13" i="3" s="1"/>
  <c r="BH8" i="3"/>
  <c r="BK8" i="3" s="1"/>
  <c r="BP4" i="3"/>
  <c r="BS4" i="3" s="1"/>
  <c r="BR93" i="3"/>
  <c r="BS97" i="3"/>
  <c r="BS100" i="3"/>
  <c r="BS96" i="3"/>
  <c r="BL73" i="3"/>
  <c r="CK51" i="3"/>
  <c r="CN51" i="3" s="1"/>
  <c r="BL98" i="3"/>
  <c r="BW85" i="3"/>
  <c r="BZ85" i="3" s="1"/>
  <c r="BL80" i="3"/>
  <c r="BK93" i="3"/>
  <c r="BW82" i="3"/>
  <c r="BZ82" i="3" s="1"/>
  <c r="BL77" i="3"/>
  <c r="BW66" i="3"/>
  <c r="BZ66" i="3" s="1"/>
  <c r="BL61" i="3"/>
  <c r="CK55" i="3"/>
  <c r="CN55" i="3" s="1"/>
  <c r="BS82" i="3"/>
  <c r="BS95" i="3"/>
  <c r="BR63" i="3"/>
  <c r="BW53" i="3"/>
  <c r="BZ53" i="3" s="1"/>
  <c r="BS76" i="3"/>
  <c r="BS60" i="3"/>
  <c r="BP49" i="3"/>
  <c r="BS49" i="3" s="1"/>
  <c r="BB44" i="3"/>
  <c r="BE44" i="3" s="1"/>
  <c r="BO33" i="3"/>
  <c r="BR33" i="3" s="1"/>
  <c r="BV50" i="3"/>
  <c r="BY50" i="3" s="1"/>
  <c r="BH45" i="3"/>
  <c r="BK45" i="3" s="1"/>
  <c r="BV68" i="3"/>
  <c r="BY68" i="3" s="1"/>
  <c r="BK63" i="3"/>
  <c r="CJ57" i="3"/>
  <c r="CM57" i="3" s="1"/>
  <c r="BW52" i="3"/>
  <c r="BZ52" i="3" s="1"/>
  <c r="BI47" i="3"/>
  <c r="BL47" i="3" s="1"/>
  <c r="CJ41" i="3"/>
  <c r="CM41" i="3" s="1"/>
  <c r="BW36" i="3"/>
  <c r="BZ36" i="3" s="1"/>
  <c r="BH31" i="3"/>
  <c r="BK31" i="3" s="1"/>
  <c r="BW25" i="3"/>
  <c r="BZ25" i="3" s="1"/>
  <c r="BI20" i="3"/>
  <c r="BL20" i="3" s="1"/>
  <c r="CJ14" i="3"/>
  <c r="CM14" i="3" s="1"/>
  <c r="BV44" i="3"/>
  <c r="BY44" i="3" s="1"/>
  <c r="BI39" i="3"/>
  <c r="BL39" i="3" s="1"/>
  <c r="CK33" i="3"/>
  <c r="CN33" i="3" s="1"/>
  <c r="BW28" i="3"/>
  <c r="BZ28" i="3" s="1"/>
  <c r="BI23" i="3"/>
  <c r="BL23" i="3" s="1"/>
  <c r="CJ17" i="3"/>
  <c r="CM17" i="3" s="1"/>
  <c r="BV12" i="3"/>
  <c r="BY12" i="3" s="1"/>
  <c r="BO7" i="3"/>
  <c r="BR7" i="3" s="1"/>
  <c r="CK8" i="3"/>
  <c r="CN8" i="3" s="1"/>
  <c r="BV3" i="3"/>
  <c r="BY3" i="3" s="1"/>
  <c r="BA26" i="3"/>
  <c r="BD26" i="3" s="1"/>
  <c r="BO15" i="3"/>
  <c r="BR15" i="3" s="1"/>
  <c r="BB10" i="3"/>
  <c r="BE10" i="3" s="1"/>
  <c r="BP34" i="3"/>
  <c r="BS34" i="3" s="1"/>
  <c r="BB29" i="3"/>
  <c r="BE29" i="3" s="1"/>
  <c r="BP18" i="3"/>
  <c r="BS18" i="3" s="1"/>
  <c r="BB13" i="3"/>
  <c r="BE13" i="3" s="1"/>
  <c r="CK7" i="3"/>
  <c r="CN7" i="3" s="1"/>
  <c r="BO9" i="3"/>
  <c r="BR9" i="3" s="1"/>
  <c r="BB4" i="3"/>
  <c r="BE4" i="3" s="1"/>
  <c r="BS90" i="3"/>
  <c r="BA28" i="3"/>
  <c r="BD28" i="3" s="1"/>
  <c r="BW62" i="3"/>
  <c r="BZ62" i="3" s="1"/>
  <c r="BA49" i="3"/>
  <c r="BD49" i="3" s="1"/>
  <c r="BP45" i="3"/>
  <c r="BS45" i="3" s="1"/>
  <c r="CJ53" i="3"/>
  <c r="CM53" i="3" s="1"/>
  <c r="BW103" i="3"/>
  <c r="BZ103" i="3" s="1"/>
  <c r="BW95" i="3"/>
  <c r="BZ95" i="3" s="1"/>
  <c r="BL85" i="3"/>
  <c r="BV87" i="3"/>
  <c r="BY87" i="3" s="1"/>
  <c r="BL82" i="3"/>
  <c r="BW71" i="3"/>
  <c r="BZ71" i="3" s="1"/>
  <c r="BL66" i="3"/>
  <c r="BW55" i="3"/>
  <c r="BZ55" i="3" s="1"/>
  <c r="BL89" i="3"/>
  <c r="BO57" i="3"/>
  <c r="BR57" i="3" s="1"/>
  <c r="CJ52" i="3"/>
  <c r="CM52" i="3" s="1"/>
  <c r="BO47" i="3"/>
  <c r="BR47" i="3" s="1"/>
  <c r="BS65" i="3"/>
  <c r="BP54" i="3"/>
  <c r="BS54" i="3" s="1"/>
  <c r="BB49" i="3"/>
  <c r="BE49" i="3" s="1"/>
  <c r="BP38" i="3"/>
  <c r="BS38" i="3" s="1"/>
  <c r="BA33" i="3"/>
  <c r="BD33" i="3" s="1"/>
  <c r="BH50" i="3"/>
  <c r="BK50" i="3" s="1"/>
  <c r="BV73" i="3"/>
  <c r="BY73" i="3" s="1"/>
  <c r="BV57" i="3"/>
  <c r="BY57" i="3" s="1"/>
  <c r="BI52" i="3"/>
  <c r="BL52" i="3" s="1"/>
  <c r="CJ46" i="3"/>
  <c r="CM46" i="3" s="1"/>
  <c r="BV41" i="3"/>
  <c r="BY41" i="3" s="1"/>
  <c r="BI36" i="3"/>
  <c r="BL36" i="3" s="1"/>
  <c r="BV30" i="3"/>
  <c r="BY30" i="3" s="1"/>
  <c r="BI25" i="3"/>
  <c r="BL25" i="3" s="1"/>
  <c r="CJ19" i="3"/>
  <c r="CM19" i="3" s="1"/>
  <c r="BV14" i="3"/>
  <c r="BY14" i="3" s="1"/>
  <c r="BH44" i="3"/>
  <c r="BK44" i="3" s="1"/>
  <c r="CJ38" i="3"/>
  <c r="CM38" i="3" s="1"/>
  <c r="BW33" i="3"/>
  <c r="BZ33" i="3" s="1"/>
  <c r="BI28" i="3"/>
  <c r="BL28" i="3" s="1"/>
  <c r="CK22" i="3"/>
  <c r="CN22" i="3" s="1"/>
  <c r="BV17" i="3"/>
  <c r="BY17" i="3" s="1"/>
  <c r="BH12" i="3"/>
  <c r="BK12" i="3" s="1"/>
  <c r="BA7" i="3"/>
  <c r="BD7" i="3" s="1"/>
  <c r="BW8" i="3"/>
  <c r="BZ8" i="3" s="1"/>
  <c r="BH3" i="3"/>
  <c r="BK3" i="3" s="1"/>
  <c r="BO20" i="3"/>
  <c r="BR20" i="3" s="1"/>
  <c r="BA15" i="3"/>
  <c r="BD15" i="3" s="1"/>
  <c r="BP39" i="3"/>
  <c r="BS39" i="3" s="1"/>
  <c r="BB34" i="3"/>
  <c r="BE34" i="3" s="1"/>
  <c r="BP23" i="3"/>
  <c r="BS23" i="3" s="1"/>
  <c r="BB18" i="3"/>
  <c r="BE18" i="3" s="1"/>
  <c r="BW7" i="3"/>
  <c r="BZ7" i="3" s="1"/>
  <c r="BA9" i="3"/>
  <c r="BD9" i="3" s="1"/>
  <c r="BS86" i="3"/>
  <c r="BS91" i="3"/>
  <c r="BW98" i="3"/>
  <c r="BZ98" i="3" s="1"/>
  <c r="BW79" i="3"/>
  <c r="BZ79" i="3" s="1"/>
  <c r="BW92" i="3"/>
  <c r="BZ92" i="3" s="1"/>
  <c r="BK87" i="3"/>
  <c r="BW76" i="3"/>
  <c r="BZ76" i="3" s="1"/>
  <c r="BL71" i="3"/>
  <c r="BW60" i="3"/>
  <c r="BZ60" i="3" s="1"/>
  <c r="BI55" i="3"/>
  <c r="BL55" i="3" s="1"/>
  <c r="BV88" i="3"/>
  <c r="BY88" i="3" s="1"/>
  <c r="BS89" i="3"/>
  <c r="BR73" i="3"/>
  <c r="BA57" i="3"/>
  <c r="BD57" i="3" s="1"/>
  <c r="BP52" i="3"/>
  <c r="BS52" i="3" s="1"/>
  <c r="BA47" i="3"/>
  <c r="BD47" i="3" s="1"/>
  <c r="BS70" i="3"/>
  <c r="BB54" i="3"/>
  <c r="BE54" i="3" s="1"/>
  <c r="BO43" i="3"/>
  <c r="BR43" i="3" s="1"/>
  <c r="BB38" i="3"/>
  <c r="BE38" i="3" s="1"/>
  <c r="CK49" i="3"/>
  <c r="CN49" i="3" s="1"/>
  <c r="BV78" i="3"/>
  <c r="BY78" i="3" s="1"/>
  <c r="BK73" i="3"/>
  <c r="BV62" i="3"/>
  <c r="BY62" i="3" s="1"/>
  <c r="BH57" i="3"/>
  <c r="BK57" i="3" s="1"/>
  <c r="CJ51" i="3"/>
  <c r="CM51" i="3" s="1"/>
  <c r="BV46" i="3"/>
  <c r="BY46" i="3" s="1"/>
  <c r="BH41" i="3"/>
  <c r="BK41" i="3" s="1"/>
  <c r="CJ35" i="3"/>
  <c r="CM35" i="3" s="1"/>
  <c r="BH30" i="3"/>
  <c r="BK30" i="3" s="1"/>
  <c r="CJ24" i="3"/>
  <c r="CM24" i="3" s="1"/>
  <c r="BV19" i="3"/>
  <c r="BY19" i="3" s="1"/>
  <c r="BH14" i="3"/>
  <c r="BK14" i="3" s="1"/>
  <c r="CK43" i="3"/>
  <c r="CN43" i="3" s="1"/>
  <c r="BV38" i="3"/>
  <c r="BY38" i="3" s="1"/>
  <c r="BI33" i="3"/>
  <c r="BL33" i="3" s="1"/>
  <c r="CK27" i="3"/>
  <c r="CN27" i="3" s="1"/>
  <c r="BW22" i="3"/>
  <c r="BZ22" i="3" s="1"/>
  <c r="BH17" i="3"/>
  <c r="BK17" i="3" s="1"/>
  <c r="CJ11" i="3"/>
  <c r="CM11" i="3" s="1"/>
  <c r="BI8" i="3"/>
  <c r="BL8" i="3" s="1"/>
  <c r="CJ30" i="3"/>
  <c r="CM30" i="3" s="1"/>
  <c r="BP25" i="3"/>
  <c r="BS25" i="3" s="1"/>
  <c r="BA20" i="3"/>
  <c r="BD20" i="3" s="1"/>
  <c r="BO44" i="3"/>
  <c r="BR44" i="3" s="1"/>
  <c r="BB39" i="3"/>
  <c r="BE39" i="3" s="1"/>
  <c r="BP28" i="3"/>
  <c r="BS28" i="3" s="1"/>
  <c r="BB23" i="3"/>
  <c r="BE23" i="3" s="1"/>
  <c r="BP12" i="3"/>
  <c r="BS12" i="3" s="1"/>
  <c r="BI7" i="3"/>
  <c r="BL7" i="3" s="1"/>
  <c r="BP3" i="3"/>
  <c r="BS3" i="3" s="1"/>
  <c r="BS99" i="3"/>
  <c r="BS102" i="3"/>
  <c r="BP20" i="3"/>
  <c r="BS20" i="3" s="1"/>
  <c r="BB6" i="3"/>
  <c r="BE6" i="3" s="1"/>
  <c r="BV9" i="3"/>
  <c r="BY9" i="3" s="1"/>
  <c r="BB40" i="3"/>
  <c r="BE40" i="3" s="1"/>
  <c r="BK102" i="3"/>
  <c r="BK94" i="3"/>
  <c r="BV84" i="3"/>
  <c r="BY84" i="3" s="1"/>
  <c r="BL79" i="3"/>
  <c r="BL92" i="3"/>
  <c r="BV81" i="3"/>
  <c r="BY81" i="3" s="1"/>
  <c r="BL76" i="3"/>
  <c r="BW65" i="3"/>
  <c r="BZ65" i="3" s="1"/>
  <c r="CK54" i="3"/>
  <c r="CN54" i="3" s="1"/>
  <c r="BR81" i="3"/>
  <c r="BR94" i="3"/>
  <c r="BR78" i="3"/>
  <c r="BR62" i="3"/>
  <c r="BB52" i="3"/>
  <c r="BE52" i="3" s="1"/>
  <c r="BS75" i="3"/>
  <c r="BO48" i="3"/>
  <c r="BR48" i="3" s="1"/>
  <c r="BA43" i="3"/>
  <c r="BD43" i="3" s="1"/>
  <c r="BO32" i="3"/>
  <c r="BR32" i="3" s="1"/>
  <c r="BW49" i="3"/>
  <c r="BZ49" i="3" s="1"/>
  <c r="BK78" i="3"/>
  <c r="BV67" i="3"/>
  <c r="BY67" i="3" s="1"/>
  <c r="BK62" i="3"/>
  <c r="CJ56" i="3"/>
  <c r="CM56" i="3" s="1"/>
  <c r="BV51" i="3"/>
  <c r="BY51" i="3" s="1"/>
  <c r="BH46" i="3"/>
  <c r="BK46" i="3" s="1"/>
  <c r="CK40" i="3"/>
  <c r="CN40" i="3" s="1"/>
  <c r="BV35" i="3"/>
  <c r="BY35" i="3" s="1"/>
  <c r="CJ29" i="3"/>
  <c r="CM29" i="3" s="1"/>
  <c r="BV24" i="3"/>
  <c r="BY24" i="3" s="1"/>
  <c r="BH19" i="3"/>
  <c r="BK19" i="3" s="1"/>
  <c r="CK13" i="3"/>
  <c r="CN13" i="3" s="1"/>
  <c r="BW43" i="3"/>
  <c r="BZ43" i="3" s="1"/>
  <c r="BH38" i="3"/>
  <c r="BK38" i="3" s="1"/>
  <c r="CK32" i="3"/>
  <c r="CN32" i="3" s="1"/>
  <c r="BW27" i="3"/>
  <c r="BZ27" i="3" s="1"/>
  <c r="BI22" i="3"/>
  <c r="BL22" i="3" s="1"/>
  <c r="CK16" i="3"/>
  <c r="CN16" i="3" s="1"/>
  <c r="BV11" i="3"/>
  <c r="BY11" i="3" s="1"/>
  <c r="BO6" i="3"/>
  <c r="BR6" i="3" s="1"/>
  <c r="CJ7" i="3"/>
  <c r="CM7" i="3" s="1"/>
  <c r="BO30" i="3"/>
  <c r="BR30" i="3" s="1"/>
  <c r="BB25" i="3"/>
  <c r="BE25" i="3" s="1"/>
  <c r="BP14" i="3"/>
  <c r="BS14" i="3" s="1"/>
  <c r="BA44" i="3"/>
  <c r="BD44" i="3" s="1"/>
  <c r="BP33" i="3"/>
  <c r="BS33" i="3" s="1"/>
  <c r="BB28" i="3"/>
  <c r="BE28" i="3" s="1"/>
  <c r="BP17" i="3"/>
  <c r="BS17" i="3" s="1"/>
  <c r="BB12" i="3"/>
  <c r="BE12" i="3" s="1"/>
  <c r="CK6" i="3"/>
  <c r="CN6" i="3" s="1"/>
  <c r="BO8" i="3"/>
  <c r="BR8" i="3" s="1"/>
  <c r="BA3" i="3"/>
  <c r="BD3" i="3" s="1"/>
  <c r="BE96" i="3"/>
  <c r="BS92" i="3"/>
  <c r="BO17" i="3"/>
  <c r="BR17" i="3" s="1"/>
  <c r="BW101" i="3"/>
  <c r="BZ101" i="3" s="1"/>
  <c r="BW93" i="3"/>
  <c r="BZ93" i="3" s="1"/>
  <c r="BK84" i="3"/>
  <c r="BK97" i="3"/>
  <c r="BW86" i="3"/>
  <c r="BZ86" i="3" s="1"/>
  <c r="BK81" i="3"/>
  <c r="BW70" i="3"/>
  <c r="BZ70" i="3" s="1"/>
  <c r="BL65" i="3"/>
  <c r="BW54" i="3"/>
  <c r="BZ54" i="3" s="1"/>
  <c r="BR67" i="3"/>
  <c r="BO56" i="3"/>
  <c r="BR56" i="3" s="1"/>
  <c r="BP46" i="3"/>
  <c r="BS46" i="3" s="1"/>
  <c r="BS64" i="3"/>
  <c r="BP53" i="3"/>
  <c r="BS53" i="3" s="1"/>
  <c r="BA48" i="3"/>
  <c r="BD48" i="3" s="1"/>
  <c r="BO37" i="3"/>
  <c r="BR37" i="3" s="1"/>
  <c r="BA32" i="3"/>
  <c r="BD32" i="3" s="1"/>
  <c r="BI49" i="3"/>
  <c r="BL49" i="3" s="1"/>
  <c r="BV72" i="3"/>
  <c r="BY72" i="3" s="1"/>
  <c r="BV56" i="3"/>
  <c r="BY56" i="3" s="1"/>
  <c r="BH51" i="3"/>
  <c r="BK51" i="3" s="1"/>
  <c r="CK45" i="3"/>
  <c r="CN45" i="3" s="1"/>
  <c r="BW40" i="3"/>
  <c r="BZ40" i="3" s="1"/>
  <c r="BH35" i="3"/>
  <c r="BK35" i="3" s="1"/>
  <c r="BV29" i="3"/>
  <c r="BY29" i="3" s="1"/>
  <c r="BH24" i="3"/>
  <c r="BK24" i="3" s="1"/>
  <c r="CK18" i="3"/>
  <c r="CN18" i="3" s="1"/>
  <c r="BW13" i="3"/>
  <c r="BZ13" i="3" s="1"/>
  <c r="BI43" i="3"/>
  <c r="BL43" i="3" s="1"/>
  <c r="CK37" i="3"/>
  <c r="CN37" i="3" s="1"/>
  <c r="BW32" i="3"/>
  <c r="BZ32" i="3" s="1"/>
  <c r="BI27" i="3"/>
  <c r="BL27" i="3" s="1"/>
  <c r="CK21" i="3"/>
  <c r="CN21" i="3" s="1"/>
  <c r="BW16" i="3"/>
  <c r="BZ16" i="3" s="1"/>
  <c r="BH11" i="3"/>
  <c r="BK11" i="3" s="1"/>
  <c r="BA6" i="3"/>
  <c r="BD6" i="3" s="1"/>
  <c r="BV7" i="3"/>
  <c r="BY7" i="3" s="1"/>
  <c r="BA30" i="3"/>
  <c r="BD30" i="3" s="1"/>
  <c r="BP19" i="3"/>
  <c r="BS19" i="3" s="1"/>
  <c r="BB14" i="3"/>
  <c r="BE14" i="3" s="1"/>
  <c r="BO38" i="3"/>
  <c r="BR38" i="3" s="1"/>
  <c r="BB33" i="3"/>
  <c r="BE33" i="3" s="1"/>
  <c r="BP22" i="3"/>
  <c r="BS22" i="3" s="1"/>
  <c r="BB17" i="3"/>
  <c r="BE17" i="3" s="1"/>
  <c r="BW6" i="3"/>
  <c r="BZ6" i="3" s="1"/>
  <c r="BA8" i="3"/>
  <c r="BD8" i="3" s="1"/>
  <c r="BS103" i="3"/>
  <c r="BA12" i="3"/>
  <c r="BD12" i="3" s="1"/>
  <c r="BW81" i="3"/>
  <c r="BZ81" i="3" s="1"/>
  <c r="BW46" i="3"/>
  <c r="BZ46" i="3" s="1"/>
  <c r="BL103" i="3"/>
  <c r="BV91" i="3"/>
  <c r="BY91" i="3" s="1"/>
  <c r="BL86" i="3"/>
  <c r="BW75" i="3"/>
  <c r="BZ75" i="3" s="1"/>
  <c r="BL70" i="3"/>
  <c r="BW59" i="3"/>
  <c r="BZ59" i="3" s="1"/>
  <c r="BI54" i="3"/>
  <c r="BL54" i="3" s="1"/>
  <c r="BV86" i="3"/>
  <c r="BY86" i="3" s="1"/>
  <c r="BR88" i="3"/>
  <c r="BR72" i="3"/>
  <c r="BA56" i="3"/>
  <c r="BD56" i="3" s="1"/>
  <c r="BO51" i="3"/>
  <c r="BR51" i="3" s="1"/>
  <c r="BB46" i="3"/>
  <c r="BE46" i="3" s="1"/>
  <c r="BP58" i="3"/>
  <c r="BS58" i="3" s="1"/>
  <c r="BB53" i="3"/>
  <c r="BE53" i="3" s="1"/>
  <c r="BP42" i="3"/>
  <c r="BS42" i="3" s="1"/>
  <c r="BA37" i="3"/>
  <c r="BD37" i="3" s="1"/>
  <c r="CJ48" i="3"/>
  <c r="CM48" i="3" s="1"/>
  <c r="BV77" i="3"/>
  <c r="BY77" i="3" s="1"/>
  <c r="BK72" i="3"/>
  <c r="BV61" i="3"/>
  <c r="BY61" i="3" s="1"/>
  <c r="BH56" i="3"/>
  <c r="BK56" i="3" s="1"/>
  <c r="CK50" i="3"/>
  <c r="CN50" i="3" s="1"/>
  <c r="BW45" i="3"/>
  <c r="BZ45" i="3" s="1"/>
  <c r="BI40" i="3"/>
  <c r="BL40" i="3" s="1"/>
  <c r="CJ34" i="3"/>
  <c r="CM34" i="3" s="1"/>
  <c r="BH29" i="3"/>
  <c r="BK29" i="3" s="1"/>
  <c r="CJ23" i="3"/>
  <c r="CM23" i="3" s="1"/>
  <c r="BW18" i="3"/>
  <c r="BZ18" i="3" s="1"/>
  <c r="BI13" i="3"/>
  <c r="BL13" i="3" s="1"/>
  <c r="CJ42" i="3"/>
  <c r="CM42" i="3" s="1"/>
  <c r="BW37" i="3"/>
  <c r="BZ37" i="3" s="1"/>
  <c r="BI32" i="3"/>
  <c r="BL32" i="3" s="1"/>
  <c r="CK26" i="3"/>
  <c r="CN26" i="3" s="1"/>
  <c r="BW21" i="3"/>
  <c r="BZ21" i="3" s="1"/>
  <c r="BI16" i="3"/>
  <c r="BL16" i="3" s="1"/>
  <c r="CK10" i="3"/>
  <c r="CN10" i="3" s="1"/>
  <c r="BH7" i="3"/>
  <c r="BK7" i="3" s="1"/>
  <c r="BO24" i="3"/>
  <c r="BR24" i="3" s="1"/>
  <c r="BB19" i="3"/>
  <c r="BE19" i="3" s="1"/>
  <c r="BP43" i="3"/>
  <c r="BS43" i="3" s="1"/>
  <c r="BA38" i="3"/>
  <c r="BD38" i="3" s="1"/>
  <c r="G56" i="4" s="1"/>
  <c r="BP27" i="3"/>
  <c r="BS27" i="3" s="1"/>
  <c r="BB22" i="3"/>
  <c r="BE22" i="3" s="1"/>
  <c r="BP11" i="3"/>
  <c r="BS11" i="3" s="1"/>
  <c r="BI6" i="3"/>
  <c r="BL6" i="3" s="1"/>
  <c r="BR97" i="3"/>
  <c r="BS101" i="3"/>
  <c r="BI5" i="3"/>
  <c r="BL5" i="3" s="1"/>
  <c r="BB31" i="3"/>
  <c r="BE31" i="3" s="1"/>
  <c r="BK89" i="3"/>
  <c r="BV92" i="3"/>
  <c r="BY92" i="3" s="1"/>
  <c r="BV64" i="3"/>
  <c r="BY64" i="3" s="1"/>
  <c r="BV102" i="3"/>
  <c r="BY102" i="3" s="1"/>
  <c r="BK92" i="3"/>
  <c r="BW83" i="3"/>
  <c r="BZ83" i="3" s="1"/>
  <c r="BW96" i="3"/>
  <c r="BZ96" i="3" s="1"/>
  <c r="BV80" i="3"/>
  <c r="BY80" i="3" s="1"/>
  <c r="BW64" i="3"/>
  <c r="BZ64" i="3" s="1"/>
  <c r="BL59" i="3"/>
  <c r="CK53" i="3"/>
  <c r="CN53" i="3" s="1"/>
  <c r="BR80" i="3"/>
  <c r="BR77" i="3"/>
  <c r="BA51" i="3"/>
  <c r="BD51" i="3" s="1"/>
  <c r="BS74" i="3"/>
  <c r="BB58" i="3"/>
  <c r="BE58" i="3" s="1"/>
  <c r="BP47" i="3"/>
  <c r="BS47" i="3" s="1"/>
  <c r="BB42" i="3"/>
  <c r="BE42" i="3" s="1"/>
  <c r="BO31" i="3"/>
  <c r="BR31" i="3" s="1"/>
  <c r="BV48" i="3"/>
  <c r="BY48" i="3" s="1"/>
  <c r="BK77" i="3"/>
  <c r="BV66" i="3"/>
  <c r="BY66" i="3" s="1"/>
  <c r="CJ55" i="3"/>
  <c r="CM55" i="3" s="1"/>
  <c r="BW50" i="3"/>
  <c r="BZ50" i="3" s="1"/>
  <c r="BI45" i="3"/>
  <c r="BL45" i="3" s="1"/>
  <c r="CJ39" i="3"/>
  <c r="CM39" i="3" s="1"/>
  <c r="BV34" i="3"/>
  <c r="BY34" i="3" s="1"/>
  <c r="CJ28" i="3"/>
  <c r="CM28" i="3" s="1"/>
  <c r="BV23" i="3"/>
  <c r="BY23" i="3" s="1"/>
  <c r="BI18" i="3"/>
  <c r="BL18" i="3" s="1"/>
  <c r="CK12" i="3"/>
  <c r="CN12" i="3" s="1"/>
  <c r="BV42" i="3"/>
  <c r="BY42" i="3" s="1"/>
  <c r="BI37" i="3"/>
  <c r="BL37" i="3" s="1"/>
  <c r="CK31" i="3"/>
  <c r="CN31" i="3" s="1"/>
  <c r="BW26" i="3"/>
  <c r="BZ26" i="3" s="1"/>
  <c r="BI21" i="3"/>
  <c r="BL21" i="3" s="1"/>
  <c r="CJ15" i="3"/>
  <c r="CM15" i="3" s="1"/>
  <c r="BW10" i="3"/>
  <c r="BZ10" i="3" s="1"/>
  <c r="BO5" i="3"/>
  <c r="BR5" i="3" s="1"/>
  <c r="CJ6" i="3"/>
  <c r="CM6" i="3" s="1"/>
  <c r="BO29" i="3"/>
  <c r="BR29" i="3" s="1"/>
  <c r="BA24" i="3"/>
  <c r="BD24" i="3" s="1"/>
  <c r="BO13" i="3"/>
  <c r="BR13" i="3" s="1"/>
  <c r="BB43" i="3"/>
  <c r="BE43" i="3" s="1"/>
  <c r="BP32" i="3"/>
  <c r="BS32" i="3" s="1"/>
  <c r="BB27" i="3"/>
  <c r="BE27" i="3" s="1"/>
  <c r="BO16" i="3"/>
  <c r="BR16" i="3" s="1"/>
  <c r="BB11" i="3"/>
  <c r="BE11" i="3" s="1"/>
  <c r="CK5" i="3"/>
  <c r="CN5" i="3" s="1"/>
  <c r="BP7" i="3"/>
  <c r="BS7" i="3" s="1"/>
  <c r="BO36" i="3"/>
  <c r="BR36" i="3" s="1"/>
  <c r="BW99" i="3"/>
  <c r="BZ99" i="3" s="1"/>
  <c r="BW91" i="3"/>
  <c r="BZ91" i="3" s="1"/>
  <c r="BL83" i="3"/>
  <c r="BL96" i="3"/>
  <c r="BV85" i="3"/>
  <c r="BY85" i="3" s="1"/>
  <c r="BK80" i="3"/>
  <c r="BW69" i="3"/>
  <c r="BZ69" i="3" s="1"/>
  <c r="CK58" i="3"/>
  <c r="CN58" i="3" s="1"/>
  <c r="BR82" i="3"/>
  <c r="BR66" i="3"/>
  <c r="BD61" i="3"/>
  <c r="BO55" i="3"/>
  <c r="BR55" i="3" s="1"/>
  <c r="BO45" i="3"/>
  <c r="BR45" i="3" s="1"/>
  <c r="BO52" i="3"/>
  <c r="BR52" i="3" s="1"/>
  <c r="BB47" i="3"/>
  <c r="BE47" i="3" s="1"/>
  <c r="BP36" i="3"/>
  <c r="BS36" i="3" s="1"/>
  <c r="BA31" i="3"/>
  <c r="BD31" i="3" s="1"/>
  <c r="BH48" i="3"/>
  <c r="BK48" i="3" s="1"/>
  <c r="BV71" i="3"/>
  <c r="BY71" i="3" s="1"/>
  <c r="BK66" i="3"/>
  <c r="BV55" i="3"/>
  <c r="BY55" i="3" s="1"/>
  <c r="BI50" i="3"/>
  <c r="BL50" i="3" s="1"/>
  <c r="CK44" i="3"/>
  <c r="CN44" i="3" s="1"/>
  <c r="BV39" i="3"/>
  <c r="BY39" i="3" s="1"/>
  <c r="BH34" i="3"/>
  <c r="BK34" i="3" s="1"/>
  <c r="BV28" i="3"/>
  <c r="BY28" i="3" s="1"/>
  <c r="BH23" i="3"/>
  <c r="BK23" i="3" s="1"/>
  <c r="CK17" i="3"/>
  <c r="CN17" i="3" s="1"/>
  <c r="BW12" i="3"/>
  <c r="BZ12" i="3" s="1"/>
  <c r="BH42" i="3"/>
  <c r="BK42" i="3" s="1"/>
  <c r="CJ36" i="3"/>
  <c r="CM36" i="3" s="1"/>
  <c r="BW31" i="3"/>
  <c r="BZ31" i="3" s="1"/>
  <c r="BI26" i="3"/>
  <c r="BL26" i="3" s="1"/>
  <c r="CJ20" i="3"/>
  <c r="CM20" i="3" s="1"/>
  <c r="BV15" i="3"/>
  <c r="BY15" i="3" s="1"/>
  <c r="BI10" i="3"/>
  <c r="BL10" i="3" s="1"/>
  <c r="BA5" i="3"/>
  <c r="BD5" i="3" s="1"/>
  <c r="BV6" i="3"/>
  <c r="BY6" i="3" s="1"/>
  <c r="BA29" i="3"/>
  <c r="BD29" i="3" s="1"/>
  <c r="BO18" i="3"/>
  <c r="BR18" i="3" s="1"/>
  <c r="BA13" i="3"/>
  <c r="BD13" i="3" s="1"/>
  <c r="BP37" i="3"/>
  <c r="BS37" i="3" s="1"/>
  <c r="BB32" i="3"/>
  <c r="BE32" i="3" s="1"/>
  <c r="BP21" i="3"/>
  <c r="BS21" i="3" s="1"/>
  <c r="BA16" i="3"/>
  <c r="BD16" i="3" s="1"/>
  <c r="BW5" i="3"/>
  <c r="BZ5" i="3" s="1"/>
  <c r="BB7" i="3"/>
  <c r="BE7" i="3" s="1"/>
  <c r="BE88" i="3"/>
  <c r="BB15" i="3"/>
  <c r="BE15" i="3" s="1"/>
  <c r="BK103" i="3"/>
  <c r="BW94" i="3"/>
  <c r="BZ94" i="3" s="1"/>
  <c r="BI57" i="3"/>
  <c r="BL57" i="3" s="1"/>
  <c r="BL101" i="3"/>
  <c r="BW90" i="3"/>
  <c r="BZ90" i="3" s="1"/>
  <c r="BK85" i="3"/>
  <c r="BW74" i="3"/>
  <c r="BZ74" i="3" s="1"/>
  <c r="BL69" i="3"/>
  <c r="BW58" i="3"/>
  <c r="BZ58" i="3" s="1"/>
  <c r="BL95" i="3"/>
  <c r="BS87" i="3"/>
  <c r="BD82" i="3"/>
  <c r="BA55" i="3"/>
  <c r="BD55" i="3" s="1"/>
  <c r="BP50" i="3"/>
  <c r="BS50" i="3" s="1"/>
  <c r="BA45" i="3"/>
  <c r="BD45" i="3" s="1"/>
  <c r="BS68" i="3"/>
  <c r="BP57" i="3"/>
  <c r="BS57" i="3" s="1"/>
  <c r="BA52" i="3"/>
  <c r="BD52" i="3" s="1"/>
  <c r="BO41" i="3"/>
  <c r="BR41" i="3" s="1"/>
  <c r="BB36" i="3"/>
  <c r="BE36" i="3" s="1"/>
  <c r="CJ47" i="3"/>
  <c r="CM47" i="3" s="1"/>
  <c r="BV76" i="3"/>
  <c r="BY76" i="3" s="1"/>
  <c r="BV60" i="3"/>
  <c r="BY60" i="3" s="1"/>
  <c r="BH55" i="3"/>
  <c r="BK55" i="3" s="1"/>
  <c r="CJ49" i="3"/>
  <c r="CM49" i="3" s="1"/>
  <c r="BW44" i="3"/>
  <c r="BZ44" i="3" s="1"/>
  <c r="BH39" i="3"/>
  <c r="BK39" i="3" s="1"/>
  <c r="CJ33" i="3"/>
  <c r="CM33" i="3" s="1"/>
  <c r="BH28" i="3"/>
  <c r="BK28" i="3" s="1"/>
  <c r="CJ22" i="3"/>
  <c r="CM22" i="3" s="1"/>
  <c r="BW17" i="3"/>
  <c r="BZ17" i="3" s="1"/>
  <c r="BI12" i="3"/>
  <c r="BL12" i="3" s="1"/>
  <c r="CK41" i="3"/>
  <c r="CN41" i="3" s="1"/>
  <c r="BV36" i="3"/>
  <c r="BY36" i="3" s="1"/>
  <c r="BI31" i="3"/>
  <c r="BL31" i="3" s="1"/>
  <c r="CJ25" i="3"/>
  <c r="CM25" i="3" s="1"/>
  <c r="BV20" i="3"/>
  <c r="BY20" i="3" s="1"/>
  <c r="BH15" i="3"/>
  <c r="BK15" i="3" s="1"/>
  <c r="CK9" i="3"/>
  <c r="CN9" i="3" s="1"/>
  <c r="BH6" i="3"/>
  <c r="BK6" i="3" s="1"/>
  <c r="BO23" i="3"/>
  <c r="BR23" i="3" s="1"/>
  <c r="BA18" i="3"/>
  <c r="BD18" i="3" s="1"/>
  <c r="BO42" i="3"/>
  <c r="BR42" i="3" s="1"/>
  <c r="BB37" i="3"/>
  <c r="BE37" i="3" s="1"/>
  <c r="BP26" i="3"/>
  <c r="BS26" i="3" s="1"/>
  <c r="BB21" i="3"/>
  <c r="BE21" i="3" s="1"/>
  <c r="BO10" i="3"/>
  <c r="BR10" i="3" s="1"/>
  <c r="BK98" i="3"/>
  <c r="BV100" i="3"/>
  <c r="BY100" i="3" s="1"/>
  <c r="BK90" i="3"/>
  <c r="BV82" i="3"/>
  <c r="BY82" i="3" s="1"/>
  <c r="BV95" i="3"/>
  <c r="BY95" i="3" s="1"/>
  <c r="BL90" i="3"/>
  <c r="BV79" i="3"/>
  <c r="BY79" i="3" s="1"/>
  <c r="BW63" i="3"/>
  <c r="BZ63" i="3" s="1"/>
  <c r="BI58" i="3"/>
  <c r="BL58" i="3" s="1"/>
  <c r="BV94" i="3"/>
  <c r="BY94" i="3" s="1"/>
  <c r="BR60" i="3"/>
  <c r="BB50" i="3"/>
  <c r="BE50" i="3" s="1"/>
  <c r="BS73" i="3"/>
  <c r="BB57" i="3"/>
  <c r="BE57" i="3" s="1"/>
  <c r="BO46" i="3"/>
  <c r="BR46" i="3" s="1"/>
  <c r="BA41" i="3"/>
  <c r="BD41" i="3" s="1"/>
  <c r="BI53" i="3"/>
  <c r="BL53" i="3" s="1"/>
  <c r="BV47" i="3"/>
  <c r="BY47" i="3" s="1"/>
  <c r="BV65" i="3"/>
  <c r="BY65" i="3" s="1"/>
  <c r="BK60" i="3"/>
  <c r="CJ54" i="3"/>
  <c r="CM54" i="3" s="1"/>
  <c r="BV49" i="3"/>
  <c r="BY49" i="3" s="1"/>
  <c r="BI44" i="3"/>
  <c r="BL44" i="3" s="1"/>
  <c r="CK38" i="3"/>
  <c r="CN38" i="3" s="1"/>
  <c r="BV33" i="3"/>
  <c r="BY33" i="3" s="1"/>
  <c r="CJ27" i="3"/>
  <c r="CM27" i="3" s="1"/>
  <c r="BV22" i="3"/>
  <c r="BY22" i="3" s="1"/>
  <c r="BI17" i="3"/>
  <c r="BL17" i="3" s="1"/>
  <c r="CK11" i="3"/>
  <c r="CN11" i="3" s="1"/>
  <c r="BW41" i="3"/>
  <c r="BZ41" i="3" s="1"/>
  <c r="BH36" i="3"/>
  <c r="BK36" i="3" s="1"/>
  <c r="CK30" i="3"/>
  <c r="CN30" i="3" s="1"/>
  <c r="BV25" i="3"/>
  <c r="BY25" i="3" s="1"/>
  <c r="BH20" i="3"/>
  <c r="BK20" i="3" s="1"/>
  <c r="CK14" i="3"/>
  <c r="CN14" i="3" s="1"/>
  <c r="BO4" i="3"/>
  <c r="BR4" i="3" s="1"/>
  <c r="CJ5" i="3"/>
  <c r="CM5" i="3" s="1"/>
  <c r="BO28" i="3"/>
  <c r="BR28" i="3" s="1"/>
  <c r="BA23" i="3"/>
  <c r="BD23" i="3" s="1"/>
  <c r="BO12" i="3"/>
  <c r="BR12" i="3" s="1"/>
  <c r="BA42" i="3"/>
  <c r="BD42" i="3" s="1"/>
  <c r="BP31" i="3"/>
  <c r="BS31" i="3" s="1"/>
  <c r="BB26" i="3"/>
  <c r="BE26" i="3" s="1"/>
  <c r="BP15" i="3"/>
  <c r="BS15" i="3" s="1"/>
  <c r="BA10" i="3"/>
  <c r="BD10" i="3" s="1"/>
  <c r="CK4" i="3"/>
  <c r="CN4" i="3" s="1"/>
  <c r="BP6" i="3"/>
  <c r="BS6" i="3" s="1"/>
  <c r="BR89" i="3"/>
  <c r="BR100" i="3"/>
  <c r="CJ9" i="3"/>
  <c r="CM9" i="3" s="1"/>
  <c r="BI4" i="3"/>
  <c r="BL4" i="3" s="1"/>
  <c r="BW97" i="3"/>
  <c r="BZ97" i="3" s="1"/>
  <c r="BW89" i="3"/>
  <c r="BZ89" i="3" s="1"/>
  <c r="BW84" i="3"/>
  <c r="BZ84" i="3" s="1"/>
  <c r="BK79" i="3"/>
  <c r="BW68" i="3"/>
  <c r="BZ68" i="3" s="1"/>
  <c r="BL63" i="3"/>
  <c r="CK57" i="3"/>
  <c r="CN57" i="3" s="1"/>
  <c r="BS84" i="3"/>
  <c r="BD60" i="3"/>
  <c r="BO54" i="3"/>
  <c r="BR54" i="3" s="1"/>
  <c r="BS78" i="3"/>
  <c r="BS62" i="3"/>
  <c r="BP51" i="3"/>
  <c r="BS51" i="3" s="1"/>
  <c r="BA46" i="3"/>
  <c r="BD46" i="3" s="1"/>
  <c r="BO35" i="3"/>
  <c r="BR35" i="3" s="1"/>
  <c r="BV52" i="3"/>
  <c r="BY52" i="3" s="1"/>
  <c r="BH47" i="3"/>
  <c r="BK47" i="3" s="1"/>
  <c r="BV70" i="3"/>
  <c r="BY70" i="3" s="1"/>
  <c r="BV54" i="3"/>
  <c r="BY54" i="3" s="1"/>
  <c r="BH49" i="3"/>
  <c r="BK49" i="3" s="1"/>
  <c r="CJ43" i="3"/>
  <c r="CM43" i="3" s="1"/>
  <c r="BW38" i="3"/>
  <c r="BZ38" i="3" s="1"/>
  <c r="BH33" i="3"/>
  <c r="BK33" i="3" s="1"/>
  <c r="BV27" i="3"/>
  <c r="BY27" i="3" s="1"/>
  <c r="BH22" i="3"/>
  <c r="BK22" i="3" s="1"/>
  <c r="CJ16" i="3"/>
  <c r="CM16" i="3" s="1"/>
  <c r="BW11" i="3"/>
  <c r="BZ11" i="3" s="1"/>
  <c r="BI41" i="3"/>
  <c r="BL41" i="3" s="1"/>
  <c r="CK35" i="3"/>
  <c r="CN35" i="3" s="1"/>
  <c r="BW30" i="3"/>
  <c r="BZ30" i="3" s="1"/>
  <c r="BH25" i="3"/>
  <c r="BK25" i="3" s="1"/>
  <c r="CK19" i="3"/>
  <c r="CN19" i="3" s="1"/>
  <c r="BW14" i="3"/>
  <c r="BZ14" i="3" s="1"/>
  <c r="BP9" i="3"/>
  <c r="BS9" i="3" s="1"/>
  <c r="BA4" i="3"/>
  <c r="BD4" i="3" s="1"/>
  <c r="BV5" i="3"/>
  <c r="BY5" i="3" s="1"/>
  <c r="BW4" i="3"/>
  <c r="BZ4" i="3" s="1"/>
  <c r="BV103" i="3"/>
  <c r="BY103" i="3" s="1"/>
  <c r="BL99" i="3"/>
  <c r="BV89" i="3"/>
  <c r="BY89" i="3" s="1"/>
  <c r="BL84" i="3"/>
  <c r="BW73" i="3"/>
  <c r="BZ73" i="3" s="1"/>
  <c r="BW57" i="3"/>
  <c r="BZ57" i="3" s="1"/>
  <c r="BL93" i="3"/>
  <c r="BE97" i="3"/>
  <c r="BR86" i="3"/>
  <c r="BE81" i="3"/>
  <c r="BR70" i="3"/>
  <c r="BA54" i="3"/>
  <c r="BD54" i="3" s="1"/>
  <c r="BO49" i="3"/>
  <c r="BR49" i="3" s="1"/>
  <c r="BS67" i="3"/>
  <c r="BP56" i="3"/>
  <c r="BS56" i="3" s="1"/>
  <c r="BB51" i="3"/>
  <c r="BE51" i="3" s="1"/>
  <c r="BP40" i="3"/>
  <c r="BS40" i="3" s="1"/>
  <c r="BA35" i="3"/>
  <c r="BD35" i="3" s="1"/>
  <c r="G53" i="4" s="1"/>
  <c r="BH52" i="3"/>
  <c r="BK52" i="3" s="1"/>
  <c r="CK46" i="3"/>
  <c r="CN46" i="3" s="1"/>
  <c r="BV75" i="3"/>
  <c r="BY75" i="3" s="1"/>
  <c r="BK70" i="3"/>
  <c r="BV59" i="3"/>
  <c r="BY59" i="3" s="1"/>
  <c r="BH54" i="3"/>
  <c r="BK54" i="3" s="1"/>
  <c r="CK48" i="3"/>
  <c r="CN48" i="3" s="1"/>
  <c r="BV43" i="3"/>
  <c r="BY43" i="3" s="1"/>
  <c r="BI38" i="3"/>
  <c r="BL38" i="3" s="1"/>
  <c r="CJ32" i="3"/>
  <c r="CM32" i="3" s="1"/>
  <c r="BH27" i="3"/>
  <c r="BK27" i="3" s="1"/>
  <c r="CJ21" i="3"/>
  <c r="CM21" i="3" s="1"/>
  <c r="BV16" i="3"/>
  <c r="BY16" i="3" s="1"/>
  <c r="BI11" i="3"/>
  <c r="BL11" i="3" s="1"/>
  <c r="CJ40" i="3"/>
  <c r="CM40" i="3" s="1"/>
  <c r="BW35" i="3"/>
  <c r="BZ35" i="3" s="1"/>
  <c r="BI30" i="3"/>
  <c r="BL30" i="3" s="1"/>
  <c r="CK24" i="3"/>
  <c r="CN24" i="3" s="1"/>
  <c r="BW19" i="3"/>
  <c r="BZ19" i="3" s="1"/>
  <c r="BI14" i="3"/>
  <c r="BL14" i="3" s="1"/>
  <c r="BB9" i="3"/>
  <c r="BE9" i="3" s="1"/>
  <c r="BH5" i="3"/>
  <c r="BK5" i="3" s="1"/>
  <c r="BO22" i="3"/>
  <c r="BR22" i="3" s="1"/>
  <c r="BA17" i="3"/>
  <c r="BD17" i="3" s="1"/>
  <c r="BP41" i="3"/>
  <c r="BS41" i="3" s="1"/>
  <c r="BA36" i="3"/>
  <c r="BD36" i="3" s="1"/>
  <c r="BO25" i="3"/>
  <c r="BR25" i="3" s="1"/>
  <c r="BB20" i="3"/>
  <c r="BE20" i="3" s="1"/>
  <c r="BW78" i="3"/>
  <c r="BZ78" i="3" s="1"/>
  <c r="BR59" i="3"/>
  <c r="BB56" i="3"/>
  <c r="BE56" i="3" s="1"/>
  <c r="BO11" i="3"/>
  <c r="BR11" i="3" s="1"/>
  <c r="BP48" i="3"/>
  <c r="BS48" i="3" s="1"/>
  <c r="BK83" i="3"/>
  <c r="BB16" i="3"/>
  <c r="BE16" i="3" s="1"/>
  <c r="BO19" i="3"/>
  <c r="BR19" i="3" s="1"/>
  <c r="BI35" i="3"/>
  <c r="BL35" i="3" s="1"/>
  <c r="BV32" i="3"/>
  <c r="BY32" i="3" s="1"/>
  <c r="BO21" i="3"/>
  <c r="BR21" i="3" s="1"/>
  <c r="BV13" i="3"/>
  <c r="BY13" i="3" s="1"/>
  <c r="BV40" i="3"/>
  <c r="BY40" i="3" s="1"/>
  <c r="BH37" i="3"/>
  <c r="BK37" i="3" s="1"/>
  <c r="J55" i="4" s="1"/>
  <c r="BK69" i="3"/>
  <c r="BP55" i="3"/>
  <c r="BS55" i="3" s="1"/>
  <c r="BO58" i="3"/>
  <c r="BR58" i="3" s="1"/>
  <c r="BW88" i="3"/>
  <c r="BZ88" i="3" s="1"/>
  <c r="BV101" i="3"/>
  <c r="BP5" i="3"/>
  <c r="BS5" i="3" s="1"/>
  <c r="BP8" i="3"/>
  <c r="BS8" i="3" s="1"/>
  <c r="BV18" i="3"/>
  <c r="BY18" i="3" s="1"/>
  <c r="CK34" i="3"/>
  <c r="CN34" i="3" s="1"/>
  <c r="BH32" i="3"/>
  <c r="BK32" i="3" s="1"/>
  <c r="BK64" i="3"/>
  <c r="BV69" i="3"/>
  <c r="BY69" i="3" s="1"/>
  <c r="BV10" i="3"/>
  <c r="BY10" i="3" s="1"/>
  <c r="BS61" i="3"/>
  <c r="BR64" i="3"/>
  <c r="BB5" i="3"/>
  <c r="BE5" i="3" s="1"/>
  <c r="BH10" i="3"/>
  <c r="BK10" i="3" s="1"/>
  <c r="BR83" i="3"/>
  <c r="BI3" i="3"/>
  <c r="BL3" i="3" s="1"/>
  <c r="BV74" i="3"/>
  <c r="BY74" i="3" s="1"/>
  <c r="BP30" i="3"/>
  <c r="BS30" i="3" s="1"/>
  <c r="BB35" i="3"/>
  <c r="BE35" i="3" s="1"/>
  <c r="BA27" i="3"/>
  <c r="BD27" i="3" s="1"/>
  <c r="BI19" i="3"/>
  <c r="BL19" i="3" s="1"/>
  <c r="BW15" i="3"/>
  <c r="BZ15" i="3" s="1"/>
  <c r="CK42" i="3"/>
  <c r="CN42" i="3" s="1"/>
  <c r="CJ45" i="3"/>
  <c r="CM45" i="3" s="1"/>
  <c r="BS66" i="3"/>
  <c r="BR69" i="3"/>
  <c r="BW56" i="3"/>
  <c r="BZ56" i="3" s="1"/>
  <c r="CJ58" i="3"/>
  <c r="CM58" i="3" s="1"/>
  <c r="CJ31" i="3"/>
  <c r="CM31" i="3" s="1"/>
  <c r="CK39" i="3"/>
  <c r="CN39" i="3" s="1"/>
  <c r="BO53" i="3"/>
  <c r="BR53" i="3" s="1"/>
  <c r="BV37" i="3"/>
  <c r="BY37" i="3" s="1"/>
  <c r="BB30" i="3"/>
  <c r="BE30" i="3" s="1"/>
  <c r="BV8" i="3"/>
  <c r="BY8" i="3" s="1"/>
  <c r="CK23" i="3"/>
  <c r="CN23" i="3" s="1"/>
  <c r="CK15" i="3"/>
  <c r="CN15" i="3" s="1"/>
  <c r="BH43" i="3"/>
  <c r="BK43" i="3" s="1"/>
  <c r="BI46" i="3"/>
  <c r="BL46" i="3" s="1"/>
  <c r="CK56" i="3"/>
  <c r="CN56" i="3" s="1"/>
  <c r="BL81" i="3"/>
  <c r="CJ26" i="3"/>
  <c r="CM26" i="3" s="1"/>
  <c r="BL102" i="3"/>
  <c r="BA53" i="3"/>
  <c r="BD53" i="3" s="1"/>
  <c r="BH13" i="3"/>
  <c r="BK13" i="3" s="1"/>
  <c r="BV83" i="3"/>
  <c r="BY83" i="3" s="1"/>
  <c r="BA25" i="3"/>
  <c r="CJ13" i="3"/>
  <c r="CM13" i="3" s="1"/>
  <c r="CJ37" i="3"/>
  <c r="CM37" i="3" s="1"/>
  <c r="BW3" i="3"/>
  <c r="BZ3" i="3" s="1"/>
  <c r="CJ18" i="3"/>
  <c r="CM18" i="3" s="1"/>
  <c r="BH16" i="3"/>
  <c r="BK16" i="3" s="1"/>
  <c r="CK47" i="3"/>
  <c r="CN47" i="3" s="1"/>
  <c r="BI51" i="3"/>
  <c r="BL51" i="3" s="1"/>
  <c r="BB45" i="3"/>
  <c r="BE45" i="3" s="1"/>
  <c r="BP24" i="3"/>
  <c r="BS24" i="3" s="1"/>
  <c r="BA50" i="3"/>
  <c r="BD50" i="3" s="1"/>
  <c r="BO50" i="3"/>
  <c r="BR50" i="3" s="1"/>
  <c r="BA22" i="3"/>
  <c r="BD22" i="3" s="1"/>
  <c r="CJ10" i="3"/>
  <c r="CM10" i="3" s="1"/>
  <c r="CK3" i="3"/>
  <c r="CN3" i="3" s="1"/>
  <c r="BP35" i="3"/>
  <c r="BS35" i="3" s="1"/>
  <c r="BI24" i="3"/>
  <c r="BL24" i="3" s="1"/>
  <c r="BS88" i="3"/>
  <c r="BH9" i="3"/>
  <c r="BK9" i="3" s="1"/>
  <c r="BO40" i="3"/>
  <c r="BR40" i="3" s="1"/>
  <c r="BV4" i="3"/>
  <c r="BY4" i="3" s="1"/>
  <c r="BW24" i="3"/>
  <c r="BZ24" i="3" s="1"/>
  <c r="CK20" i="3"/>
  <c r="CN20" i="3" s="1"/>
  <c r="BI48" i="3"/>
  <c r="BL48" i="3" s="1"/>
  <c r="BW51" i="3"/>
  <c r="BZ51" i="3" s="1"/>
  <c r="BL62" i="3"/>
  <c r="BW87" i="3"/>
  <c r="BZ87" i="3" s="1"/>
  <c r="BB8" i="3"/>
  <c r="BE8" i="3" s="1"/>
  <c r="BP16" i="3"/>
  <c r="BS16" i="3" s="1"/>
  <c r="BH40" i="3"/>
  <c r="BK40" i="3" s="1"/>
  <c r="BR102" i="3"/>
  <c r="BL91" i="3"/>
  <c r="BW42" i="3"/>
  <c r="BZ42" i="3" s="1"/>
  <c r="BS98" i="3"/>
  <c r="BO27" i="3"/>
  <c r="BR27" i="3" s="1"/>
  <c r="CJ8" i="3"/>
  <c r="CM8" i="3" s="1"/>
  <c r="BH4" i="3"/>
  <c r="BK4" i="3" s="1"/>
  <c r="CJ4" i="3"/>
  <c r="CM4" i="3" s="1"/>
  <c r="BI29" i="3"/>
  <c r="BL29" i="3" s="1"/>
  <c r="BH21" i="3"/>
  <c r="BK21" i="3" s="1"/>
  <c r="BW48" i="3"/>
  <c r="BZ48" i="3" s="1"/>
  <c r="BA34" i="3"/>
  <c r="BD34" i="3" s="1"/>
  <c r="BS72" i="3"/>
  <c r="BE80" i="3"/>
  <c r="BL67" i="3"/>
  <c r="BV96" i="3"/>
  <c r="BY96" i="3" s="1"/>
  <c r="BE70" i="3"/>
  <c r="BD84" i="3"/>
  <c r="BR84" i="3"/>
  <c r="BE101" i="3"/>
  <c r="BD97" i="3"/>
  <c r="BR76" i="3"/>
  <c r="BD102" i="3"/>
  <c r="BD85" i="3"/>
  <c r="BR85" i="3"/>
  <c r="BE89" i="3"/>
  <c r="BS69" i="3"/>
  <c r="BL72" i="3"/>
  <c r="BE72" i="3"/>
  <c r="BD76" i="3"/>
  <c r="BL60" i="3"/>
  <c r="BS94" i="3"/>
  <c r="BE73" i="3"/>
  <c r="BK82" i="3"/>
  <c r="BE99" i="3"/>
  <c r="BE63" i="3"/>
  <c r="BE98" i="3"/>
  <c r="BS63" i="3"/>
  <c r="BK68" i="3"/>
  <c r="BD101" i="3"/>
  <c r="BD63" i="3"/>
  <c r="BE82" i="3"/>
  <c r="BK101" i="3"/>
  <c r="BR101" i="3"/>
  <c r="BL78" i="3"/>
  <c r="BR99" i="3"/>
  <c r="BL74" i="3"/>
  <c r="BV97" i="3"/>
  <c r="BY97" i="3" s="1"/>
  <c r="BL75" i="3"/>
  <c r="BE59" i="3"/>
  <c r="BS59" i="3"/>
  <c r="BK99" i="3"/>
  <c r="BD59" i="3"/>
  <c r="BD70" i="3"/>
  <c r="BR75" i="3"/>
  <c r="BV98" i="3"/>
  <c r="BY98" i="3" s="1"/>
  <c r="BW102" i="3"/>
  <c r="BZ102" i="3" s="1"/>
  <c r="BL100" i="3"/>
  <c r="BD103" i="3"/>
  <c r="BK61" i="3"/>
  <c r="BE74" i="3"/>
  <c r="BR71" i="3"/>
  <c r="BL64" i="3"/>
  <c r="BE64" i="3"/>
  <c r="BR61" i="3"/>
  <c r="BD78" i="3"/>
  <c r="BK100" i="3"/>
  <c r="BD68" i="3"/>
  <c r="BE71" i="3"/>
  <c r="BR68" i="3"/>
  <c r="BE79" i="3"/>
  <c r="BS79" i="3"/>
  <c r="BL94" i="3"/>
  <c r="BK88" i="3"/>
  <c r="BL68" i="3"/>
  <c r="BV99" i="3"/>
  <c r="BY99" i="3" s="1"/>
  <c r="BE67" i="3"/>
  <c r="BR91" i="3"/>
  <c r="BD91" i="3"/>
  <c r="BD69" i="3"/>
  <c r="BE62" i="3"/>
  <c r="BE84" i="3"/>
  <c r="BR65" i="3"/>
  <c r="BS81" i="3"/>
  <c r="BK95" i="3"/>
  <c r="BD66" i="3"/>
  <c r="BS93" i="3"/>
  <c r="BD93" i="3"/>
  <c r="BE83" i="3"/>
  <c r="BR95" i="3"/>
  <c r="BS83" i="3"/>
  <c r="BR98" i="3"/>
  <c r="BS85" i="3"/>
  <c r="BR79" i="3"/>
  <c r="BD77" i="3"/>
  <c r="BD96" i="3"/>
  <c r="BR96" i="3"/>
  <c r="BD92" i="3"/>
  <c r="BE87" i="3"/>
  <c r="BR92" i="3"/>
  <c r="BK91" i="3"/>
  <c r="BL87" i="3"/>
  <c r="BR87" i="3"/>
  <c r="BK76" i="3"/>
  <c r="BK71" i="3"/>
  <c r="BK96" i="3"/>
  <c r="BK59" i="3"/>
  <c r="BK67" i="3"/>
  <c r="BK75" i="3"/>
  <c r="BK65" i="3"/>
  <c r="BD95" i="3"/>
  <c r="J58" i="4" l="1"/>
  <c r="G54" i="4"/>
  <c r="M53" i="4"/>
  <c r="J54" i="10"/>
  <c r="G55" i="4"/>
  <c r="G57" i="4"/>
  <c r="M54" i="4"/>
  <c r="G58" i="4"/>
  <c r="M58" i="4"/>
  <c r="M55" i="4"/>
  <c r="G53" i="10"/>
  <c r="G58" i="10"/>
  <c r="G56" i="10"/>
  <c r="G55" i="10"/>
  <c r="G57" i="10"/>
  <c r="G54" i="10"/>
  <c r="M56" i="4"/>
  <c r="M57" i="4"/>
  <c r="J55" i="10"/>
  <c r="M53" i="10"/>
  <c r="M56" i="10"/>
  <c r="M57" i="10"/>
  <c r="M54" i="10"/>
  <c r="M55" i="10"/>
  <c r="M58" i="10"/>
  <c r="J58" i="10"/>
  <c r="J56" i="10"/>
  <c r="J53" i="10"/>
  <c r="J57" i="10"/>
  <c r="M52" i="10"/>
  <c r="G52" i="10"/>
  <c r="G52" i="4"/>
  <c r="J52" i="10"/>
  <c r="M52" i="4"/>
  <c r="J51" i="4"/>
  <c r="G51" i="10"/>
  <c r="M51" i="10"/>
  <c r="J51" i="10"/>
  <c r="J56" i="4"/>
  <c r="J57" i="4"/>
  <c r="J52" i="4"/>
  <c r="J54" i="4"/>
  <c r="M51" i="4"/>
  <c r="G51" i="4"/>
  <c r="J53" i="4"/>
  <c r="BM3" i="3"/>
  <c r="CH38" i="3"/>
  <c r="BM69" i="3"/>
  <c r="CO69" i="3"/>
  <c r="CH4" i="3"/>
  <c r="CO12" i="3"/>
  <c r="CA3" i="3"/>
  <c r="CH78" i="3"/>
  <c r="CA60" i="3"/>
  <c r="BF4" i="3"/>
  <c r="CO17" i="3"/>
  <c r="BT90" i="3"/>
  <c r="BT85" i="3"/>
  <c r="BM53" i="3"/>
  <c r="BT94" i="3"/>
  <c r="CA12" i="3"/>
  <c r="BF70" i="3"/>
  <c r="CH12" i="3"/>
  <c r="BM34" i="3"/>
  <c r="BM94" i="3"/>
  <c r="CH69" i="3"/>
  <c r="CO4" i="3"/>
  <c r="CO83" i="3"/>
  <c r="CO23" i="3"/>
  <c r="CA53" i="3"/>
  <c r="BF69" i="3"/>
  <c r="CA70" i="3"/>
  <c r="BF95" i="3"/>
  <c r="BT89" i="3"/>
  <c r="BM75" i="3"/>
  <c r="BT60" i="3"/>
  <c r="BR14" i="3"/>
  <c r="BT14" i="3" s="1"/>
  <c r="CH60" i="3"/>
  <c r="CO3" i="3"/>
  <c r="CO49" i="3"/>
  <c r="CA80" i="3"/>
  <c r="CH24" i="3"/>
  <c r="CA82" i="3"/>
  <c r="CH99" i="3"/>
  <c r="CO82" i="3"/>
  <c r="BF76" i="3"/>
  <c r="CA5" i="3"/>
  <c r="CA29" i="3"/>
  <c r="BT4" i="3"/>
  <c r="CH3" i="3"/>
  <c r="BM89" i="3"/>
  <c r="BT3" i="3"/>
  <c r="CO78" i="3"/>
  <c r="BT68" i="3"/>
  <c r="CA52" i="3"/>
  <c r="CA69" i="3"/>
  <c r="BT47" i="3"/>
  <c r="BT84" i="3"/>
  <c r="BM4" i="3"/>
  <c r="BM85" i="3"/>
  <c r="CH81" i="3"/>
  <c r="CO51" i="3"/>
  <c r="BT49" i="3"/>
  <c r="CO102" i="3"/>
  <c r="BF61" i="3"/>
  <c r="CH89" i="3"/>
  <c r="BF7" i="3"/>
  <c r="CH80" i="3"/>
  <c r="CO80" i="3"/>
  <c r="CH42" i="3"/>
  <c r="CH76" i="3"/>
  <c r="CH70" i="3"/>
  <c r="BT97" i="3"/>
  <c r="CA76" i="3"/>
  <c r="CO28" i="3"/>
  <c r="CH82" i="3"/>
  <c r="BM14" i="3"/>
  <c r="CH22" i="3"/>
  <c r="CH57" i="3"/>
  <c r="BT50" i="3"/>
  <c r="CA64" i="3"/>
  <c r="CA17" i="3"/>
  <c r="BM12" i="3"/>
  <c r="CH10" i="3"/>
  <c r="CH7" i="3"/>
  <c r="BF84" i="3"/>
  <c r="CO64" i="3"/>
  <c r="CO68" i="3"/>
  <c r="BF36" i="3"/>
  <c r="BM72" i="3"/>
  <c r="CO70" i="3"/>
  <c r="CO61" i="3"/>
  <c r="CA84" i="3"/>
  <c r="CO99" i="3"/>
  <c r="BT51" i="3"/>
  <c r="BM6" i="3"/>
  <c r="BF78" i="3"/>
  <c r="CH84" i="3"/>
  <c r="CA72" i="3"/>
  <c r="CA7" i="3"/>
  <c r="BM51" i="3"/>
  <c r="BF15" i="3"/>
  <c r="BF60" i="3"/>
  <c r="BM15" i="3"/>
  <c r="BF80" i="3"/>
  <c r="BY101" i="3"/>
  <c r="CA101" i="3" s="1"/>
  <c r="BM7" i="3"/>
  <c r="CA48" i="3"/>
  <c r="CA51" i="3"/>
  <c r="CA4" i="3"/>
  <c r="CA62" i="3"/>
  <c r="BD25" i="3"/>
  <c r="BF25" i="3" s="1"/>
  <c r="BT70" i="3"/>
  <c r="CO60" i="3"/>
  <c r="BF88" i="3"/>
  <c r="CO16" i="3"/>
  <c r="CH51" i="3"/>
  <c r="BT53" i="3"/>
  <c r="BF53" i="3"/>
  <c r="BF100" i="3"/>
  <c r="BM58" i="3"/>
  <c r="BT11" i="3"/>
  <c r="CA36" i="3"/>
  <c r="BG3" i="3"/>
  <c r="CO84" i="3"/>
  <c r="CO14" i="3"/>
  <c r="BF51" i="3"/>
  <c r="CO73" i="3"/>
  <c r="BM103" i="3"/>
  <c r="BT30" i="3"/>
  <c r="BM49" i="3"/>
  <c r="CA90" i="3"/>
  <c r="BM80" i="3"/>
  <c r="CO7" i="3"/>
  <c r="BM25" i="3"/>
  <c r="CO5" i="3"/>
  <c r="CO11" i="3"/>
  <c r="BM97" i="3"/>
  <c r="BM59" i="3"/>
  <c r="BM70" i="3"/>
  <c r="BT34" i="3"/>
  <c r="BT7" i="3"/>
  <c r="BF90" i="3"/>
  <c r="BM60" i="3"/>
  <c r="BF34" i="3"/>
  <c r="CO6" i="3"/>
  <c r="CH36" i="3"/>
  <c r="BM52" i="3"/>
  <c r="BT12" i="3"/>
  <c r="BT69" i="3"/>
  <c r="BM102" i="3"/>
  <c r="CA11" i="3"/>
  <c r="CH53" i="3"/>
  <c r="BF97" i="3"/>
  <c r="BM11" i="3"/>
  <c r="CO97" i="3"/>
  <c r="CA89" i="3"/>
  <c r="CO53" i="3"/>
  <c r="CH97" i="3"/>
  <c r="BT37" i="3"/>
  <c r="CO89" i="3"/>
  <c r="CA98" i="3"/>
  <c r="CA16" i="3"/>
  <c r="CH72" i="3"/>
  <c r="CO36" i="3"/>
  <c r="BT80" i="3"/>
  <c r="BF85" i="3"/>
  <c r="CA55" i="3"/>
  <c r="CO101" i="3"/>
  <c r="CO72" i="3"/>
  <c r="BT10" i="3"/>
  <c r="CH44" i="3"/>
  <c r="BM84" i="3"/>
  <c r="BF72" i="3"/>
  <c r="CA39" i="3"/>
  <c r="CA97" i="3"/>
  <c r="BT63" i="3"/>
  <c r="BF82" i="3"/>
  <c r="CO85" i="3"/>
  <c r="BM56" i="3"/>
  <c r="CH23" i="3"/>
  <c r="BM99" i="3"/>
  <c r="CA22" i="3"/>
  <c r="CO42" i="3"/>
  <c r="CH74" i="3"/>
  <c r="BT58" i="3"/>
  <c r="CH98" i="3"/>
  <c r="BF55" i="3"/>
  <c r="CH55" i="3"/>
  <c r="CH63" i="3"/>
  <c r="CH5" i="3"/>
  <c r="BF64" i="3"/>
  <c r="CH48" i="3"/>
  <c r="BF74" i="3"/>
  <c r="BF101" i="3"/>
  <c r="CH90" i="3"/>
  <c r="CH79" i="3"/>
  <c r="CA102" i="3"/>
  <c r="CO52" i="3"/>
  <c r="CO100" i="3"/>
  <c r="BM82" i="3"/>
  <c r="CO76" i="3"/>
  <c r="CH49" i="3"/>
  <c r="CA78" i="3"/>
  <c r="BM22" i="3"/>
  <c r="CH103" i="3"/>
  <c r="BT99" i="3"/>
  <c r="BM37" i="3"/>
  <c r="CA28" i="3"/>
  <c r="BT52" i="3"/>
  <c r="BM23" i="3"/>
  <c r="BM44" i="3"/>
  <c r="BM68" i="3"/>
  <c r="BF96" i="3"/>
  <c r="CH96" i="3"/>
  <c r="CH64" i="3"/>
  <c r="BF12" i="3"/>
  <c r="CO27" i="3"/>
  <c r="BF6" i="3"/>
  <c r="BF31" i="3"/>
  <c r="CO71" i="3"/>
  <c r="CA103" i="3"/>
  <c r="CA34" i="3"/>
  <c r="BF29" i="3"/>
  <c r="BT101" i="3"/>
  <c r="CH73" i="3"/>
  <c r="BF49" i="3"/>
  <c r="CO90" i="3"/>
  <c r="CO55" i="3"/>
  <c r="BT73" i="3"/>
  <c r="CH14" i="3"/>
  <c r="BF11" i="3"/>
  <c r="CO22" i="3"/>
  <c r="CO39" i="3"/>
  <c r="CH94" i="3"/>
  <c r="CA14" i="3"/>
  <c r="CA49" i="3"/>
  <c r="CA85" i="3"/>
  <c r="BF52" i="3"/>
  <c r="BT57" i="3"/>
  <c r="CH15" i="3"/>
  <c r="BF44" i="3"/>
  <c r="CO25" i="3"/>
  <c r="BM21" i="3"/>
  <c r="BT82" i="3"/>
  <c r="BF81" i="3"/>
  <c r="BM46" i="3"/>
  <c r="BF33" i="3"/>
  <c r="BM48" i="3"/>
  <c r="CH17" i="3"/>
  <c r="BF18" i="3"/>
  <c r="BT6" i="3"/>
  <c r="BM5" i="3"/>
  <c r="CO62" i="3"/>
  <c r="BF9" i="3"/>
  <c r="CO96" i="3"/>
  <c r="BM73" i="3"/>
  <c r="BT96" i="3"/>
  <c r="CO15" i="3"/>
  <c r="CH93" i="3"/>
  <c r="BF13" i="3"/>
  <c r="BM71" i="3"/>
  <c r="BM33" i="3"/>
  <c r="BT59" i="3"/>
  <c r="BM24" i="3"/>
  <c r="BT44" i="3"/>
  <c r="CH30" i="3"/>
  <c r="CO30" i="3"/>
  <c r="BF89" i="3"/>
  <c r="BT72" i="3"/>
  <c r="CH52" i="3"/>
  <c r="BT102" i="3"/>
  <c r="BF56" i="3"/>
  <c r="CO79" i="3"/>
  <c r="BF75" i="3"/>
  <c r="CA73" i="3"/>
  <c r="CH11" i="3"/>
  <c r="CA63" i="3"/>
  <c r="BF102" i="3"/>
  <c r="BM90" i="3"/>
  <c r="BM95" i="3"/>
  <c r="BF68" i="3"/>
  <c r="CO94" i="3"/>
  <c r="BT76" i="3"/>
  <c r="BF14" i="3"/>
  <c r="CH102" i="3"/>
  <c r="CH85" i="3"/>
  <c r="BM76" i="3"/>
  <c r="CH31" i="3"/>
  <c r="CH62" i="3"/>
  <c r="BT55" i="3"/>
  <c r="CH37" i="3"/>
  <c r="BF5" i="3"/>
  <c r="CA94" i="3"/>
  <c r="CO57" i="3"/>
  <c r="BF50" i="3"/>
  <c r="CA75" i="3"/>
  <c r="CO21" i="3"/>
  <c r="BT86" i="3"/>
  <c r="BT65" i="3"/>
  <c r="CH67" i="3"/>
  <c r="CA50" i="3"/>
  <c r="BF21" i="3"/>
  <c r="CH47" i="3"/>
  <c r="BM101" i="3"/>
  <c r="BM63" i="3"/>
  <c r="CA6" i="3"/>
  <c r="CH91" i="3"/>
  <c r="BF45" i="3"/>
  <c r="CA37" i="3"/>
  <c r="CA42" i="3"/>
  <c r="BF71" i="3"/>
  <c r="CH6" i="3"/>
  <c r="CA24" i="3"/>
  <c r="CO44" i="3"/>
  <c r="BM43" i="3"/>
  <c r="BF66" i="3"/>
  <c r="BF99" i="3"/>
  <c r="BF86" i="3"/>
  <c r="BF67" i="3"/>
  <c r="BM16" i="3"/>
  <c r="CH54" i="3"/>
  <c r="CH39" i="3"/>
  <c r="CA32" i="3"/>
  <c r="BT26" i="3"/>
  <c r="BM18" i="3"/>
  <c r="BM98" i="3"/>
  <c r="CA46" i="3"/>
  <c r="BT16" i="3"/>
  <c r="BT98" i="3"/>
  <c r="CA23" i="3"/>
  <c r="BT35" i="3"/>
  <c r="CH66" i="3"/>
  <c r="BM79" i="3"/>
  <c r="BT77" i="3"/>
  <c r="CO91" i="3"/>
  <c r="BT74" i="3"/>
  <c r="CO58" i="3"/>
  <c r="BF24" i="3"/>
  <c r="CA30" i="3"/>
  <c r="CO18" i="3"/>
  <c r="BM55" i="3"/>
  <c r="BT64" i="3"/>
  <c r="CA44" i="3"/>
  <c r="CO24" i="3"/>
  <c r="CH29" i="3"/>
  <c r="BF73" i="3"/>
  <c r="CO81" i="3"/>
  <c r="BT36" i="3"/>
  <c r="CH59" i="3"/>
  <c r="BT75" i="3"/>
  <c r="CH34" i="3"/>
  <c r="CA45" i="3"/>
  <c r="BM39" i="3"/>
  <c r="BT24" i="3"/>
  <c r="CA79" i="3"/>
  <c r="BF30" i="3"/>
  <c r="BM30" i="3"/>
  <c r="CA26" i="3"/>
  <c r="BT41" i="3"/>
  <c r="CA54" i="3"/>
  <c r="CO48" i="3"/>
  <c r="BT71" i="3"/>
  <c r="CO37" i="3"/>
  <c r="BT8" i="3"/>
  <c r="CA59" i="3"/>
  <c r="CA18" i="3"/>
  <c r="BT21" i="3"/>
  <c r="CO29" i="3"/>
  <c r="CA87" i="3"/>
  <c r="CH86" i="3"/>
  <c r="BT9" i="3"/>
  <c r="CH33" i="3"/>
  <c r="CA91" i="3"/>
  <c r="BT22" i="3"/>
  <c r="CA88" i="3"/>
  <c r="CO50" i="3"/>
  <c r="BM61" i="3"/>
  <c r="CA21" i="3"/>
  <c r="CH61" i="3"/>
  <c r="BM32" i="3"/>
  <c r="BT18" i="3"/>
  <c r="CO43" i="3"/>
  <c r="BT15" i="3"/>
  <c r="BF65" i="3"/>
  <c r="CH88" i="3"/>
  <c r="CH56" i="3"/>
  <c r="CO9" i="3"/>
  <c r="BM26" i="3"/>
  <c r="CH25" i="3"/>
  <c r="BT88" i="3"/>
  <c r="CH83" i="3"/>
  <c r="BM54" i="3"/>
  <c r="BM20" i="3"/>
  <c r="BF87" i="3"/>
  <c r="CO95" i="3"/>
  <c r="BT27" i="3"/>
  <c r="BF79" i="3"/>
  <c r="BF23" i="3"/>
  <c r="CO33" i="3"/>
  <c r="CO31" i="3"/>
  <c r="BM92" i="3"/>
  <c r="CH92" i="3"/>
  <c r="BF48" i="3"/>
  <c r="BT100" i="3"/>
  <c r="CA41" i="3"/>
  <c r="CA56" i="3"/>
  <c r="CO45" i="3"/>
  <c r="BF63" i="3"/>
  <c r="BT39" i="3"/>
  <c r="CA57" i="3"/>
  <c r="BT5" i="3"/>
  <c r="BM81" i="3"/>
  <c r="BT93" i="3"/>
  <c r="CA83" i="3"/>
  <c r="BM8" i="3"/>
  <c r="BF58" i="3"/>
  <c r="CA8" i="3"/>
  <c r="CH75" i="3"/>
  <c r="BT56" i="3"/>
  <c r="CO63" i="3"/>
  <c r="CO34" i="3"/>
  <c r="BF98" i="3"/>
  <c r="CH95" i="3"/>
  <c r="CH68" i="3"/>
  <c r="CA99" i="3"/>
  <c r="BM74" i="3"/>
  <c r="BF77" i="3"/>
  <c r="BT83" i="3"/>
  <c r="BT20" i="3"/>
  <c r="BF19" i="3"/>
  <c r="CH43" i="3"/>
  <c r="BT78" i="3"/>
  <c r="BT25" i="3"/>
  <c r="CH21" i="3"/>
  <c r="CH16" i="3"/>
  <c r="CO88" i="3"/>
  <c r="BM57" i="3"/>
  <c r="BT91" i="3"/>
  <c r="BM41" i="3"/>
  <c r="CH8" i="3"/>
  <c r="BF17" i="3"/>
  <c r="BT42" i="3"/>
  <c r="BM29" i="3"/>
  <c r="BM91" i="3"/>
  <c r="CO35" i="3"/>
  <c r="CA35" i="3"/>
  <c r="BT13" i="3"/>
  <c r="BT48" i="3"/>
  <c r="BM13" i="3"/>
  <c r="CA10" i="3"/>
  <c r="CA47" i="3"/>
  <c r="BF22" i="3"/>
  <c r="CA61" i="3"/>
  <c r="CA58" i="3"/>
  <c r="CA15" i="3"/>
  <c r="BT79" i="3"/>
  <c r="BT23" i="3"/>
  <c r="CA19" i="3"/>
  <c r="BT54" i="3"/>
  <c r="BF62" i="3"/>
  <c r="CA68" i="3"/>
  <c r="BT61" i="3"/>
  <c r="CO75" i="3"/>
  <c r="BF59" i="3"/>
  <c r="BM67" i="3"/>
  <c r="CO8" i="3"/>
  <c r="BF16" i="3"/>
  <c r="BM50" i="3"/>
  <c r="CO59" i="3"/>
  <c r="CO56" i="3"/>
  <c r="CA86" i="3"/>
  <c r="CH58" i="3"/>
  <c r="CO66" i="3"/>
  <c r="CA93" i="3"/>
  <c r="BF43" i="3"/>
  <c r="CO26" i="3"/>
  <c r="CH45" i="3"/>
  <c r="CO74" i="3"/>
  <c r="CA100" i="3"/>
  <c r="BT29" i="3"/>
  <c r="BF40" i="3"/>
  <c r="CO98" i="3"/>
  <c r="CO103" i="3"/>
  <c r="BF37" i="3"/>
  <c r="CO54" i="3"/>
  <c r="CA74" i="3"/>
  <c r="CA95" i="3"/>
  <c r="CH13" i="3"/>
  <c r="BM10" i="3"/>
  <c r="BT28" i="3"/>
  <c r="BM100" i="3"/>
  <c r="CH100" i="3"/>
  <c r="CA96" i="3"/>
  <c r="BF92" i="3"/>
  <c r="CO32" i="3"/>
  <c r="BF91" i="3"/>
  <c r="BT17" i="3"/>
  <c r="CH87" i="3"/>
  <c r="BM87" i="3"/>
  <c r="BM78" i="3"/>
  <c r="BF41" i="3"/>
  <c r="BF94" i="3"/>
  <c r="BF42" i="3"/>
  <c r="BM88" i="3"/>
  <c r="CO41" i="3"/>
  <c r="CA25" i="3"/>
  <c r="BM27" i="3"/>
  <c r="CA9" i="3"/>
  <c r="CA31" i="3"/>
  <c r="CH18" i="3"/>
  <c r="BM77" i="3"/>
  <c r="BF103" i="3"/>
  <c r="BM86" i="3"/>
  <c r="BT32" i="3"/>
  <c r="BM42" i="3"/>
  <c r="BM47" i="3"/>
  <c r="BF57" i="3"/>
  <c r="BT67" i="3"/>
  <c r="BT45" i="3"/>
  <c r="CH71" i="3"/>
  <c r="CH9" i="3"/>
  <c r="CH46" i="3"/>
  <c r="BT19" i="3"/>
  <c r="CH41" i="3"/>
  <c r="BF8" i="3"/>
  <c r="BM96" i="3"/>
  <c r="BF10" i="3"/>
  <c r="BT103" i="3"/>
  <c r="BF54" i="3"/>
  <c r="BT33" i="3"/>
  <c r="CO67" i="3"/>
  <c r="BM36" i="3"/>
  <c r="BT40" i="3"/>
  <c r="CA13" i="3"/>
  <c r="CA71" i="3"/>
  <c r="CA40" i="3"/>
  <c r="BM64" i="3"/>
  <c r="CO92" i="3"/>
  <c r="CA77" i="3"/>
  <c r="BM93" i="3"/>
  <c r="CO65" i="3"/>
  <c r="CH28" i="3"/>
  <c r="CH50" i="3"/>
  <c r="BM17" i="3"/>
  <c r="BM62" i="3"/>
  <c r="CH65" i="3"/>
  <c r="BF28" i="3"/>
  <c r="CO20" i="3"/>
  <c r="BM9" i="3"/>
  <c r="BM65" i="3"/>
  <c r="CA65" i="3"/>
  <c r="BF27" i="3"/>
  <c r="CH35" i="3"/>
  <c r="CO86" i="3"/>
  <c r="CH32" i="3"/>
  <c r="BF47" i="3"/>
  <c r="CA33" i="3"/>
  <c r="BT43" i="3"/>
  <c r="BF32" i="3"/>
  <c r="BF20" i="3"/>
  <c r="CH19" i="3"/>
  <c r="BT66" i="3"/>
  <c r="CA20" i="3"/>
  <c r="CH40" i="3"/>
  <c r="BM19" i="3"/>
  <c r="BT95" i="3"/>
  <c r="BM31" i="3"/>
  <c r="CO13" i="3"/>
  <c r="BF26" i="3"/>
  <c r="BT87" i="3"/>
  <c r="CO47" i="3"/>
  <c r="CA38" i="3"/>
  <c r="BF93" i="3"/>
  <c r="BM28" i="3"/>
  <c r="BT62" i="3"/>
  <c r="BF46" i="3"/>
  <c r="BF35" i="3"/>
  <c r="BM35" i="3"/>
  <c r="CA66" i="3"/>
  <c r="BM45" i="3"/>
  <c r="CA67" i="3"/>
  <c r="CO10" i="3"/>
  <c r="BT31" i="3"/>
  <c r="CA43" i="3"/>
  <c r="CH27" i="3"/>
  <c r="CO46" i="3"/>
  <c r="BF83" i="3"/>
  <c r="CG104" i="3"/>
  <c r="CO93" i="3"/>
  <c r="BM40" i="3"/>
  <c r="BM38" i="3"/>
  <c r="CA27" i="3"/>
  <c r="CO87" i="3"/>
  <c r="CO19" i="3"/>
  <c r="BF38" i="3"/>
  <c r="BT46" i="3"/>
  <c r="BT38" i="3"/>
  <c r="BT81" i="3"/>
  <c r="CA81" i="3"/>
  <c r="CO40" i="3"/>
  <c r="CH20" i="3"/>
  <c r="BL104" i="3"/>
  <c r="CA92" i="3"/>
  <c r="CH77" i="3"/>
  <c r="BM66" i="3"/>
  <c r="BM83" i="3"/>
  <c r="CO77" i="3"/>
  <c r="BE104" i="3"/>
  <c r="CN104" i="3"/>
  <c r="BS104" i="3"/>
  <c r="BZ104" i="3"/>
  <c r="BT92" i="3"/>
  <c r="BF39" i="3"/>
  <c r="CO38" i="3"/>
  <c r="CM104" i="3"/>
  <c r="BK104" i="3"/>
  <c r="CH26" i="3"/>
  <c r="BF3" i="3"/>
  <c r="BY104" i="3" l="1"/>
  <c r="BR104" i="3"/>
  <c r="BD104" i="3"/>
  <c r="CF104" i="3"/>
  <c r="CH101" i="3"/>
  <c r="CH104" i="3" s="1"/>
  <c r="CO104" i="3"/>
  <c r="BT104" i="3"/>
  <c r="B30" i="6" s="1"/>
  <c r="BM104" i="3"/>
  <c r="B29" i="6" s="1"/>
  <c r="CA104" i="3"/>
  <c r="B31" i="6" s="1"/>
  <c r="BF104" i="3"/>
  <c r="B28" i="6" s="1"/>
  <c r="G60" i="4" l="1"/>
  <c r="G66" i="4" s="1"/>
  <c r="G70" i="4" s="1"/>
  <c r="G60" i="10"/>
  <c r="M60" i="4"/>
  <c r="M78" i="4" s="1"/>
  <c r="M82" i="4" s="1"/>
  <c r="M60" i="10"/>
  <c r="B32" i="6"/>
  <c r="G94" i="4"/>
  <c r="B33" i="6"/>
  <c r="J60" i="10" s="1"/>
  <c r="J66" i="10" s="1"/>
  <c r="J70" i="10" s="1"/>
  <c r="J61" i="10" l="1"/>
  <c r="J63" i="10" s="1"/>
  <c r="J64" i="10" s="1"/>
  <c r="J78" i="10"/>
  <c r="J82" i="10" s="1"/>
  <c r="J72" i="10"/>
  <c r="J76" i="10" s="1"/>
  <c r="M72" i="4"/>
  <c r="M76" i="4" s="1"/>
  <c r="G66" i="10"/>
  <c r="G70" i="10" s="1"/>
  <c r="G72" i="10"/>
  <c r="G76" i="10" s="1"/>
  <c r="G78" i="10"/>
  <c r="G61" i="10"/>
  <c r="G61" i="4"/>
  <c r="G69" i="4" s="1"/>
  <c r="G78" i="4"/>
  <c r="M66" i="10"/>
  <c r="M72" i="10"/>
  <c r="M61" i="10"/>
  <c r="M63" i="10" s="1"/>
  <c r="M64" i="10" s="1"/>
  <c r="M78" i="10"/>
  <c r="C23" i="2"/>
  <c r="E23" i="2"/>
  <c r="G72" i="4"/>
  <c r="G76" i="4" s="1"/>
  <c r="M66" i="4"/>
  <c r="M70" i="4" s="1"/>
  <c r="M61" i="4"/>
  <c r="M63" i="4" s="1"/>
  <c r="M64" i="4" s="1"/>
  <c r="J60" i="4"/>
  <c r="J66" i="4" s="1"/>
  <c r="J73" i="10" l="1"/>
  <c r="J74" i="10" s="1"/>
  <c r="J75" i="10"/>
  <c r="J69" i="10"/>
  <c r="J67" i="10"/>
  <c r="J68" i="10" s="1"/>
  <c r="J79" i="10"/>
  <c r="J80" i="10" s="1"/>
  <c r="J81" i="10"/>
  <c r="G81" i="10"/>
  <c r="M69" i="4"/>
  <c r="G75" i="10"/>
  <c r="M75" i="10"/>
  <c r="G63" i="10"/>
  <c r="G64" i="10" s="1"/>
  <c r="G79" i="4"/>
  <c r="G80" i="4" s="1"/>
  <c r="G73" i="4"/>
  <c r="G74" i="4" s="1"/>
  <c r="G69" i="10"/>
  <c r="G75" i="4"/>
  <c r="G67" i="4"/>
  <c r="G68" i="4" s="1"/>
  <c r="G63" i="4"/>
  <c r="G64" i="4" s="1"/>
  <c r="M82" i="10"/>
  <c r="M79" i="10"/>
  <c r="M80" i="10" s="1"/>
  <c r="M70" i="10"/>
  <c r="M67" i="10"/>
  <c r="M68" i="10" s="1"/>
  <c r="G82" i="4"/>
  <c r="G81" i="4"/>
  <c r="M76" i="10"/>
  <c r="M75" i="4"/>
  <c r="G82" i="10"/>
  <c r="G79" i="10"/>
  <c r="G80" i="10" s="1"/>
  <c r="M73" i="10"/>
  <c r="M74" i="10" s="1"/>
  <c r="M67" i="4"/>
  <c r="M68" i="4" s="1"/>
  <c r="M73" i="4"/>
  <c r="M74" i="4" s="1"/>
  <c r="M79" i="4"/>
  <c r="M80" i="4" s="1"/>
  <c r="M81" i="10"/>
  <c r="G73" i="10"/>
  <c r="G74" i="10" s="1"/>
  <c r="M81" i="4"/>
  <c r="M69" i="10"/>
  <c r="G67" i="10"/>
  <c r="G68" i="10" s="1"/>
  <c r="D23" i="2"/>
  <c r="J61" i="4"/>
  <c r="J67" i="4" s="1"/>
  <c r="J68" i="4" s="1"/>
  <c r="J70" i="4"/>
  <c r="J72" i="4"/>
  <c r="J76" i="4" s="1"/>
  <c r="J78" i="4"/>
  <c r="J82" i="4" s="1"/>
  <c r="J81" i="4" l="1"/>
  <c r="J75" i="4"/>
  <c r="J63" i="4"/>
  <c r="J64" i="4" s="1"/>
  <c r="J73" i="4"/>
  <c r="J74" i="4" s="1"/>
  <c r="J79" i="4"/>
  <c r="J80" i="4" s="1"/>
  <c r="J69" i="4"/>
</calcChain>
</file>

<file path=xl/sharedStrings.xml><?xml version="1.0" encoding="utf-8"?>
<sst xmlns="http://schemas.openxmlformats.org/spreadsheetml/2006/main" count="3978" uniqueCount="539">
  <si>
    <t>SEGUROS  ATLAS,  S.A.</t>
  </si>
  <si>
    <t>MUNDIAL1</t>
  </si>
  <si>
    <t>MUNDIAL2</t>
  </si>
  <si>
    <t>MUNDIAL3</t>
  </si>
  <si>
    <t>Rango</t>
  </si>
  <si>
    <t>Hombres</t>
  </si>
  <si>
    <t>Mujeres</t>
  </si>
  <si>
    <t xml:space="preserve">Suma Asegurada </t>
  </si>
  <si>
    <t>Deducible:</t>
  </si>
  <si>
    <t>Coaseguro:</t>
  </si>
  <si>
    <t>Zona (A/B/C):</t>
  </si>
  <si>
    <t>Gastos funerarios por rango de edad</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</si>
  <si>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</si>
  <si>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</si>
  <si>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</si>
  <si>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</si>
  <si>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</si>
  <si>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</si>
  <si>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</si>
  <si>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</si>
  <si>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</si>
  <si>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</si>
  <si>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</si>
  <si>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</si>
  <si>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</si>
  <si>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</si>
  <si>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</si>
  <si>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</si>
  <si>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</si>
  <si>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</si>
  <si>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</si>
  <si>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</si>
  <si>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</si>
  <si>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</si>
  <si>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</si>
  <si>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</si>
  <si>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</si>
  <si>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</si>
  <si>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</si>
  <si>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</si>
  <si>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</si>
  <si>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</si>
  <si>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</si>
  <si>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</si>
  <si>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</si>
  <si>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</si>
  <si>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</si>
  <si>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</si>
  <si>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</si>
  <si>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</si>
  <si>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</si>
  <si>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</si>
  <si>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</si>
  <si>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</si>
  <si>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</si>
  <si>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</si>
  <si>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</si>
  <si>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</si>
  <si>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</si>
  <si>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</si>
  <si>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</si>
  <si>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</si>
  <si>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</si>
  <si>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</si>
  <si>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</si>
  <si>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</si>
  <si>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</si>
  <si>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</si>
  <si>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</si>
  <si>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</si>
  <si>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</si>
  <si>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</si>
  <si>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</si>
  <si>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</si>
  <si>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</si>
  <si>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</si>
  <si>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</si>
  <si>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</si>
  <si>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</si>
  <si>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</si>
  <si>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</si>
  <si>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</si>
  <si>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</si>
  <si>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</si>
  <si>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Inicio de Vigencia</t>
  </si>
  <si>
    <t>Suma Asegurada</t>
  </si>
  <si>
    <t>Deducible</t>
  </si>
  <si>
    <t>Continuación Familiar</t>
  </si>
  <si>
    <t>Tope de Coaseguro</t>
  </si>
  <si>
    <t>Maternidad</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</si>
  <si>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</si>
  <si>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</si>
  <si>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</si>
  <si>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</si>
  <si>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</si>
  <si>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P06</t>
  </si>
  <si>
    <t>H02</t>
  </si>
  <si>
    <t>T02</t>
  </si>
  <si>
    <t>P07</t>
  </si>
  <si>
    <t>P09</t>
  </si>
  <si>
    <t>I ELITE</t>
  </si>
  <si>
    <t>I PLUS</t>
  </si>
  <si>
    <t>I OPTIMO</t>
  </si>
  <si>
    <t>TOPE</t>
  </si>
  <si>
    <t>Plan</t>
  </si>
  <si>
    <t>Errores</t>
  </si>
  <si>
    <t xml:space="preserve">Deducible </t>
  </si>
  <si>
    <t>Tope Coaseguro</t>
  </si>
  <si>
    <t>Prima Neta:</t>
  </si>
  <si>
    <t>Y10</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</si>
  <si>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</si>
  <si>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</si>
  <si>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</si>
  <si>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</si>
  <si>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</si>
  <si>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</si>
  <si>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</si>
  <si>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</si>
  <si>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</si>
  <si>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</si>
  <si>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</si>
  <si>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</si>
  <si>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</si>
  <si>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</si>
  <si>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</si>
  <si>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</si>
  <si>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</si>
  <si>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</si>
  <si>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</si>
  <si>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</si>
  <si>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</si>
  <si>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</si>
  <si>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</si>
  <si>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</si>
  <si>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</si>
  <si>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</si>
  <si>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</si>
  <si>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</si>
  <si>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</si>
  <si>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</si>
  <si>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</si>
  <si>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</si>
  <si>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</si>
  <si>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</si>
  <si>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</si>
  <si>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</si>
  <si>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</si>
  <si>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</si>
  <si>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</si>
  <si>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</si>
  <si>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</si>
  <si>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</si>
  <si>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</si>
  <si>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</si>
  <si>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</si>
  <si>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</si>
  <si>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</si>
  <si>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</si>
  <si>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</si>
  <si>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</si>
  <si>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</si>
  <si>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</si>
  <si>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</si>
  <si>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</si>
  <si>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</si>
  <si>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</si>
  <si>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</si>
  <si>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</si>
  <si>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</si>
  <si>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</si>
  <si>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</si>
  <si>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</si>
  <si>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</si>
  <si>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</si>
  <si>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</si>
  <si>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</si>
  <si>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</si>
  <si>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</si>
  <si>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</si>
  <si>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</si>
  <si>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</si>
  <si>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</si>
  <si>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</si>
  <si>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</si>
  <si>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</si>
  <si>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</si>
  <si>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</si>
  <si>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</si>
  <si>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</si>
  <si>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</si>
  <si>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</si>
  <si>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</si>
  <si>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</si>
  <si>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</si>
  <si>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</si>
  <si>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</si>
  <si>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</si>
  <si>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</si>
  <si>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</si>
  <si>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</si>
  <si>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</si>
  <si>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</si>
  <si>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</si>
  <si>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</si>
  <si>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</si>
  <si>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</si>
  <si>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</si>
  <si>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</si>
  <si>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</si>
  <si>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</si>
  <si>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</si>
  <si>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</si>
  <si>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</si>
  <si>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</si>
  <si>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</si>
  <si>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</si>
  <si>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</si>
  <si>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</si>
  <si>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</si>
  <si>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Gastos Funerarios Dependientes Económicos</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</si>
  <si>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</si>
  <si>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</si>
  <si>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</si>
  <si>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</si>
  <si>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</si>
  <si>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</si>
  <si>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</si>
  <si>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</si>
  <si>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</si>
  <si>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</si>
  <si>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</si>
  <si>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</si>
  <si>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</si>
  <si>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</si>
  <si>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</si>
  <si>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</si>
  <si>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</si>
  <si>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</si>
  <si>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</si>
  <si>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</si>
  <si>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Sexo</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</si>
  <si>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</si>
  <si>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</si>
  <si>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</si>
  <si>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</si>
  <si>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</si>
  <si>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</si>
  <si>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</si>
  <si>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</si>
  <si>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Oficina  Regional</t>
  </si>
  <si>
    <t>Rango de edad</t>
  </si>
  <si>
    <t>Factor</t>
  </si>
  <si>
    <t>CUA</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</si>
  <si>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</si>
  <si>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</si>
  <si>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</si>
  <si>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</si>
  <si>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</si>
  <si>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</si>
  <si>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</si>
  <si>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</si>
  <si>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</si>
  <si>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</si>
  <si>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</si>
  <si>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</si>
  <si>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</si>
  <si>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</si>
  <si>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</si>
  <si>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</si>
  <si>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</si>
  <si>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</si>
  <si>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</si>
  <si>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</si>
  <si>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</si>
  <si>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</si>
  <si>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</si>
  <si>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Fecha</t>
  </si>
  <si>
    <t>Primer recibo:</t>
  </si>
  <si>
    <t>Recibos subsecuentes:</t>
  </si>
  <si>
    <t>Gastos de expedición:</t>
  </si>
  <si>
    <t>Impuesto:</t>
  </si>
  <si>
    <t>Recargo Pag Frac:</t>
  </si>
  <si>
    <t>PRIMA TOTAL:</t>
  </si>
  <si>
    <t>Recibo subsecuente:</t>
  </si>
  <si>
    <t>Opciones de SA</t>
  </si>
  <si>
    <t>Total Prima Neta :</t>
  </si>
  <si>
    <t>Ciudad Obregón</t>
  </si>
  <si>
    <t>H01</t>
  </si>
  <si>
    <t>C16</t>
  </si>
  <si>
    <t>Y01</t>
  </si>
  <si>
    <t>L07</t>
  </si>
  <si>
    <t>T03</t>
  </si>
  <si>
    <t>L06</t>
  </si>
  <si>
    <t>M11</t>
  </si>
  <si>
    <t>MATERNIDAD</t>
  </si>
  <si>
    <t>Playa Del Carmen</t>
  </si>
  <si>
    <t>Y11</t>
  </si>
  <si>
    <t>Suma asegurada</t>
  </si>
  <si>
    <t>Continuación familiar</t>
  </si>
  <si>
    <t>Suma Asegurada:</t>
  </si>
  <si>
    <t xml:space="preserve">Primas netas </t>
  </si>
  <si>
    <t>Argumento 2</t>
  </si>
  <si>
    <t>Argumento 1</t>
  </si>
  <si>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</si>
  <si>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</si>
  <si>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</si>
  <si>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</si>
  <si>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</si>
  <si>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</si>
  <si>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</si>
  <si>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</si>
  <si>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</si>
  <si>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</si>
  <si>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</si>
  <si>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</si>
  <si>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</si>
  <si>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</si>
  <si>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</si>
  <si>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UMAM: UNIDAD DE MEDIDA Y ACTUALIZACIÓN MENSUAL</t>
  </si>
  <si>
    <t>Gastos Funerarios Titulares</t>
  </si>
  <si>
    <t>Gastos Funerarios Titular</t>
  </si>
  <si>
    <t xml:space="preserve">Para más información sobre UMAM visite la página: </t>
  </si>
  <si>
    <t>Para consultar la Red Médica y Hospitalaria visite la página:</t>
  </si>
  <si>
    <t>http://www.segurosatlas.com.mx/OficinasAtencion.html</t>
  </si>
  <si>
    <t xml:space="preserve">Ciudad Del Carmen </t>
  </si>
  <si>
    <t>Y17</t>
  </si>
  <si>
    <t>Y15</t>
  </si>
  <si>
    <t>Coatzacoalcos</t>
  </si>
  <si>
    <t>Factor A Y E</t>
  </si>
  <si>
    <t>Factor  E</t>
  </si>
  <si>
    <t>%</t>
  </si>
  <si>
    <t>Nacional y Mundial</t>
  </si>
  <si>
    <t>Carta</t>
  </si>
  <si>
    <t>Combo</t>
  </si>
  <si>
    <t xml:space="preserve">Número </t>
  </si>
  <si>
    <t>Clave</t>
  </si>
  <si>
    <t>Zona</t>
  </si>
  <si>
    <t>Descuento Mundial</t>
  </si>
  <si>
    <t xml:space="preserve">CUA al 75% ? </t>
  </si>
  <si>
    <t>Factor Coaseguro</t>
  </si>
  <si>
    <t>Tope coaseguro</t>
  </si>
  <si>
    <t>Factor Tope</t>
  </si>
  <si>
    <t>Llave</t>
  </si>
  <si>
    <t xml:space="preserve">Factor </t>
  </si>
  <si>
    <t>Coaseguro Combo</t>
  </si>
  <si>
    <t>Topes de Coaseguro  Combo</t>
  </si>
  <si>
    <t>Plan:</t>
  </si>
  <si>
    <t>Nueva/Renovación</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</si>
  <si>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</si>
  <si>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</si>
  <si>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</si>
  <si>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</si>
  <si>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</si>
  <si>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</si>
  <si>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</si>
  <si>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</si>
  <si>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</si>
  <si>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</si>
  <si>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</si>
  <si>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</si>
  <si>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</si>
  <si>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</si>
  <si>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</si>
  <si>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</si>
  <si>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Se permite</t>
  </si>
  <si>
    <t>1.SI</t>
  </si>
  <si>
    <t xml:space="preserve">Comision </t>
  </si>
  <si>
    <t>Comisión real</t>
  </si>
  <si>
    <t xml:space="preserve">Cesión del: </t>
  </si>
  <si>
    <t>Comisiones</t>
  </si>
  <si>
    <t>0.No</t>
  </si>
  <si>
    <t xml:space="preserve">Vigencia de la cotizacion </t>
  </si>
  <si>
    <t>Vigencia de la póliza</t>
  </si>
  <si>
    <t xml:space="preserve">Vigencia de la cotización </t>
  </si>
  <si>
    <t>Esquema de comisión</t>
  </si>
  <si>
    <t>Factor de prima  15 %</t>
  </si>
  <si>
    <t>Factor de prima  12 %</t>
  </si>
  <si>
    <t>Por rango de edad del asegurado (Diferenciado)</t>
  </si>
  <si>
    <t>18% para todas las edades</t>
  </si>
  <si>
    <t>Visibilidad</t>
  </si>
  <si>
    <t>optimo</t>
  </si>
  <si>
    <t>plus</t>
  </si>
  <si>
    <t>elite</t>
  </si>
  <si>
    <t>Nuevas</t>
  </si>
  <si>
    <t>Renovacion</t>
  </si>
  <si>
    <t>Deducibles</t>
  </si>
  <si>
    <t>b</t>
  </si>
  <si>
    <t>1 es nueva</t>
  </si>
  <si>
    <t>p</t>
  </si>
  <si>
    <t xml:space="preserve">Plan </t>
  </si>
  <si>
    <t>Nueva y mundial</t>
  </si>
  <si>
    <t>b3</t>
  </si>
  <si>
    <t>b4</t>
  </si>
  <si>
    <t>Suma de incidencias</t>
  </si>
  <si>
    <t>vo</t>
  </si>
  <si>
    <t>vp</t>
  </si>
  <si>
    <t>ve</t>
  </si>
  <si>
    <t>B=1 nueva</t>
  </si>
  <si>
    <t>B=2 renovacion</t>
  </si>
  <si>
    <t>Med Asistencia</t>
  </si>
  <si>
    <t>Asistencia Funeraria</t>
  </si>
  <si>
    <t>Dental</t>
  </si>
  <si>
    <t>Emergencia en el Extranjero</t>
  </si>
  <si>
    <t>Suma de coberturas con costo</t>
  </si>
  <si>
    <t>MUNDIAL Factor de prima  15 %</t>
  </si>
  <si>
    <t>MUNDIAL Factor de prima  12 %</t>
  </si>
  <si>
    <t>Error</t>
  </si>
  <si>
    <t>Plan Mundial</t>
  </si>
  <si>
    <t>https://www.inegi.org.mx/temas/uma/</t>
  </si>
  <si>
    <t>Zacatecas</t>
  </si>
  <si>
    <t>L12</t>
  </si>
  <si>
    <t>Mazatlán</t>
  </si>
  <si>
    <t>G22</t>
  </si>
  <si>
    <t>IVA</t>
  </si>
  <si>
    <t>Dirigida a:</t>
  </si>
  <si>
    <t>Lugar de Residencia del Asegurado</t>
  </si>
  <si>
    <t>Matamoros</t>
  </si>
  <si>
    <t>M17</t>
  </si>
  <si>
    <t>Recuperación activa Atlas</t>
  </si>
  <si>
    <t>SA</t>
  </si>
  <si>
    <t>¿Deseas indicar la comisión en la carta?</t>
  </si>
  <si>
    <t>¿Deseas cálculo con IVA fronterizo?</t>
  </si>
  <si>
    <t xml:space="preserve">Recuperación Activa Atlas ( Disponible sólo Planes Nacionales) </t>
  </si>
  <si>
    <t>Comisión Carta</t>
  </si>
  <si>
    <t>100,000  M.N</t>
  </si>
  <si>
    <t>200,000  M.N</t>
  </si>
  <si>
    <t>300,000  M.N</t>
  </si>
  <si>
    <t>400,000  M.N</t>
  </si>
  <si>
    <t>500,000  M.N</t>
  </si>
  <si>
    <t>Recuperación Activa Atlas</t>
  </si>
  <si>
    <t>SA Recuperación Activa Atlas</t>
  </si>
  <si>
    <t>Recuperación Activa Hombres</t>
  </si>
  <si>
    <t>Recuperación Activa Mujeres</t>
  </si>
  <si>
    <t xml:space="preserve">Recuperacion Activa </t>
  </si>
  <si>
    <t>Nueva y edad</t>
  </si>
  <si>
    <t>Nueva Mundial</t>
  </si>
  <si>
    <t>Nueva Nacional</t>
  </si>
  <si>
    <t>Xalapa</t>
  </si>
  <si>
    <t>P12</t>
  </si>
  <si>
    <t>Coaseguro y Tope</t>
  </si>
  <si>
    <t>Ciudad Delicias</t>
  </si>
  <si>
    <t>C18</t>
  </si>
  <si>
    <t>Tepic</t>
  </si>
  <si>
    <t>G32</t>
  </si>
  <si>
    <t>Tlaxcala</t>
  </si>
  <si>
    <t>P14</t>
  </si>
  <si>
    <t>Fecha de cotización</t>
  </si>
  <si>
    <t>Foranea?</t>
  </si>
  <si>
    <t>Plan Dental</t>
  </si>
  <si>
    <t>Plan Visión</t>
  </si>
  <si>
    <t xml:space="preserve">Diagnóstico, prevención, restauración (amalgamas y resinas), endodoncias, remoción de terceros molares y procedimientos quirúrgicos menores. </t>
  </si>
  <si>
    <t>Para todos los integrantes de la póliza. Asesoría telefónica, embalsamado,  sala de velación, ataúd, traslado, gestión de trámites, asesoría para casos legales, servició de cremación, urna para cenizas. Repatriación, traslado aéreo y terrestre, embalaje, asesoría testamentaria y servicio de tanatología.</t>
  </si>
  <si>
    <t>COVID-19</t>
  </si>
  <si>
    <t>Datos de contacto del Asesor Profesional de Seguros</t>
  </si>
  <si>
    <t>Agente:</t>
  </si>
  <si>
    <t>Celular:</t>
  </si>
  <si>
    <t>E-mail</t>
  </si>
  <si>
    <t>Deducible por accidente</t>
  </si>
  <si>
    <t>Catastróficas en el Extranjero</t>
  </si>
  <si>
    <r>
      <rPr>
        <b/>
        <sz val="13"/>
        <color theme="3" tint="0.59999389629810485"/>
        <rFont val="Bookshelf Symbol 7"/>
        <charset val="2"/>
      </rPr>
      <t>þ</t>
    </r>
    <r>
      <rPr>
        <sz val="13"/>
        <color theme="3" tint="0.59999389629810485"/>
        <rFont val="Arial"/>
        <family val="2"/>
      </rPr>
      <t xml:space="preserve">  </t>
    </r>
    <r>
      <rPr>
        <sz val="13"/>
        <rFont val="Arial"/>
        <family val="2"/>
      </rPr>
      <t>Este estudio es ilustrativo y NO forma parte del contrato del seguro.</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</si>
  <si>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Límites de edad para contratar póliza de Gastos Médicos Individual nueva en Seguros Atlas:
                    Titular, Cónyuge e hijos hasta 59 años con Suma Asegurada máxima de 40,000 UMAM y 30,000 UMAM en Plan Óptimo. 
                    Titular, Cónyuge e hijos de 60 a 64 años con Suma Asegurada máxima de 6,000 UMAM.</t>
    </r>
  </si>
  <si>
    <t>CDMX</t>
  </si>
  <si>
    <t>Zona de Tarifa</t>
  </si>
  <si>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Toda alta de dependientes económicos queda sujeta al proceso de selección</t>
    </r>
    <r>
      <rPr>
        <sz val="13"/>
        <rFont val="Arial"/>
        <family val="2"/>
        <charset val="2"/>
      </rPr>
      <t>.</t>
    </r>
  </si>
  <si>
    <t>Hasta $ 1,100 M.N  para anteojos completos graduados o lentes graduados de contacto ( no estéticos) al año.</t>
  </si>
  <si>
    <t xml:space="preserve">Servicios de asistencia como ambulancia y traslado médico de emergencia para tratamientos inexistentes en la ciudad de residencia, segunda opinión médica mundial, información previa a un viaje, orientación médica telefónica, asistencia psicológica, orientación nutricional, repatriación, entre otras. </t>
  </si>
  <si>
    <t>Cirugías con Robot Da Vinci</t>
  </si>
  <si>
    <t>Cifosis, lordosis y escoliosis</t>
  </si>
  <si>
    <t>Nariz y senos paranasales</t>
  </si>
  <si>
    <t>Tratamiento con células mesenquimales</t>
  </si>
  <si>
    <t>Defectos de refracción</t>
  </si>
  <si>
    <t>Trasplante de órganos</t>
  </si>
  <si>
    <t>Tratamiento por daño psiquiátrico</t>
  </si>
  <si>
    <t>Cirugía Bariátrica</t>
  </si>
  <si>
    <t>Legrado ginecológico</t>
  </si>
  <si>
    <t>SIDA</t>
  </si>
  <si>
    <t>Cirugía de rodilla</t>
  </si>
  <si>
    <t>Litiasis y Litotripsias</t>
  </si>
  <si>
    <r>
      <rPr>
        <b/>
        <sz val="13"/>
        <color theme="3" tint="0.59999389629810485"/>
        <rFont val="Bookshelf Symbol 7"/>
        <charset val="2"/>
      </rPr>
      <t>þ</t>
    </r>
    <r>
      <rPr>
        <b/>
        <sz val="13"/>
        <color theme="3" tint="0.59999389629810485"/>
        <rFont val="Arial"/>
        <family val="2"/>
      </rPr>
      <t xml:space="preserve"> </t>
    </r>
    <r>
      <rPr>
        <b/>
        <sz val="13"/>
        <rFont val="Arial"/>
        <family val="2"/>
      </rPr>
      <t xml:space="preserve"> Preexistencia excluida. No pagaremos siniestros ocurridos antes del inicio de vigencia de la póliza que sea contratada.</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</si>
  <si>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La emisión de la póliza estará sujeta al resultado del proceso de selección y se podrá solicitar documentación adicional que se considere necesario.</t>
    </r>
  </si>
  <si>
    <t>Asistencia 
Funeraria</t>
  </si>
  <si>
    <t xml:space="preserve">Padecimientos congénitos
</t>
  </si>
  <si>
    <t>2,000 Dlls.</t>
  </si>
  <si>
    <t>1,000,000 Dlls.</t>
  </si>
  <si>
    <t>CUA Base</t>
  </si>
  <si>
    <t>Parámetros de cotización</t>
  </si>
  <si>
    <t>Coberturas adicionales con costo</t>
  </si>
  <si>
    <t>Endosos y asistencias sin costo</t>
  </si>
  <si>
    <t>Coberturas, padecimientos y procedimientos amparados sujetos a Condiciones Generales</t>
  </si>
  <si>
    <t>Notas importantes</t>
  </si>
  <si>
    <t>Primas Netas y Totales Anuales</t>
  </si>
  <si>
    <t xml:space="preserve">Las PRIMAS antes indicadas están expresadas en Moneda Nacional. 
Los recargos por pago fraccionado son: semestral 5%, trimestral 7.50% y mensual 9%. En caso de optar por la forma de pago mensual solo será a través de cargo automático a tarjeta de crédito por lo que deberán proporcionar el formato correspondiente para realizar el cargo. </t>
  </si>
  <si>
    <t>Nacional</t>
  </si>
  <si>
    <t>Asegurado mayor con SA &gt;6000</t>
  </si>
  <si>
    <t>MUNDIAL 500, C</t>
  </si>
  <si>
    <t>MUNDIAL 500, B</t>
  </si>
  <si>
    <t>MUNDIAL 500, A</t>
  </si>
  <si>
    <t>MUNDIAL 1,000 C</t>
  </si>
  <si>
    <t>MUNDIAL 1,000 A</t>
  </si>
  <si>
    <t>MUNDIAL 1,000 B</t>
  </si>
  <si>
    <t>MUNDIAL 2,000, C</t>
  </si>
  <si>
    <t>MUNDIAL 2,000, B</t>
  </si>
  <si>
    <t>MUNDIAL 2,000, A</t>
  </si>
  <si>
    <t>Del 100 % de comisión. ¿Qué porcentaje desea ceder?</t>
  </si>
  <si>
    <t>Cotizador vigente del 1 de Julio del 2024 al 31 de diciembre del 2024          V. 1</t>
  </si>
  <si>
    <t>Base</t>
  </si>
  <si>
    <t>Base + 50%</t>
  </si>
  <si>
    <t>Base + 100%</t>
  </si>
  <si>
    <t>Catálogo de Honorarios Médicos</t>
  </si>
  <si>
    <t xml:space="preserve">Foránea </t>
  </si>
  <si>
    <t>Descuento Nacional 2024</t>
  </si>
  <si>
    <t>Descuento Nacional 2023</t>
  </si>
  <si>
    <t xml:space="preserve">Tarifa aplicable MUNDIAL </t>
  </si>
  <si>
    <t>Tarifa aplicable MUNDIAL  ejemplo</t>
  </si>
  <si>
    <t>Primas netas anuales MUNDIAL ejemplo</t>
  </si>
  <si>
    <t xml:space="preserve">Primas netas anuales MUNDIAL </t>
  </si>
  <si>
    <t>Edad máxima</t>
  </si>
  <si>
    <t>Coaseguro y Tope:</t>
  </si>
  <si>
    <t>Zona:</t>
  </si>
  <si>
    <t>Catálogo de Honorarios Médicos:</t>
  </si>
  <si>
    <t>Edad mínima</t>
  </si>
  <si>
    <t>Combo edad</t>
  </si>
  <si>
    <r>
      <t xml:space="preserve">Le recordamos que los Planes Nacionales </t>
    </r>
    <r>
      <rPr>
        <b/>
        <sz val="13"/>
        <rFont val="Arial"/>
        <family val="2"/>
      </rPr>
      <t>NO</t>
    </r>
    <r>
      <rPr>
        <sz val="13"/>
        <rFont val="Arial"/>
        <family val="2"/>
      </rPr>
      <t xml:space="preserve"> cuentan con Cobertura en el Extrajero, si está interesado en contratar un plan con esta cobertura tenemos la opción del </t>
    </r>
    <r>
      <rPr>
        <b/>
        <sz val="14"/>
        <color theme="4"/>
        <rFont val="Arial"/>
        <family val="2"/>
      </rPr>
      <t xml:space="preserve">Plan Mundial: </t>
    </r>
  </si>
  <si>
    <t>Si desea conocer más opciones de cotización del Plan mundial, acérquese con su Asesor Profesional de Seguros.</t>
  </si>
  <si>
    <t>NUEVAS</t>
  </si>
  <si>
    <t>De 0 a 55 años</t>
  </si>
  <si>
    <t>De 56 a 64 años</t>
  </si>
  <si>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Esta cotización no es válida para ejercer el derecho de conversión a individual, pólizas que terminan el periodo de cobertura de Continuación familiar o asegurados que ya cuenten con una póliza de Gastos Médicos en Seguros Atlas. </t>
    </r>
  </si>
  <si>
    <r>
      <rPr>
        <b/>
        <sz val="13"/>
        <color theme="3" tint="0.59999389629810485"/>
        <rFont val="Bookshelf Symbol 7"/>
        <charset val="2"/>
      </rPr>
      <t>þ</t>
    </r>
    <r>
      <rPr>
        <sz val="13"/>
        <color theme="3" tint="0.59999389629810485"/>
        <rFont val="Arial"/>
        <family val="2"/>
      </rPr>
      <t xml:space="preserve"> </t>
    </r>
    <r>
      <rPr>
        <sz val="13"/>
        <rFont val="Arial"/>
        <family val="2"/>
      </rPr>
      <t xml:space="preserve"> Esta cotización no es válida para ejercer el derecho de conversión a individual, pólizas que terminan el periodo de cobertura de Continuación familiar o asegurados que ya cuenten con una póliza de Gastos Médicos en Seguros Atlas.</t>
    </r>
  </si>
  <si>
    <t>Nueva</t>
  </si>
  <si>
    <t>Cotizador de Gastos Médicos Mayores Individual</t>
  </si>
  <si>
    <t>10% con tope de 4,000 Dlls.</t>
  </si>
  <si>
    <t>N</t>
  </si>
  <si>
    <t>Masculino</t>
  </si>
  <si>
    <t>No aparece</t>
  </si>
  <si>
    <t xml:space="preserve">Si aparece </t>
  </si>
  <si>
    <t xml:space="preserve">Mujeres </t>
  </si>
  <si>
    <t>Deducible por familia</t>
  </si>
  <si>
    <t xml:space="preserve">Padecimientos congénitos 
</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</si>
</sst>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_);_(* \(#,##0.00\);_(* &quot;-&quot;_);_(@_)"/>
    <numFmt numFmtId="168" formatCode="#,##0&quot; F&quot;_);[Red]\(#,##0&quot; F&quot;\)"/>
    <numFmt numFmtId="169" formatCode="0.0000"/>
    <numFmt numFmtId="170" formatCode="0.0000000000"/>
    <numFmt numFmtId="171" formatCode="&quot;$&quot;#,##0.00"/>
    <numFmt numFmtId="172" formatCode="[$-80A]d&quot; de &quot;mmmm&quot; de &quot;yyyy;@"/>
    <numFmt numFmtId="173" formatCode="#,##0.0000"/>
    <numFmt numFmtId="174" formatCode="0.000000"/>
    <numFmt numFmtId="175" formatCode="#,##0.000000"/>
    <numFmt numFmtId="176" formatCode="0.0000000"/>
    <numFmt numFmtId="177" formatCode="#,##0.0"/>
    <numFmt numFmtId="178" formatCode="0.00000"/>
    <numFmt numFmtId="179" formatCode="0.000"/>
    <numFmt numFmtId="180" formatCode="_(* #,##0.00000_);_(* \(#,##0.00000\);_(* &quot;-&quot;??_);_(@_)"/>
    <numFmt numFmtId="181" formatCode="_(* #,##0.000_);_(* \(#,##0.000\);_(* &quot;-&quot;??_);_(@_)"/>
  </numFmts>
  <fonts count="100">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b/>
      <sz val="18"/>
      <name val="Calibri"/>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9"/>
      <color theme="3"/>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sz val="12"/>
      <name val="Calibri"/>
      <family val="2"/>
      <scheme val="minor"/>
    </font>
    <font>
      <sz val="11"/>
      <color theme="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2"/>
      <color indexed="9"/>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theme="4" tint="-0.249977111117893"/>
      <name val="Calibri"/>
      <family val="2"/>
      <scheme val="minor"/>
    </font>
    <font>
      <sz val="11"/>
      <color rgb="FF006100"/>
      <name val="Calibri"/>
      <family val="2"/>
      <scheme val="minor"/>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
      <b/>
      <sz val="11"/>
      <color theme="3" tint="0.39997558519241921"/>
      <name val="Arial"/>
      <family val="2"/>
    </font>
    <font>
      <b/>
      <sz val="14"/>
      <color theme="3" tint="0.39997558519241921"/>
      <name val="Arial"/>
      <family val="2"/>
    </font>
    <font>
      <b/>
      <sz val="12"/>
      <color theme="3" tint="0.39997558519241921"/>
      <name val="Arial"/>
      <family val="2"/>
    </font>
    <font>
      <sz val="14"/>
      <color theme="3" tint="0.39997558519241921"/>
      <name val="Arial"/>
      <family val="2"/>
    </font>
    <font>
      <sz val="13"/>
      <name val="Arial"/>
      <family val="2"/>
    </font>
    <font>
      <sz val="13"/>
      <name val="Calibri"/>
      <family val="2"/>
      <scheme val="minor"/>
    </font>
    <font>
      <b/>
      <sz val="13"/>
      <name val="Arial"/>
      <family val="2"/>
    </font>
    <font>
      <b/>
      <sz val="13"/>
      <name val="Arial"/>
      <family val="2"/>
      <charset val="2"/>
    </font>
    <font>
      <b/>
      <sz val="13"/>
      <color theme="3" tint="0.59999389629810485"/>
      <name val="Bookshelf Symbol 7"/>
      <charset val="2"/>
    </font>
    <font>
      <b/>
      <sz val="13"/>
      <color theme="3" tint="0.59999389629810485"/>
      <name val="Arial"/>
      <family val="2"/>
    </font>
    <font>
      <sz val="13"/>
      <name val="Arial"/>
      <family val="2"/>
      <charset val="2"/>
    </font>
    <font>
      <sz val="13"/>
      <color theme="3" tint="0.59999389629810485"/>
      <name val="Arial"/>
      <family val="2"/>
    </font>
    <font>
      <b/>
      <sz val="13"/>
      <color theme="0"/>
      <name val="Arial"/>
      <family val="2"/>
    </font>
    <font>
      <sz val="13"/>
      <color rgb="FFFF0000"/>
      <name val="Arial"/>
      <family val="2"/>
    </font>
    <font>
      <b/>
      <sz val="13"/>
      <color indexed="9"/>
      <name val="Arial"/>
      <family val="2"/>
    </font>
    <font>
      <b/>
      <sz val="13"/>
      <color theme="3" tint="0.39997558519241921"/>
      <name val="Arial"/>
      <family val="2"/>
    </font>
    <font>
      <b/>
      <sz val="20"/>
      <name val="Arial"/>
      <family val="2"/>
    </font>
    <font>
      <sz val="13.5"/>
      <name val="Arial"/>
      <family val="2"/>
    </font>
    <font>
      <b/>
      <sz val="22"/>
      <color theme="3" tint="0.39997558519241921"/>
      <name val="Arial"/>
      <family val="2"/>
    </font>
    <font>
      <b/>
      <sz val="14"/>
      <color theme="4"/>
      <name val="Arial"/>
      <family val="2"/>
    </font>
    <font>
      <b/>
      <sz val="20"/>
      <color theme="0"/>
      <name val="Arial"/>
      <family val="2"/>
    </font>
    <font>
      <sz val="11"/>
      <name val="Calibri"/>
      <family val="2"/>
    </font>
    <font>
      <b/>
      <sz val="11"/>
      <name val="Calibri"/>
      <family val="2"/>
    </font>
    <font>
      <sz val="10"/>
      <name val="Calibri"/>
      <family val="2"/>
    </font>
    <font>
      <b/>
      <sz val="11"/>
      <color rgb="FFFF0000"/>
      <name val="Calibri"/>
      <family val="2"/>
    </font>
    <font>
      <b/>
      <sz val="9"/>
      <name val="Calibri"/>
      <family val="2"/>
    </font>
    <font>
      <b/>
      <sz val="9"/>
      <color theme="3" tint="-0.249977111117893"/>
      <name val="Calibri"/>
      <family val="2"/>
    </font>
    <font>
      <b/>
      <sz val="9"/>
      <color theme="0" tint="-0.14996795556505021"/>
      <name val="Calibri"/>
      <family val="2"/>
    </font>
    <font>
      <b/>
      <sz val="11"/>
      <color indexed="10"/>
      <name val="Calibri"/>
      <family val="2"/>
    </font>
    <font>
      <sz val="9"/>
      <name val="Calibri"/>
      <family val="2"/>
    </font>
    <font>
      <sz val="9"/>
      <color theme="0" tint="-0.14996795556505021"/>
      <name val="Calibri"/>
      <family val="2"/>
    </font>
    <font>
      <u/>
      <sz val="10"/>
      <color theme="10"/>
      <name val="Calibri"/>
      <family val="2"/>
    </font>
    <font>
      <sz val="11"/>
      <color rgb="FF006100"/>
      <name val="Calibri"/>
      <family val="2"/>
    </font>
    <font>
      <b/>
      <sz val="12.5"/>
      <name val="Calibri"/>
      <family val="2"/>
    </font>
    <font>
      <b/>
      <sz val="11"/>
      <color rgb="FFFF0000"/>
      <name val="Calibri"/>
      <family val="2"/>
      <scheme val="minor"/>
    </font>
    <font>
      <sz val="12"/>
      <color rgb="FFFF0000"/>
      <name val="Arial"/>
      <family val="2"/>
    </font>
    <font>
      <sz val="11"/>
      <name val="Aptos"/>
      <family val="2"/>
    </font>
    <font>
      <b/>
      <sz val="14"/>
      <color rgb="FF00B050"/>
      <name val="Calibri"/>
      <family val="2"/>
    </font>
    <font>
      <b/>
      <sz val="14"/>
      <color rgb="FF00B0F0"/>
      <name val="Calibri"/>
      <family val="2"/>
    </font>
  </fonts>
  <fills count="6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C5D9F1"/>
        <bgColor rgb="FF000000"/>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theme="2" tint="-9.9978637043366805E-2"/>
        <bgColor indexed="64"/>
      </patternFill>
    </fill>
    <fill>
      <patternFill patternType="solid">
        <fgColor rgb="FFFC9EFC"/>
        <bgColor indexed="64"/>
      </patternFill>
    </fill>
    <fill>
      <patternFill patternType="solid">
        <fgColor rgb="FFFFCCFF"/>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0" tint="-4.9989318521683403E-2"/>
        <bgColor indexed="64"/>
      </patternFill>
    </fill>
  </fills>
  <borders count="10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theme="0"/>
      </left>
      <right/>
      <top style="medium">
        <color theme="0"/>
      </top>
      <bottom style="medium">
        <color theme="0" tint="-0.499984740745262"/>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theme="0" tint="-0.499984740745262"/>
      </left>
      <right/>
      <top/>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right/>
      <top style="thin">
        <color theme="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hair">
        <color indexed="64"/>
      </right>
      <top style="hair">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right/>
      <top style="thin">
        <color theme="0"/>
      </top>
      <bottom/>
      <diagonal/>
    </border>
    <border>
      <left style="thin">
        <color theme="3" tint="0.39997558519241921"/>
      </left>
      <right style="thin">
        <color theme="3" tint="0.39997558519241921"/>
      </right>
      <top/>
      <bottom style="thin">
        <color theme="3" tint="0.39997558519241921"/>
      </bottom>
      <diagonal/>
    </border>
    <border>
      <left style="thin">
        <color theme="0"/>
      </left>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right/>
      <top/>
      <bottom style="medium">
        <color indexed="64"/>
      </bottom>
      <diagonal/>
    </border>
    <border>
      <left style="thick">
        <color theme="3" tint="0.39994506668294322"/>
      </left>
      <right/>
      <top/>
      <bottom/>
      <diagonal/>
    </border>
    <border>
      <left style="thick">
        <color theme="3" tint="0.39994506668294322"/>
      </left>
      <right/>
      <top style="thick">
        <color theme="3" tint="0.39994506668294322"/>
      </top>
      <bottom/>
      <diagonal/>
    </border>
    <border>
      <left/>
      <right/>
      <top style="thick">
        <color theme="3" tint="0.39994506668294322"/>
      </top>
      <bottom/>
      <diagonal/>
    </border>
    <border>
      <left/>
      <right style="thick">
        <color theme="3" tint="0.39994506668294322"/>
      </right>
      <top style="thick">
        <color theme="3" tint="0.39994506668294322"/>
      </top>
      <bottom/>
      <diagonal/>
    </border>
    <border>
      <left/>
      <right style="thick">
        <color theme="3" tint="0.39994506668294322"/>
      </right>
      <top/>
      <bottom/>
      <diagonal/>
    </border>
    <border>
      <left style="thick">
        <color theme="3" tint="0.39994506668294322"/>
      </left>
      <right/>
      <top/>
      <bottom style="thick">
        <color theme="3" tint="0.39994506668294322"/>
      </bottom>
      <diagonal/>
    </border>
    <border>
      <left/>
      <right/>
      <top/>
      <bottom style="thick">
        <color theme="3" tint="0.39994506668294322"/>
      </bottom>
      <diagonal/>
    </border>
    <border>
      <left/>
      <right style="thick">
        <color theme="3" tint="0.39994506668294322"/>
      </right>
      <top/>
      <bottom style="thick">
        <color theme="3" tint="0.39994506668294322"/>
      </bottom>
      <diagonal/>
    </border>
    <border>
      <left style="thick">
        <color theme="3" tint="0.39994506668294322"/>
      </left>
      <right/>
      <top/>
      <bottom style="thick">
        <color theme="3" tint="0.39991454817346722"/>
      </bottom>
      <diagonal/>
    </border>
    <border>
      <left/>
      <right/>
      <top/>
      <bottom style="thick">
        <color theme="3" tint="0.39991454817346722"/>
      </bottom>
      <diagonal/>
    </border>
    <border>
      <left/>
      <right style="thick">
        <color theme="3" tint="0.39994506668294322"/>
      </right>
      <top/>
      <bottom style="thick">
        <color theme="3" tint="0.3999145481734672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ck">
        <color theme="3" tint="0.39994506668294322"/>
      </left>
      <right style="thin">
        <color theme="0" tint="-0.499984740745262"/>
      </right>
      <top style="thin">
        <color theme="0" tint="-0.499984740745262"/>
      </top>
      <bottom style="thin">
        <color theme="0" tint="-0.499984740745262"/>
      </bottom>
      <diagonal/>
    </border>
    <border>
      <left/>
      <right/>
      <top style="thick">
        <color theme="0"/>
      </top>
      <bottom style="thick">
        <color theme="0"/>
      </bottom>
      <diagonal/>
    </border>
    <border>
      <left/>
      <right/>
      <top style="thick">
        <color theme="0"/>
      </top>
      <bottom/>
      <diagonal/>
    </border>
    <border>
      <left/>
      <right/>
      <top/>
      <bottom style="thick">
        <color theme="0"/>
      </bottom>
      <diagonal/>
    </border>
    <border>
      <left/>
      <right/>
      <top style="thick">
        <color theme="3" tint="0.39991454817346722"/>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indexed="64"/>
      </left>
      <right style="medium">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diagonal/>
    </border>
  </borders>
  <cellStyleXfs count="113">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8" fontId="8" fillId="0" borderId="0"/>
    <xf numFmtId="0" fontId="11" fillId="0" borderId="0"/>
    <xf numFmtId="0" fontId="11" fillId="0" borderId="0"/>
    <xf numFmtId="0" fontId="11" fillId="0" borderId="0"/>
    <xf numFmtId="0" fontId="11" fillId="0" borderId="0"/>
    <xf numFmtId="0" fontId="11" fillId="0" borderId="0"/>
    <xf numFmtId="10" fontId="7" fillId="0" borderId="0" applyFont="0" applyFill="0" applyBorder="0" applyAlignment="0" applyProtection="0"/>
    <xf numFmtId="9" fontId="7" fillId="0" borderId="0" applyFont="0" applyFill="0" applyBorder="0" applyAlignment="0" applyProtection="0"/>
    <xf numFmtId="0" fontId="26" fillId="21" borderId="0" applyNumberFormat="0" applyBorder="0" applyAlignment="0" applyProtection="0"/>
    <xf numFmtId="0" fontId="27" fillId="23"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7" borderId="0" applyNumberFormat="0" applyBorder="0" applyAlignment="0" applyProtection="0"/>
    <xf numFmtId="0" fontId="27" fillId="28" borderId="0" applyNumberFormat="0" applyBorder="0" applyAlignment="0" applyProtection="0"/>
    <xf numFmtId="43" fontId="34" fillId="0" borderId="0" applyFont="0" applyFill="0" applyBorder="0" applyAlignment="0" applyProtection="0"/>
    <xf numFmtId="0" fontId="7" fillId="0" borderId="0"/>
    <xf numFmtId="43" fontId="7" fillId="0" borderId="0" applyFont="0" applyFill="0" applyBorder="0" applyAlignment="0" applyProtection="0"/>
    <xf numFmtId="0" fontId="40" fillId="0" borderId="0"/>
    <xf numFmtId="0" fontId="41" fillId="0" borderId="0" applyNumberFormat="0" applyFill="0" applyBorder="0" applyAlignment="0" applyProtection="0">
      <alignment vertical="top"/>
      <protection locked="0"/>
    </xf>
    <xf numFmtId="0" fontId="43" fillId="0" borderId="0" applyNumberFormat="0" applyFill="0" applyBorder="0" applyAlignment="0" applyProtection="0"/>
    <xf numFmtId="0" fontId="45" fillId="36" borderId="0" applyNumberFormat="0" applyBorder="0" applyAlignment="0" applyProtection="0"/>
    <xf numFmtId="0" fontId="3" fillId="0" borderId="0"/>
    <xf numFmtId="0" fontId="46"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27" fillId="23"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7" borderId="0" applyNumberFormat="0" applyBorder="0" applyAlignment="0" applyProtection="0"/>
    <xf numFmtId="0" fontId="27" fillId="28" borderId="0" applyNumberFormat="0" applyBorder="0" applyAlignment="0" applyProtection="0"/>
    <xf numFmtId="0" fontId="33" fillId="31" borderId="0" applyNumberFormat="0" applyBorder="0" applyAlignment="0" applyProtection="0"/>
    <xf numFmtId="0" fontId="3" fillId="0" borderId="0"/>
    <xf numFmtId="0" fontId="2" fillId="0" borderId="0"/>
    <xf numFmtId="0" fontId="46"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46" fillId="0" borderId="0"/>
    <xf numFmtId="0" fontId="27" fillId="23"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27" fillId="26" borderId="0" applyNumberFormat="0" applyBorder="0" applyAlignment="0" applyProtection="0"/>
    <xf numFmtId="0" fontId="27" fillId="27" borderId="0" applyNumberFormat="0" applyBorder="0" applyAlignment="0" applyProtection="0"/>
    <xf numFmtId="0" fontId="27" fillId="28" borderId="0" applyNumberFormat="0" applyBorder="0" applyAlignment="0" applyProtection="0"/>
    <xf numFmtId="0" fontId="33" fillId="31" borderId="0" applyNumberFormat="0" applyBorder="0" applyAlignment="0" applyProtection="0"/>
    <xf numFmtId="0" fontId="2" fillId="0" borderId="0"/>
    <xf numFmtId="165" fontId="7" fillId="0" borderId="0" applyFont="0" applyFill="0" applyBorder="0" applyAlignment="0" applyProtection="0"/>
    <xf numFmtId="0" fontId="2" fillId="0" borderId="0"/>
    <xf numFmtId="0" fontId="2" fillId="0" borderId="0"/>
    <xf numFmtId="0" fontId="2" fillId="0" borderId="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7" fillId="0" borderId="0"/>
    <xf numFmtId="0" fontId="46" fillId="0" borderId="0"/>
    <xf numFmtId="165" fontId="7" fillId="0" borderId="0" applyFont="0" applyFill="0" applyBorder="0" applyAlignment="0" applyProtection="0"/>
    <xf numFmtId="165" fontId="7" fillId="0" borderId="0" applyFont="0" applyFill="0" applyBorder="0" applyAlignment="0" applyProtection="0"/>
    <xf numFmtId="0" fontId="46" fillId="0" borderId="0"/>
    <xf numFmtId="0" fontId="46" fillId="0" borderId="0"/>
    <xf numFmtId="0" fontId="46" fillId="0" borderId="0"/>
    <xf numFmtId="0" fontId="46" fillId="0" borderId="0"/>
    <xf numFmtId="0" fontId="46" fillId="0" borderId="0"/>
    <xf numFmtId="165" fontId="7" fillId="0" borderId="0" applyFont="0" applyFill="0" applyBorder="0" applyAlignment="0" applyProtection="0"/>
    <xf numFmtId="0" fontId="47" fillId="0" borderId="0" applyNumberFormat="0" applyFill="0" applyBorder="0" applyAlignment="0" applyProtection="0"/>
    <xf numFmtId="0" fontId="48" fillId="0" borderId="70" applyNumberFormat="0" applyFill="0" applyAlignment="0" applyProtection="0"/>
    <xf numFmtId="0" fontId="49" fillId="0" borderId="71" applyNumberFormat="0" applyFill="0" applyAlignment="0" applyProtection="0"/>
    <xf numFmtId="0" fontId="50" fillId="0" borderId="72" applyNumberFormat="0" applyFill="0" applyAlignment="0" applyProtection="0"/>
    <xf numFmtId="0" fontId="50" fillId="0" borderId="0" applyNumberFormat="0" applyFill="0" applyBorder="0" applyAlignment="0" applyProtection="0"/>
    <xf numFmtId="0" fontId="51" fillId="41" borderId="0" applyNumberFormat="0" applyBorder="0" applyAlignment="0" applyProtection="0"/>
    <xf numFmtId="0" fontId="52" fillId="42" borderId="73" applyNumberFormat="0" applyAlignment="0" applyProtection="0"/>
    <xf numFmtId="0" fontId="53" fillId="43" borderId="74" applyNumberFormat="0" applyAlignment="0" applyProtection="0"/>
    <xf numFmtId="0" fontId="54" fillId="43" borderId="73" applyNumberFormat="0" applyAlignment="0" applyProtection="0"/>
    <xf numFmtId="0" fontId="55" fillId="0" borderId="75" applyNumberFormat="0" applyFill="0" applyAlignment="0" applyProtection="0"/>
    <xf numFmtId="0" fontId="56" fillId="44" borderId="76" applyNumberFormat="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59" fillId="0" borderId="78" applyNumberFormat="0" applyFill="0" applyAlignment="0" applyProtection="0"/>
    <xf numFmtId="0" fontId="1" fillId="46" borderId="0" applyNumberFormat="0" applyBorder="0" applyAlignment="0" applyProtection="0"/>
    <xf numFmtId="0" fontId="1" fillId="47" borderId="0" applyNumberFormat="0" applyBorder="0" applyAlignment="0" applyProtection="0"/>
    <xf numFmtId="0" fontId="26" fillId="48"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26" fillId="51"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26"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26"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26" fillId="62" borderId="0" applyNumberFormat="0" applyBorder="0" applyAlignment="0" applyProtection="0"/>
    <xf numFmtId="0" fontId="1" fillId="0" borderId="0"/>
    <xf numFmtId="0" fontId="60" fillId="31" borderId="0" applyNumberFormat="0" applyBorder="0" applyAlignment="0" applyProtection="0"/>
    <xf numFmtId="0" fontId="1" fillId="45" borderId="77" applyNumberFormat="0" applyFont="0" applyAlignment="0" applyProtection="0"/>
    <xf numFmtId="0" fontId="26" fillId="23" borderId="0" applyNumberFormat="0" applyBorder="0" applyAlignment="0" applyProtection="0"/>
    <xf numFmtId="0" fontId="26" fillId="25" borderId="0" applyNumberFormat="0" applyBorder="0" applyAlignment="0" applyProtection="0"/>
    <xf numFmtId="0" fontId="26" fillId="24"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26" fillId="28" borderId="0" applyNumberFormat="0" applyBorder="0" applyAlignment="0" applyProtection="0"/>
  </cellStyleXfs>
  <cellXfs count="692">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Alignment="1">
      <alignment horizontal="centerContinuous"/>
    </xf>
    <xf numFmtId="0" fontId="4" fillId="2" borderId="0" xfId="0" applyFont="1" applyFill="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6" fillId="0" borderId="0" xfId="0" applyFont="1"/>
    <xf numFmtId="0" fontId="12" fillId="0" borderId="0" xfId="0" applyFont="1"/>
    <xf numFmtId="0" fontId="15" fillId="0" borderId="0" xfId="0" applyFont="1"/>
    <xf numFmtId="0" fontId="12" fillId="0" borderId="0" xfId="0" applyFont="1" applyAlignment="1">
      <alignment vertical="center"/>
    </xf>
    <xf numFmtId="0" fontId="12" fillId="0" borderId="36" xfId="0" applyFont="1" applyBorder="1" applyAlignment="1">
      <alignment vertical="center"/>
    </xf>
    <xf numFmtId="166" fontId="12" fillId="0" borderId="0" xfId="5" applyNumberFormat="1" applyFont="1" applyFill="1" applyBorder="1" applyAlignment="1" applyProtection="1">
      <alignment horizontal="center" vertical="center"/>
    </xf>
    <xf numFmtId="14" fontId="13" fillId="0" borderId="53" xfId="0" applyNumberFormat="1" applyFont="1" applyBorder="1" applyAlignment="1" applyProtection="1">
      <alignment horizontal="center" vertical="center"/>
      <protection locked="0" hidden="1"/>
    </xf>
    <xf numFmtId="166" fontId="13" fillId="0" borderId="0" xfId="5" applyNumberFormat="1" applyFont="1" applyFill="1" applyBorder="1" applyAlignment="1" applyProtection="1">
      <alignment horizontal="center" vertical="center"/>
      <protection locked="0" hidden="1"/>
    </xf>
    <xf numFmtId="0" fontId="13" fillId="0" borderId="0" xfId="0" applyFont="1" applyAlignment="1" applyProtection="1">
      <alignment horizontal="center" vertical="center"/>
      <protection locked="0" hidden="1"/>
    </xf>
    <xf numFmtId="0" fontId="13" fillId="0" borderId="0" xfId="0" applyFont="1" applyAlignment="1" applyProtection="1">
      <alignment horizontal="center" vertical="center"/>
      <protection hidden="1"/>
    </xf>
    <xf numFmtId="0" fontId="12" fillId="0" borderId="0" xfId="0" applyFont="1" applyAlignment="1">
      <alignment horizontal="center" vertical="center"/>
    </xf>
    <xf numFmtId="0" fontId="16" fillId="0" borderId="0" xfId="0" applyFont="1" applyProtection="1">
      <protection locked="0"/>
    </xf>
    <xf numFmtId="9" fontId="16" fillId="0" borderId="0" xfId="0" applyNumberFormat="1" applyFont="1" applyProtection="1">
      <protection locked="0"/>
    </xf>
    <xf numFmtId="4" fontId="16" fillId="0" borderId="0" xfId="0" applyNumberFormat="1" applyFont="1"/>
    <xf numFmtId="169" fontId="16" fillId="0" borderId="0" xfId="0" applyNumberFormat="1" applyFont="1"/>
    <xf numFmtId="0" fontId="25" fillId="0" borderId="0" xfId="0" applyFont="1" applyProtection="1">
      <protection locked="0"/>
    </xf>
    <xf numFmtId="165" fontId="25" fillId="10" borderId="21" xfId="5" applyFont="1" applyFill="1" applyBorder="1" applyAlignment="1" applyProtection="1">
      <alignment horizontal="center" vertical="center"/>
      <protection hidden="1"/>
    </xf>
    <xf numFmtId="0" fontId="25" fillId="0" borderId="0" xfId="0" applyFont="1"/>
    <xf numFmtId="0" fontId="26" fillId="25" borderId="3" xfId="18" applyFont="1" applyBorder="1"/>
    <xf numFmtId="0" fontId="26" fillId="24" borderId="3" xfId="17" applyFont="1" applyBorder="1"/>
    <xf numFmtId="0" fontId="26" fillId="26" borderId="3" xfId="19" applyFont="1" applyBorder="1"/>
    <xf numFmtId="165" fontId="26" fillId="28" borderId="3" xfId="21" applyNumberFormat="1" applyFont="1" applyBorder="1" applyProtection="1">
      <protection locked="0"/>
    </xf>
    <xf numFmtId="10" fontId="26" fillId="28" borderId="3" xfId="21" applyNumberFormat="1" applyFont="1" applyBorder="1" applyProtection="1">
      <protection locked="0"/>
    </xf>
    <xf numFmtId="171" fontId="26" fillId="28" borderId="3" xfId="21" applyNumberFormat="1" applyFont="1" applyBorder="1" applyProtection="1">
      <protection locked="0"/>
    </xf>
    <xf numFmtId="0" fontId="16" fillId="29" borderId="3" xfId="0" applyFont="1" applyFill="1" applyBorder="1" applyProtection="1">
      <protection locked="0"/>
    </xf>
    <xf numFmtId="166" fontId="16" fillId="17" borderId="3" xfId="5" applyNumberFormat="1" applyFont="1" applyFill="1" applyBorder="1" applyAlignment="1" applyProtection="1">
      <alignment vertical="center"/>
      <protection locked="0"/>
    </xf>
    <xf numFmtId="165" fontId="16" fillId="17" borderId="3" xfId="5" applyFont="1" applyFill="1" applyBorder="1" applyProtection="1">
      <protection locked="0"/>
    </xf>
    <xf numFmtId="0" fontId="4" fillId="2" borderId="1" xfId="0" applyFont="1" applyFill="1" applyBorder="1" applyAlignment="1">
      <alignment horizontal="left"/>
    </xf>
    <xf numFmtId="0" fontId="4" fillId="2" borderId="58" xfId="0" applyFont="1" applyFill="1" applyBorder="1" applyAlignment="1">
      <alignment horizontal="center"/>
    </xf>
    <xf numFmtId="0" fontId="0" fillId="0" borderId="59" xfId="0" applyBorder="1" applyAlignment="1">
      <alignment horizontal="center"/>
    </xf>
    <xf numFmtId="0" fontId="0" fillId="0" borderId="26" xfId="0" applyBorder="1" applyAlignment="1">
      <alignment horizontal="center"/>
    </xf>
    <xf numFmtId="0" fontId="0" fillId="30" borderId="3" xfId="0" applyFill="1" applyBorder="1" applyAlignment="1">
      <alignment horizontal="center"/>
    </xf>
    <xf numFmtId="0" fontId="0" fillId="30" borderId="3" xfId="0" applyFill="1" applyBorder="1"/>
    <xf numFmtId="0" fontId="32" fillId="0" borderId="0" xfId="0" applyFont="1" applyProtection="1">
      <protection hidden="1"/>
    </xf>
    <xf numFmtId="0" fontId="32" fillId="0" borderId="0" xfId="0" applyFont="1" applyAlignment="1" applyProtection="1">
      <alignment horizontal="justify" vertical="top" wrapText="1"/>
      <protection hidden="1"/>
    </xf>
    <xf numFmtId="166" fontId="4" fillId="2" borderId="14" xfId="5" applyNumberFormat="1" applyFont="1" applyFill="1" applyBorder="1" applyAlignment="1">
      <alignment horizontal="center" vertical="center"/>
    </xf>
    <xf numFmtId="0" fontId="32" fillId="0" borderId="0" xfId="0" applyFont="1" applyAlignment="1" applyProtection="1">
      <alignment horizontal="left"/>
      <protection hidden="1"/>
    </xf>
    <xf numFmtId="0" fontId="28" fillId="2" borderId="9" xfId="0" applyFont="1" applyFill="1" applyBorder="1" applyAlignment="1" applyProtection="1">
      <alignment horizontal="centerContinuous"/>
      <protection locked="0" hidden="1"/>
    </xf>
    <xf numFmtId="0" fontId="28" fillId="2" borderId="10" xfId="0" applyFont="1" applyFill="1" applyBorder="1" applyAlignment="1" applyProtection="1">
      <alignment horizontal="centerContinuous"/>
      <protection locked="0" hidden="1"/>
    </xf>
    <xf numFmtId="0" fontId="28" fillId="2" borderId="18" xfId="0" applyFont="1" applyFill="1" applyBorder="1" applyAlignment="1" applyProtection="1">
      <alignment horizontal="centerContinuous"/>
      <protection locked="0" hidden="1"/>
    </xf>
    <xf numFmtId="0" fontId="25" fillId="0" borderId="0" xfId="0" applyFont="1" applyProtection="1">
      <protection hidden="1"/>
    </xf>
    <xf numFmtId="0" fontId="25" fillId="0" borderId="0" xfId="0" applyFont="1" applyProtection="1">
      <protection locked="0" hidden="1"/>
    </xf>
    <xf numFmtId="1" fontId="25" fillId="14" borderId="16" xfId="0" applyNumberFormat="1" applyFont="1" applyFill="1" applyBorder="1" applyAlignment="1" applyProtection="1">
      <alignment horizontal="center"/>
      <protection locked="0" hidden="1"/>
    </xf>
    <xf numFmtId="173" fontId="25" fillId="14" borderId="16" xfId="0" applyNumberFormat="1" applyFont="1" applyFill="1" applyBorder="1" applyAlignment="1" applyProtection="1">
      <alignment horizontal="centerContinuous"/>
      <protection locked="0" hidden="1"/>
    </xf>
    <xf numFmtId="165" fontId="25" fillId="17" borderId="3" xfId="5" applyFont="1" applyFill="1" applyBorder="1" applyProtection="1">
      <protection locked="0" hidden="1"/>
    </xf>
    <xf numFmtId="173" fontId="25" fillId="17" borderId="16" xfId="0" applyNumberFormat="1" applyFont="1" applyFill="1" applyBorder="1" applyAlignment="1" applyProtection="1">
      <alignment horizontal="centerContinuous"/>
      <protection locked="0" hidden="1"/>
    </xf>
    <xf numFmtId="0" fontId="25" fillId="17" borderId="16" xfId="0" applyFont="1" applyFill="1" applyBorder="1" applyAlignment="1" applyProtection="1">
      <alignment horizontal="centerContinuous"/>
      <protection locked="0" hidden="1"/>
    </xf>
    <xf numFmtId="0" fontId="25" fillId="17" borderId="17" xfId="0" applyFont="1" applyFill="1" applyBorder="1" applyAlignment="1" applyProtection="1">
      <alignment horizontal="centerContinuous"/>
      <protection locked="0" hidden="1"/>
    </xf>
    <xf numFmtId="173" fontId="25" fillId="16" borderId="16" xfId="0" applyNumberFormat="1" applyFont="1" applyFill="1" applyBorder="1" applyAlignment="1" applyProtection="1">
      <alignment horizontal="center"/>
      <protection locked="0" hidden="1"/>
    </xf>
    <xf numFmtId="0" fontId="25" fillId="16" borderId="16" xfId="0" applyFont="1" applyFill="1" applyBorder="1" applyAlignment="1" applyProtection="1">
      <alignment horizontal="centerContinuous"/>
      <protection locked="0" hidden="1"/>
    </xf>
    <xf numFmtId="0" fontId="25" fillId="16" borderId="17" xfId="0" applyFont="1" applyFill="1" applyBorder="1" applyAlignment="1" applyProtection="1">
      <alignment horizontal="centerContinuous"/>
      <protection locked="0" hidden="1"/>
    </xf>
    <xf numFmtId="0" fontId="25" fillId="18" borderId="16" xfId="0" applyFont="1" applyFill="1" applyBorder="1" applyAlignment="1" applyProtection="1">
      <alignment horizontal="centerContinuous"/>
      <protection locked="0" hidden="1"/>
    </xf>
    <xf numFmtId="0" fontId="25" fillId="18" borderId="17" xfId="0" applyFont="1" applyFill="1" applyBorder="1" applyAlignment="1" applyProtection="1">
      <alignment horizontal="centerContinuous"/>
      <protection locked="0" hidden="1"/>
    </xf>
    <xf numFmtId="0" fontId="25" fillId="19" borderId="16" xfId="0" applyFont="1" applyFill="1" applyBorder="1" applyAlignment="1" applyProtection="1">
      <alignment horizontal="centerContinuous"/>
      <protection locked="0" hidden="1"/>
    </xf>
    <xf numFmtId="0" fontId="25" fillId="19" borderId="17" xfId="0" applyFont="1" applyFill="1" applyBorder="1" applyAlignment="1" applyProtection="1">
      <alignment horizontal="centerContinuous"/>
      <protection locked="0" hidden="1"/>
    </xf>
    <xf numFmtId="0" fontId="25" fillId="15" borderId="16" xfId="0" applyFont="1" applyFill="1" applyBorder="1" applyAlignment="1" applyProtection="1">
      <alignment horizontal="centerContinuous"/>
      <protection locked="0" hidden="1"/>
    </xf>
    <xf numFmtId="0" fontId="25" fillId="15" borderId="17" xfId="0" applyFont="1" applyFill="1" applyBorder="1" applyAlignment="1" applyProtection="1">
      <alignment horizontal="centerContinuous"/>
      <protection locked="0" hidden="1"/>
    </xf>
    <xf numFmtId="0" fontId="25" fillId="0" borderId="3" xfId="0" applyFont="1" applyBorder="1" applyAlignment="1" applyProtection="1">
      <alignment horizontal="right"/>
      <protection locked="0" hidden="1"/>
    </xf>
    <xf numFmtId="169" fontId="29" fillId="6" borderId="35" xfId="0" applyNumberFormat="1" applyFont="1" applyFill="1" applyBorder="1" applyAlignment="1" applyProtection="1">
      <alignment horizontal="center"/>
      <protection locked="0" hidden="1"/>
    </xf>
    <xf numFmtId="0" fontId="29" fillId="6" borderId="33" xfId="0" applyFont="1" applyFill="1" applyBorder="1" applyAlignment="1" applyProtection="1">
      <alignment horizontal="centerContinuous"/>
      <protection locked="0" hidden="1"/>
    </xf>
    <xf numFmtId="0" fontId="29" fillId="6" borderId="34" xfId="0" applyFont="1" applyFill="1" applyBorder="1" applyAlignment="1" applyProtection="1">
      <alignment horizontal="centerContinuous"/>
      <protection locked="0" hidden="1"/>
    </xf>
    <xf numFmtId="0" fontId="28" fillId="8" borderId="35" xfId="0" applyFont="1" applyFill="1" applyBorder="1" applyAlignment="1" applyProtection="1">
      <alignment horizontal="centerContinuous"/>
      <protection locked="0" hidden="1"/>
    </xf>
    <xf numFmtId="0" fontId="28" fillId="8" borderId="33" xfId="0" applyFont="1" applyFill="1" applyBorder="1" applyAlignment="1" applyProtection="1">
      <alignment horizontal="centerContinuous"/>
      <protection locked="0" hidden="1"/>
    </xf>
    <xf numFmtId="0" fontId="28" fillId="8" borderId="34" xfId="0" applyFont="1" applyFill="1" applyBorder="1" applyAlignment="1" applyProtection="1">
      <alignment horizontal="centerContinuous"/>
      <protection locked="0" hidden="1"/>
    </xf>
    <xf numFmtId="0" fontId="25" fillId="0" borderId="9" xfId="0" applyFont="1" applyBorder="1" applyAlignment="1" applyProtection="1">
      <alignment horizontal="center"/>
      <protection locked="0" hidden="1"/>
    </xf>
    <xf numFmtId="0" fontId="25" fillId="0" borderId="3" xfId="0" applyFont="1" applyBorder="1" applyAlignment="1" applyProtection="1">
      <alignment horizontal="centerContinuous"/>
      <protection locked="0" hidden="1"/>
    </xf>
    <xf numFmtId="0" fontId="25" fillId="0" borderId="3" xfId="0" applyFont="1" applyBorder="1" applyAlignment="1" applyProtection="1">
      <alignment horizontal="center"/>
      <protection locked="0" hidden="1"/>
    </xf>
    <xf numFmtId="0" fontId="25" fillId="14" borderId="3" xfId="0" applyFont="1" applyFill="1" applyBorder="1" applyAlignment="1" applyProtection="1">
      <alignment horizontal="center"/>
      <protection locked="0" hidden="1"/>
    </xf>
    <xf numFmtId="0" fontId="25" fillId="14" borderId="3" xfId="0" applyFont="1" applyFill="1" applyBorder="1" applyAlignment="1" applyProtection="1">
      <alignment horizontal="centerContinuous"/>
      <protection locked="0" hidden="1"/>
    </xf>
    <xf numFmtId="0" fontId="25" fillId="14" borderId="20" xfId="0" applyFont="1" applyFill="1" applyBorder="1" applyAlignment="1" applyProtection="1">
      <alignment horizontal="center"/>
      <protection locked="0" hidden="1"/>
    </xf>
    <xf numFmtId="0" fontId="25" fillId="17" borderId="3" xfId="0" applyFont="1" applyFill="1" applyBorder="1" applyAlignment="1" applyProtection="1">
      <alignment horizontal="center"/>
      <protection locked="0" hidden="1"/>
    </xf>
    <xf numFmtId="0" fontId="25" fillId="17" borderId="3" xfId="0" applyFont="1" applyFill="1" applyBorder="1" applyAlignment="1" applyProtection="1">
      <alignment horizontal="centerContinuous"/>
      <protection locked="0" hidden="1"/>
    </xf>
    <xf numFmtId="0" fontId="25" fillId="17" borderId="20" xfId="0" applyFont="1" applyFill="1" applyBorder="1" applyAlignment="1" applyProtection="1">
      <alignment horizontal="center"/>
      <protection locked="0" hidden="1"/>
    </xf>
    <xf numFmtId="0" fontId="25" fillId="16" borderId="3" xfId="0" applyFont="1" applyFill="1" applyBorder="1" applyAlignment="1" applyProtection="1">
      <alignment horizontal="center"/>
      <protection locked="0" hidden="1"/>
    </xf>
    <xf numFmtId="0" fontId="25" fillId="16" borderId="3" xfId="0" applyFont="1" applyFill="1" applyBorder="1" applyAlignment="1" applyProtection="1">
      <alignment horizontal="centerContinuous"/>
      <protection locked="0" hidden="1"/>
    </xf>
    <xf numFmtId="0" fontId="25" fillId="16" borderId="20" xfId="0" applyFont="1" applyFill="1" applyBorder="1" applyAlignment="1" applyProtection="1">
      <alignment horizontal="center"/>
      <protection locked="0" hidden="1"/>
    </xf>
    <xf numFmtId="0" fontId="25" fillId="18" borderId="3" xfId="0" applyFont="1" applyFill="1" applyBorder="1" applyAlignment="1" applyProtection="1">
      <alignment horizontal="center"/>
      <protection locked="0" hidden="1"/>
    </xf>
    <xf numFmtId="0" fontId="25" fillId="18" borderId="3" xfId="0" applyFont="1" applyFill="1" applyBorder="1" applyAlignment="1" applyProtection="1">
      <alignment horizontal="centerContinuous"/>
      <protection locked="0" hidden="1"/>
    </xf>
    <xf numFmtId="0" fontId="25" fillId="18" borderId="20" xfId="0" applyFont="1" applyFill="1" applyBorder="1" applyAlignment="1" applyProtection="1">
      <alignment horizontal="center"/>
      <protection locked="0" hidden="1"/>
    </xf>
    <xf numFmtId="0" fontId="25" fillId="19" borderId="3" xfId="0" applyFont="1" applyFill="1" applyBorder="1" applyAlignment="1" applyProtection="1">
      <alignment horizontal="center"/>
      <protection locked="0" hidden="1"/>
    </xf>
    <xf numFmtId="0" fontId="25" fillId="19" borderId="3" xfId="0" applyFont="1" applyFill="1" applyBorder="1" applyAlignment="1" applyProtection="1">
      <alignment horizontal="centerContinuous"/>
      <protection locked="0" hidden="1"/>
    </xf>
    <xf numFmtId="0" fontId="25" fillId="19" borderId="20" xfId="0" applyFont="1" applyFill="1" applyBorder="1" applyAlignment="1" applyProtection="1">
      <alignment horizontal="center"/>
      <protection locked="0" hidden="1"/>
    </xf>
    <xf numFmtId="0" fontId="25" fillId="15" borderId="3" xfId="0" applyFont="1" applyFill="1" applyBorder="1" applyAlignment="1" applyProtection="1">
      <alignment horizontal="center"/>
      <protection locked="0" hidden="1"/>
    </xf>
    <xf numFmtId="0" fontId="25" fillId="15" borderId="3" xfId="0" applyFont="1" applyFill="1" applyBorder="1" applyAlignment="1" applyProtection="1">
      <alignment horizontal="centerContinuous"/>
      <protection locked="0" hidden="1"/>
    </xf>
    <xf numFmtId="0" fontId="25" fillId="15" borderId="20" xfId="0" applyFont="1" applyFill="1" applyBorder="1" applyAlignment="1" applyProtection="1">
      <alignment horizontal="center"/>
      <protection locked="0" hidden="1"/>
    </xf>
    <xf numFmtId="165" fontId="25" fillId="7" borderId="21" xfId="5" applyFont="1" applyFill="1" applyBorder="1" applyProtection="1">
      <protection hidden="1"/>
    </xf>
    <xf numFmtId="165" fontId="25" fillId="10" borderId="21" xfId="5" applyFont="1" applyFill="1" applyBorder="1" applyProtection="1">
      <protection hidden="1"/>
    </xf>
    <xf numFmtId="165" fontId="25" fillId="9" borderId="21" xfId="5" applyFont="1" applyFill="1" applyBorder="1" applyProtection="1">
      <protection hidden="1"/>
    </xf>
    <xf numFmtId="0" fontId="25" fillId="0" borderId="11" xfId="0" applyFont="1" applyBorder="1" applyAlignment="1" applyProtection="1">
      <alignment horizontal="center"/>
      <protection locked="0" hidden="1"/>
    </xf>
    <xf numFmtId="166" fontId="25" fillId="5" borderId="3" xfId="5" applyNumberFormat="1" applyFont="1" applyFill="1" applyBorder="1" applyProtection="1">
      <protection locked="0" hidden="1"/>
    </xf>
    <xf numFmtId="166" fontId="25" fillId="0" borderId="3" xfId="5" applyNumberFormat="1" applyFont="1" applyBorder="1" applyProtection="1">
      <protection locked="0" hidden="1"/>
    </xf>
    <xf numFmtId="165" fontId="25" fillId="14" borderId="3" xfId="5" applyFont="1" applyFill="1" applyBorder="1" applyProtection="1">
      <protection locked="0" hidden="1"/>
    </xf>
    <xf numFmtId="165" fontId="25" fillId="0" borderId="3" xfId="5" applyFont="1" applyFill="1" applyBorder="1" applyProtection="1">
      <protection locked="0" hidden="1"/>
    </xf>
    <xf numFmtId="165" fontId="25" fillId="14" borderId="3" xfId="5" applyFont="1" applyFill="1" applyBorder="1" applyAlignment="1" applyProtection="1">
      <protection locked="0" hidden="1"/>
    </xf>
    <xf numFmtId="165" fontId="25" fillId="14" borderId="20" xfId="5" applyFont="1" applyFill="1" applyBorder="1" applyAlignment="1" applyProtection="1">
      <protection locked="0" hidden="1"/>
    </xf>
    <xf numFmtId="165" fontId="25" fillId="17" borderId="3" xfId="5" applyFont="1" applyFill="1" applyBorder="1" applyAlignment="1" applyProtection="1">
      <protection locked="0" hidden="1"/>
    </xf>
    <xf numFmtId="165" fontId="25" fillId="17" borderId="20" xfId="5" applyFont="1" applyFill="1" applyBorder="1" applyAlignment="1" applyProtection="1">
      <protection locked="0" hidden="1"/>
    </xf>
    <xf numFmtId="165" fontId="25" fillId="16" borderId="3" xfId="5" applyFont="1" applyFill="1" applyBorder="1" applyProtection="1">
      <protection locked="0" hidden="1"/>
    </xf>
    <xf numFmtId="165" fontId="25" fillId="16" borderId="3" xfId="5" applyFont="1" applyFill="1" applyBorder="1" applyAlignment="1" applyProtection="1">
      <protection locked="0" hidden="1"/>
    </xf>
    <xf numFmtId="165" fontId="25" fillId="16" borderId="20" xfId="5" applyFont="1" applyFill="1" applyBorder="1" applyAlignment="1" applyProtection="1">
      <protection locked="0" hidden="1"/>
    </xf>
    <xf numFmtId="165" fontId="25" fillId="18" borderId="3" xfId="5" applyFont="1" applyFill="1" applyBorder="1" applyProtection="1">
      <protection locked="0" hidden="1"/>
    </xf>
    <xf numFmtId="165" fontId="25" fillId="18" borderId="3" xfId="5" applyFont="1" applyFill="1" applyBorder="1" applyAlignment="1" applyProtection="1">
      <protection locked="0" hidden="1"/>
    </xf>
    <xf numFmtId="165" fontId="25" fillId="18" borderId="20" xfId="5" applyFont="1" applyFill="1" applyBorder="1" applyAlignment="1" applyProtection="1">
      <protection locked="0" hidden="1"/>
    </xf>
    <xf numFmtId="165" fontId="25" fillId="19" borderId="3" xfId="5" applyFont="1" applyFill="1" applyBorder="1" applyProtection="1">
      <protection locked="0" hidden="1"/>
    </xf>
    <xf numFmtId="165" fontId="25" fillId="19" borderId="3" xfId="5" applyFont="1" applyFill="1" applyBorder="1" applyAlignment="1" applyProtection="1">
      <protection locked="0" hidden="1"/>
    </xf>
    <xf numFmtId="165" fontId="25" fillId="19" borderId="20" xfId="5" applyFont="1" applyFill="1" applyBorder="1" applyAlignment="1" applyProtection="1">
      <protection locked="0" hidden="1"/>
    </xf>
    <xf numFmtId="165" fontId="25" fillId="15" borderId="3" xfId="5" applyFont="1" applyFill="1" applyBorder="1" applyProtection="1">
      <protection locked="0" hidden="1"/>
    </xf>
    <xf numFmtId="165" fontId="25" fillId="15" borderId="3" xfId="5" applyFont="1" applyFill="1" applyBorder="1" applyAlignment="1" applyProtection="1">
      <protection locked="0" hidden="1"/>
    </xf>
    <xf numFmtId="165" fontId="25" fillId="15" borderId="20" xfId="5" applyFont="1" applyFill="1" applyBorder="1" applyAlignment="1" applyProtection="1">
      <protection locked="0" hidden="1"/>
    </xf>
    <xf numFmtId="0" fontId="25" fillId="4" borderId="3" xfId="0" applyFont="1" applyFill="1" applyBorder="1" applyAlignment="1" applyProtection="1">
      <alignment horizontal="right"/>
      <protection locked="0" hidden="1"/>
    </xf>
    <xf numFmtId="0" fontId="25" fillId="0" borderId="3" xfId="0" applyFont="1" applyBorder="1" applyProtection="1">
      <protection locked="0" hidden="1"/>
    </xf>
    <xf numFmtId="0" fontId="25" fillId="0" borderId="0" xfId="0" applyFont="1" applyAlignment="1" applyProtection="1">
      <alignment horizontal="right"/>
      <protection locked="0" hidden="1"/>
    </xf>
    <xf numFmtId="166" fontId="25" fillId="0" borderId="30" xfId="5" applyNumberFormat="1" applyFont="1" applyFill="1" applyBorder="1" applyAlignment="1" applyProtection="1">
      <protection locked="0" hidden="1"/>
    </xf>
    <xf numFmtId="0" fontId="0" fillId="0" borderId="0" xfId="0" applyProtection="1">
      <protection hidden="1"/>
    </xf>
    <xf numFmtId="0" fontId="25" fillId="0" borderId="54" xfId="0" applyFont="1" applyBorder="1" applyAlignment="1" applyProtection="1">
      <alignment horizontal="center" vertical="center"/>
      <protection hidden="1"/>
    </xf>
    <xf numFmtId="0" fontId="25" fillId="0" borderId="10" xfId="0" applyFont="1" applyBorder="1" applyAlignment="1" applyProtection="1">
      <alignment horizontal="centerContinuous"/>
      <protection hidden="1"/>
    </xf>
    <xf numFmtId="0" fontId="25" fillId="0" borderId="18" xfId="0" applyFont="1" applyBorder="1" applyAlignment="1" applyProtection="1">
      <alignment horizontal="centerContinuous"/>
      <protection hidden="1"/>
    </xf>
    <xf numFmtId="0" fontId="25" fillId="0" borderId="22" xfId="0" applyFont="1" applyBorder="1" applyAlignment="1" applyProtection="1">
      <alignment horizontal="center" vertical="center"/>
      <protection hidden="1"/>
    </xf>
    <xf numFmtId="0" fontId="25" fillId="0" borderId="3" xfId="0" applyFont="1" applyBorder="1" applyAlignment="1" applyProtection="1">
      <alignment horizontal="centerContinuous"/>
      <protection hidden="1"/>
    </xf>
    <xf numFmtId="0" fontId="25" fillId="0" borderId="29" xfId="0" applyFont="1" applyBorder="1" applyAlignment="1" applyProtection="1">
      <alignment horizontal="center"/>
      <protection hidden="1"/>
    </xf>
    <xf numFmtId="0" fontId="25" fillId="0" borderId="22" xfId="0" applyFont="1" applyBorder="1" applyAlignment="1" applyProtection="1">
      <alignment horizontal="center"/>
      <protection hidden="1"/>
    </xf>
    <xf numFmtId="166" fontId="25" fillId="5" borderId="3" xfId="5" applyNumberFormat="1" applyFont="1" applyFill="1" applyBorder="1" applyProtection="1">
      <protection hidden="1"/>
    </xf>
    <xf numFmtId="166" fontId="25" fillId="0" borderId="29" xfId="5" applyNumberFormat="1" applyFont="1" applyBorder="1" applyProtection="1">
      <protection hidden="1"/>
    </xf>
    <xf numFmtId="0" fontId="25" fillId="0" borderId="9" xfId="0" applyFont="1" applyBorder="1" applyAlignment="1" applyProtection="1">
      <alignment horizontal="centerContinuous"/>
      <protection hidden="1"/>
    </xf>
    <xf numFmtId="0" fontId="25" fillId="0" borderId="11" xfId="0" applyFont="1" applyBorder="1" applyAlignment="1" applyProtection="1">
      <alignment horizontal="centerContinuous"/>
      <protection hidden="1"/>
    </xf>
    <xf numFmtId="166" fontId="25" fillId="5" borderId="11" xfId="5" applyNumberFormat="1" applyFont="1" applyFill="1" applyBorder="1" applyProtection="1">
      <protection hidden="1"/>
    </xf>
    <xf numFmtId="0" fontId="25" fillId="0" borderId="11" xfId="0" applyFont="1" applyBorder="1" applyAlignment="1" applyProtection="1">
      <alignment horizontal="center"/>
      <protection hidden="1"/>
    </xf>
    <xf numFmtId="166" fontId="25" fillId="2" borderId="12" xfId="0" applyNumberFormat="1" applyFont="1" applyFill="1" applyBorder="1" applyAlignment="1" applyProtection="1">
      <alignment horizontal="center"/>
      <protection hidden="1"/>
    </xf>
    <xf numFmtId="166" fontId="25" fillId="2" borderId="56" xfId="0" applyNumberFormat="1" applyFont="1" applyFill="1" applyBorder="1" applyAlignment="1" applyProtection="1">
      <alignment horizontal="center"/>
      <protection hidden="1"/>
    </xf>
    <xf numFmtId="4" fontId="25" fillId="0" borderId="0" xfId="5" applyNumberFormat="1" applyFont="1" applyAlignment="1" applyProtection="1">
      <protection locked="0" hidden="1"/>
    </xf>
    <xf numFmtId="0" fontId="25" fillId="0" borderId="0" xfId="0" applyFont="1" applyAlignment="1" applyProtection="1">
      <alignment horizontal="centerContinuous"/>
      <protection locked="0" hidden="1"/>
    </xf>
    <xf numFmtId="0" fontId="30" fillId="11" borderId="45" xfId="0" applyFont="1" applyFill="1" applyBorder="1" applyAlignment="1" applyProtection="1">
      <alignment horizontal="center" vertical="center" wrapText="1"/>
      <protection hidden="1"/>
    </xf>
    <xf numFmtId="0" fontId="30" fillId="11" borderId="45" xfId="0" applyFont="1" applyFill="1" applyBorder="1" applyAlignment="1" applyProtection="1">
      <alignment horizontal="center" vertical="center"/>
      <protection hidden="1"/>
    </xf>
    <xf numFmtId="3" fontId="30" fillId="11" borderId="46" xfId="0" applyNumberFormat="1" applyFont="1" applyFill="1" applyBorder="1" applyAlignment="1" applyProtection="1">
      <alignment horizontal="center" vertical="center"/>
      <protection hidden="1"/>
    </xf>
    <xf numFmtId="3" fontId="30" fillId="11" borderId="46" xfId="0" applyNumberFormat="1" applyFont="1" applyFill="1" applyBorder="1" applyAlignment="1" applyProtection="1">
      <alignment horizontal="center" vertical="center" wrapText="1"/>
      <protection hidden="1"/>
    </xf>
    <xf numFmtId="0" fontId="25" fillId="0" borderId="0" xfId="0" applyFont="1" applyAlignment="1" applyProtection="1">
      <alignment horizontal="center"/>
      <protection locked="0" hidden="1"/>
    </xf>
    <xf numFmtId="0" fontId="31" fillId="12" borderId="51" xfId="0" applyFont="1" applyFill="1" applyBorder="1" applyAlignment="1" applyProtection="1">
      <alignment horizontal="center" vertical="center"/>
      <protection hidden="1"/>
    </xf>
    <xf numFmtId="4" fontId="25" fillId="0" borderId="52" xfId="0" applyNumberFormat="1" applyFont="1" applyBorder="1" applyAlignment="1" applyProtection="1">
      <alignment horizontal="center" vertical="center"/>
      <protection hidden="1"/>
    </xf>
    <xf numFmtId="166" fontId="31" fillId="12" borderId="51" xfId="5" applyNumberFormat="1" applyFont="1" applyFill="1" applyBorder="1" applyAlignment="1" applyProtection="1">
      <alignment horizontal="center" vertical="center"/>
      <protection hidden="1"/>
    </xf>
    <xf numFmtId="173" fontId="25" fillId="0" borderId="52" xfId="0" applyNumberFormat="1" applyFont="1" applyBorder="1" applyAlignment="1" applyProtection="1">
      <alignment horizontal="center" vertical="center"/>
      <protection hidden="1"/>
    </xf>
    <xf numFmtId="3" fontId="28" fillId="0" borderId="52" xfId="0" applyNumberFormat="1" applyFont="1" applyBorder="1" applyAlignment="1" applyProtection="1">
      <alignment horizontal="center" vertical="center"/>
      <protection hidden="1"/>
    </xf>
    <xf numFmtId="0" fontId="31" fillId="12" borderId="47" xfId="0" applyFont="1" applyFill="1" applyBorder="1" applyAlignment="1" applyProtection="1">
      <alignment horizontal="center"/>
      <protection hidden="1"/>
    </xf>
    <xf numFmtId="4" fontId="25" fillId="0" borderId="48" xfId="0" applyNumberFormat="1" applyFont="1" applyBorder="1" applyAlignment="1" applyProtection="1">
      <alignment horizontal="center"/>
      <protection hidden="1"/>
    </xf>
    <xf numFmtId="6" fontId="31" fillId="12" borderId="47" xfId="0" quotePrefix="1" applyNumberFormat="1" applyFont="1" applyFill="1" applyBorder="1" applyAlignment="1" applyProtection="1">
      <alignment horizontal="center"/>
      <protection hidden="1"/>
    </xf>
    <xf numFmtId="173" fontId="25" fillId="0" borderId="48" xfId="0" applyNumberFormat="1" applyFont="1" applyBorder="1" applyAlignment="1" applyProtection="1">
      <alignment horizontal="center"/>
      <protection hidden="1"/>
    </xf>
    <xf numFmtId="0" fontId="31" fillId="12" borderId="47" xfId="0" applyFont="1" applyFill="1" applyBorder="1" applyAlignment="1" applyProtection="1">
      <alignment horizontal="center" vertical="center"/>
      <protection hidden="1"/>
    </xf>
    <xf numFmtId="166" fontId="31" fillId="12" borderId="47" xfId="5" applyNumberFormat="1" applyFont="1" applyFill="1" applyBorder="1" applyAlignment="1" applyProtection="1">
      <alignment horizontal="center" vertical="center"/>
      <protection hidden="1"/>
    </xf>
    <xf numFmtId="170" fontId="25" fillId="0" borderId="0" xfId="0" applyNumberFormat="1" applyFont="1" applyProtection="1">
      <protection locked="0" hidden="1"/>
    </xf>
    <xf numFmtId="167" fontId="25" fillId="0" borderId="0" xfId="6" applyNumberFormat="1" applyFont="1" applyProtection="1">
      <protection locked="0" hidden="1"/>
    </xf>
    <xf numFmtId="165" fontId="25" fillId="0" borderId="0" xfId="5" applyFont="1" applyFill="1" applyBorder="1" applyProtection="1">
      <protection locked="0" hidden="1"/>
    </xf>
    <xf numFmtId="165" fontId="25" fillId="0" borderId="0" xfId="0" applyNumberFormat="1" applyFont="1" applyProtection="1">
      <protection locked="0" hidden="1"/>
    </xf>
    <xf numFmtId="166" fontId="25" fillId="0" borderId="0" xfId="5" applyNumberFormat="1" applyFont="1" applyProtection="1">
      <protection locked="0" hidden="1"/>
    </xf>
    <xf numFmtId="173" fontId="25" fillId="0" borderId="50" xfId="0" applyNumberFormat="1" applyFont="1" applyBorder="1" applyAlignment="1" applyProtection="1">
      <alignment horizontal="center"/>
      <protection hidden="1"/>
    </xf>
    <xf numFmtId="4" fontId="25" fillId="0" borderId="49" xfId="0" applyNumberFormat="1" applyFont="1" applyBorder="1" applyAlignment="1" applyProtection="1">
      <alignment horizontal="center"/>
      <protection hidden="1"/>
    </xf>
    <xf numFmtId="0" fontId="25" fillId="0" borderId="12" xfId="0" applyFont="1" applyBorder="1" applyAlignment="1" applyProtection="1">
      <alignment horizontal="center"/>
      <protection hidden="1"/>
    </xf>
    <xf numFmtId="166" fontId="25" fillId="0" borderId="14" xfId="5" applyNumberFormat="1" applyFont="1" applyBorder="1" applyProtection="1">
      <protection hidden="1"/>
    </xf>
    <xf numFmtId="0" fontId="25" fillId="2" borderId="55" xfId="0" applyFont="1" applyFill="1" applyBorder="1" applyAlignment="1" applyProtection="1">
      <alignment horizontal="center"/>
      <protection hidden="1"/>
    </xf>
    <xf numFmtId="4" fontId="25" fillId="0" borderId="50" xfId="0" applyNumberFormat="1" applyFont="1" applyBorder="1" applyAlignment="1" applyProtection="1">
      <alignment horizontal="center"/>
      <protection hidden="1"/>
    </xf>
    <xf numFmtId="0" fontId="15" fillId="0" borderId="0" xfId="0" applyFont="1" applyProtection="1">
      <protection hidden="1"/>
    </xf>
    <xf numFmtId="14" fontId="12" fillId="0" borderId="30" xfId="0" applyNumberFormat="1" applyFont="1" applyBorder="1" applyAlignment="1" applyProtection="1">
      <alignment horizontal="center" vertical="center"/>
      <protection hidden="1"/>
    </xf>
    <xf numFmtId="0" fontId="12" fillId="0" borderId="0" xfId="0" applyFont="1" applyAlignment="1" applyProtection="1">
      <alignment vertical="center"/>
      <protection hidden="1"/>
    </xf>
    <xf numFmtId="14" fontId="12" fillId="0" borderId="0" xfId="0" applyNumberFormat="1" applyFont="1" applyAlignment="1" applyProtection="1">
      <alignment horizontal="center" vertical="center"/>
      <protection hidden="1"/>
    </xf>
    <xf numFmtId="166" fontId="12" fillId="0" borderId="0" xfId="5" applyNumberFormat="1" applyFont="1" applyFill="1" applyBorder="1" applyAlignment="1" applyProtection="1">
      <alignment horizontal="center" vertical="center"/>
      <protection hidden="1"/>
    </xf>
    <xf numFmtId="166" fontId="20" fillId="0" borderId="0" xfId="5" applyNumberFormat="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14" fontId="21" fillId="0" borderId="37" xfId="0" applyNumberFormat="1" applyFont="1" applyBorder="1" applyAlignment="1" applyProtection="1">
      <alignment horizontal="center" vertical="center"/>
      <protection hidden="1"/>
    </xf>
    <xf numFmtId="0" fontId="12" fillId="0" borderId="36" xfId="0" applyFont="1" applyBorder="1" applyAlignment="1" applyProtection="1">
      <alignment vertical="center"/>
      <protection hidden="1"/>
    </xf>
    <xf numFmtId="14" fontId="21" fillId="0" borderId="38" xfId="0" applyNumberFormat="1" applyFont="1" applyBorder="1" applyAlignment="1" applyProtection="1">
      <alignment horizontal="center" vertical="center"/>
      <protection hidden="1"/>
    </xf>
    <xf numFmtId="14" fontId="22" fillId="0" borderId="39" xfId="0" applyNumberFormat="1" applyFont="1" applyBorder="1" applyAlignment="1" applyProtection="1">
      <alignment horizontal="center" vertical="center"/>
      <protection hidden="1"/>
    </xf>
    <xf numFmtId="0" fontId="19" fillId="0" borderId="0" xfId="0" applyFont="1" applyAlignment="1" applyProtection="1">
      <alignment vertical="center"/>
      <protection hidden="1"/>
    </xf>
    <xf numFmtId="165" fontId="15" fillId="0" borderId="0" xfId="5" applyFont="1" applyProtection="1">
      <protection hidden="1"/>
    </xf>
    <xf numFmtId="4" fontId="15" fillId="0" borderId="0" xfId="0" applyNumberFormat="1" applyFont="1" applyProtection="1">
      <protection hidden="1"/>
    </xf>
    <xf numFmtId="9" fontId="16" fillId="0" borderId="0" xfId="0" applyNumberFormat="1" applyFont="1"/>
    <xf numFmtId="3" fontId="16" fillId="0" borderId="0" xfId="0" applyNumberFormat="1" applyFont="1"/>
    <xf numFmtId="165" fontId="25" fillId="0" borderId="0" xfId="5" applyFont="1" applyFill="1" applyProtection="1">
      <protection locked="0" hidden="1"/>
    </xf>
    <xf numFmtId="43" fontId="25" fillId="0" borderId="0" xfId="0" applyNumberFormat="1" applyFont="1" applyProtection="1">
      <protection locked="0" hidden="1"/>
    </xf>
    <xf numFmtId="4" fontId="25" fillId="0" borderId="0" xfId="0" applyNumberFormat="1" applyFont="1" applyProtection="1">
      <protection locked="0" hidden="1"/>
    </xf>
    <xf numFmtId="165" fontId="0" fillId="0" borderId="0" xfId="5" applyFont="1"/>
    <xf numFmtId="0" fontId="4" fillId="0" borderId="0" xfId="0" applyFont="1" applyProtection="1">
      <protection hidden="1"/>
    </xf>
    <xf numFmtId="0" fontId="7" fillId="0" borderId="0" xfId="0" applyFont="1" applyProtection="1">
      <protection hidden="1"/>
    </xf>
    <xf numFmtId="0" fontId="4" fillId="0" borderId="0" xfId="0" applyFont="1" applyAlignment="1" applyProtection="1">
      <alignment horizontal="center" vertical="top" wrapText="1"/>
      <protection hidden="1"/>
    </xf>
    <xf numFmtId="166" fontId="7" fillId="0" borderId="0" xfId="5" applyNumberFormat="1" applyFont="1" applyFill="1" applyBorder="1" applyProtection="1">
      <protection hidden="1"/>
    </xf>
    <xf numFmtId="0" fontId="4" fillId="0" borderId="0" xfId="0" applyFont="1" applyAlignment="1" applyProtection="1">
      <alignment horizontal="center"/>
      <protection hidden="1"/>
    </xf>
    <xf numFmtId="0" fontId="7" fillId="0" borderId="0" xfId="0" applyFont="1" applyAlignment="1" applyProtection="1">
      <alignment horizontal="justify" vertical="center"/>
      <protection hidden="1"/>
    </xf>
    <xf numFmtId="0" fontId="7" fillId="0" borderId="0" xfId="0" applyFont="1" applyAlignment="1" applyProtection="1">
      <alignment horizontal="center" vertical="top" wrapText="1"/>
      <protection hidden="1"/>
    </xf>
    <xf numFmtId="0" fontId="35" fillId="0" borderId="0" xfId="0" applyFont="1" applyProtection="1">
      <protection hidden="1"/>
    </xf>
    <xf numFmtId="0" fontId="26" fillId="26" borderId="3" xfId="19" applyFont="1" applyBorder="1" applyAlignment="1">
      <alignment horizontal="center"/>
    </xf>
    <xf numFmtId="0" fontId="14" fillId="0" borderId="0" xfId="0" applyFont="1" applyAlignment="1" applyProtection="1">
      <alignment vertical="center"/>
      <protection hidden="1"/>
    </xf>
    <xf numFmtId="0" fontId="13" fillId="0" borderId="36" xfId="0" applyFont="1" applyBorder="1" applyAlignment="1" applyProtection="1">
      <alignment horizontal="center" vertical="center"/>
      <protection hidden="1"/>
    </xf>
    <xf numFmtId="14" fontId="13" fillId="0" borderId="60" xfId="0" applyNumberFormat="1" applyFont="1" applyBorder="1" applyAlignment="1" applyProtection="1">
      <alignment horizontal="center" vertical="center"/>
      <protection hidden="1"/>
    </xf>
    <xf numFmtId="14" fontId="13" fillId="0" borderId="53" xfId="0" applyNumberFormat="1" applyFont="1" applyBorder="1" applyAlignment="1" applyProtection="1">
      <alignment horizontal="center" vertical="center"/>
      <protection hidden="1"/>
    </xf>
    <xf numFmtId="14" fontId="13" fillId="0" borderId="30" xfId="0" applyNumberFormat="1" applyFont="1" applyBorder="1" applyAlignment="1" applyProtection="1">
      <alignment horizontal="center" vertical="center"/>
      <protection hidden="1"/>
    </xf>
    <xf numFmtId="0" fontId="12" fillId="0" borderId="64" xfId="0" applyFont="1" applyBorder="1" applyAlignment="1">
      <alignment vertical="center"/>
    </xf>
    <xf numFmtId="0" fontId="13" fillId="0" borderId="3" xfId="0" applyFont="1" applyBorder="1" applyAlignment="1">
      <alignment vertical="center"/>
    </xf>
    <xf numFmtId="0" fontId="12" fillId="0" borderId="3" xfId="0" applyFont="1" applyBorder="1" applyAlignment="1">
      <alignment vertical="center"/>
    </xf>
    <xf numFmtId="0" fontId="39" fillId="33" borderId="0" xfId="0" applyFont="1" applyFill="1"/>
    <xf numFmtId="0" fontId="26" fillId="33" borderId="0" xfId="0" applyFont="1" applyFill="1"/>
    <xf numFmtId="0" fontId="25" fillId="0" borderId="24" xfId="0" applyFont="1" applyBorder="1" applyProtection="1">
      <protection locked="0" hidden="1"/>
    </xf>
    <xf numFmtId="174" fontId="26" fillId="25" borderId="3" xfId="18" applyNumberFormat="1" applyFont="1" applyBorder="1"/>
    <xf numFmtId="0" fontId="42" fillId="0" borderId="0" xfId="0" applyFont="1" applyProtection="1">
      <protection hidden="1"/>
    </xf>
    <xf numFmtId="0" fontId="43" fillId="0" borderId="0" xfId="27" applyProtection="1">
      <protection hidden="1"/>
    </xf>
    <xf numFmtId="0" fontId="14" fillId="0" borderId="0" xfId="0" applyFont="1"/>
    <xf numFmtId="165" fontId="16" fillId="0" borderId="0" xfId="5" applyFont="1"/>
    <xf numFmtId="165" fontId="16" fillId="0" borderId="0" xfId="0" applyNumberFormat="1" applyFont="1"/>
    <xf numFmtId="14" fontId="16" fillId="0" borderId="0" xfId="0" applyNumberFormat="1" applyFont="1"/>
    <xf numFmtId="3" fontId="26" fillId="25" borderId="3" xfId="18" applyNumberFormat="1" applyFont="1" applyBorder="1"/>
    <xf numFmtId="4" fontId="44" fillId="0" borderId="65" xfId="0" applyNumberFormat="1" applyFont="1" applyBorder="1" applyAlignment="1">
      <alignment horizontal="left"/>
    </xf>
    <xf numFmtId="169" fontId="26" fillId="26" borderId="3" xfId="19" applyNumberFormat="1" applyFont="1" applyBorder="1"/>
    <xf numFmtId="176" fontId="16" fillId="0" borderId="0" xfId="0" applyNumberFormat="1" applyFont="1"/>
    <xf numFmtId="0" fontId="16" fillId="17" borderId="3" xfId="0" applyFont="1" applyFill="1" applyBorder="1" applyAlignment="1" applyProtection="1">
      <alignment horizontal="center" vertical="center"/>
      <protection locked="0"/>
    </xf>
    <xf numFmtId="0" fontId="25" fillId="0" borderId="0" xfId="0" applyFont="1" applyAlignment="1">
      <alignment horizontal="center" vertical="center" wrapText="1"/>
    </xf>
    <xf numFmtId="0" fontId="23" fillId="25" borderId="3" xfId="18" applyFont="1" applyBorder="1" applyAlignment="1">
      <alignment horizontal="center" vertical="center" wrapText="1"/>
    </xf>
    <xf numFmtId="0" fontId="23" fillId="24" borderId="3" xfId="17" applyFont="1" applyBorder="1" applyAlignment="1">
      <alignment horizontal="center" vertical="center" wrapText="1"/>
    </xf>
    <xf numFmtId="0" fontId="23" fillId="21" borderId="3" xfId="15" applyFont="1" applyBorder="1" applyAlignment="1">
      <alignment horizontal="center" vertical="center" wrapText="1"/>
    </xf>
    <xf numFmtId="0" fontId="23" fillId="26" borderId="3" xfId="19" applyFont="1" applyBorder="1" applyAlignment="1">
      <alignment horizontal="center" vertical="center" wrapText="1"/>
    </xf>
    <xf numFmtId="165" fontId="23" fillId="28" borderId="3" xfId="21" applyNumberFormat="1" applyFont="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3" fillId="22" borderId="3" xfId="20" applyFont="1" applyFill="1" applyBorder="1" applyAlignment="1">
      <alignment horizontal="center" vertical="center" wrapText="1"/>
    </xf>
    <xf numFmtId="0" fontId="26" fillId="22" borderId="3" xfId="20" applyFont="1" applyFill="1" applyBorder="1"/>
    <xf numFmtId="0" fontId="16" fillId="34" borderId="3" xfId="0" applyFont="1" applyFill="1" applyBorder="1"/>
    <xf numFmtId="0" fontId="7" fillId="34" borderId="3" xfId="0" applyFont="1" applyFill="1" applyBorder="1"/>
    <xf numFmtId="0" fontId="26" fillId="21" borderId="3" xfId="15" applyBorder="1"/>
    <xf numFmtId="14" fontId="26" fillId="21" borderId="3" xfId="15" applyNumberFormat="1" applyBorder="1"/>
    <xf numFmtId="0" fontId="27" fillId="24" borderId="3" xfId="17" applyBorder="1" applyAlignment="1">
      <alignment horizontal="center" vertical="center" wrapText="1"/>
    </xf>
    <xf numFmtId="0" fontId="27" fillId="24" borderId="3" xfId="17" applyBorder="1"/>
    <xf numFmtId="9" fontId="27" fillId="24" borderId="3" xfId="14" applyFont="1" applyFill="1" applyBorder="1"/>
    <xf numFmtId="0" fontId="25" fillId="0" borderId="19" xfId="0" applyFont="1" applyBorder="1" applyProtection="1">
      <protection locked="0" hidden="1"/>
    </xf>
    <xf numFmtId="0" fontId="25" fillId="0" borderId="3" xfId="0" applyFont="1" applyBorder="1"/>
    <xf numFmtId="0" fontId="28" fillId="0" borderId="23" xfId="0" applyFont="1" applyBorder="1" applyAlignment="1" applyProtection="1">
      <alignment horizontal="centerContinuous"/>
      <protection locked="0" hidden="1"/>
    </xf>
    <xf numFmtId="0" fontId="25" fillId="0" borderId="15" xfId="0" applyFont="1" applyBorder="1" applyProtection="1">
      <protection locked="0" hidden="1"/>
    </xf>
    <xf numFmtId="1" fontId="25" fillId="0" borderId="3" xfId="0" applyNumberFormat="1" applyFont="1" applyBorder="1" applyAlignment="1" applyProtection="1">
      <alignment horizontal="right"/>
      <protection locked="0" hidden="1"/>
    </xf>
    <xf numFmtId="166" fontId="25" fillId="4" borderId="3" xfId="5" applyNumberFormat="1" applyFont="1" applyFill="1" applyBorder="1" applyProtection="1">
      <protection hidden="1"/>
    </xf>
    <xf numFmtId="166" fontId="25" fillId="4" borderId="3" xfId="5" applyNumberFormat="1" applyFont="1" applyFill="1" applyBorder="1" applyAlignment="1" applyProtection="1">
      <alignment horizontal="left"/>
      <protection hidden="1"/>
    </xf>
    <xf numFmtId="9" fontId="25" fillId="4" borderId="3" xfId="14" applyFont="1" applyFill="1" applyBorder="1" applyProtection="1">
      <protection hidden="1"/>
    </xf>
    <xf numFmtId="9" fontId="25" fillId="4" borderId="3" xfId="14" applyFont="1" applyFill="1" applyBorder="1" applyAlignment="1" applyProtection="1">
      <alignment horizontal="right"/>
      <protection hidden="1"/>
    </xf>
    <xf numFmtId="0" fontId="25" fillId="4" borderId="3" xfId="0" applyFont="1" applyFill="1" applyBorder="1" applyAlignment="1" applyProtection="1">
      <alignment horizontal="right"/>
      <protection hidden="1"/>
    </xf>
    <xf numFmtId="0" fontId="25" fillId="0" borderId="3" xfId="0" applyFont="1" applyBorder="1" applyAlignment="1">
      <alignment horizontal="right"/>
    </xf>
    <xf numFmtId="9" fontId="25" fillId="0" borderId="2" xfId="0" applyNumberFormat="1" applyFont="1" applyBorder="1" applyProtection="1">
      <protection locked="0" hidden="1"/>
    </xf>
    <xf numFmtId="10" fontId="25" fillId="4" borderId="3" xfId="14" applyNumberFormat="1" applyFont="1" applyFill="1" applyBorder="1" applyProtection="1">
      <protection locked="0" hidden="1"/>
    </xf>
    <xf numFmtId="173" fontId="25" fillId="4" borderId="3" xfId="0" applyNumberFormat="1" applyFont="1" applyFill="1" applyBorder="1" applyAlignment="1" applyProtection="1">
      <alignment horizontal="right"/>
      <protection hidden="1"/>
    </xf>
    <xf numFmtId="175" fontId="25" fillId="4" borderId="3" xfId="0" applyNumberFormat="1" applyFont="1" applyFill="1" applyBorder="1" applyAlignment="1" applyProtection="1">
      <alignment horizontal="right"/>
      <protection hidden="1"/>
    </xf>
    <xf numFmtId="175" fontId="25" fillId="35" borderId="3" xfId="0" applyNumberFormat="1" applyFont="1" applyFill="1" applyBorder="1" applyAlignment="1" applyProtection="1">
      <alignment horizontal="right"/>
      <protection hidden="1"/>
    </xf>
    <xf numFmtId="169" fontId="28" fillId="32" borderId="35" xfId="0" applyNumberFormat="1" applyFont="1" applyFill="1" applyBorder="1" applyAlignment="1" applyProtection="1">
      <alignment horizontal="center"/>
      <protection locked="0" hidden="1"/>
    </xf>
    <xf numFmtId="0" fontId="4" fillId="0" borderId="0" xfId="0" applyFont="1" applyAlignment="1" applyProtection="1">
      <alignment horizontal="left" vertical="center"/>
      <protection hidden="1"/>
    </xf>
    <xf numFmtId="165" fontId="25" fillId="0" borderId="0" xfId="5" applyFont="1" applyAlignment="1" applyProtection="1">
      <alignment horizontal="centerContinuous"/>
      <protection locked="0" hidden="1"/>
    </xf>
    <xf numFmtId="0" fontId="25" fillId="0" borderId="17" xfId="0" applyFont="1" applyBorder="1" applyAlignment="1" applyProtection="1">
      <alignment horizontal="centerContinuous"/>
      <protection locked="0" hidden="1"/>
    </xf>
    <xf numFmtId="165" fontId="25" fillId="0" borderId="0" xfId="5" applyFont="1" applyAlignment="1" applyProtection="1">
      <alignment horizontal="right"/>
      <protection locked="0" hidden="1"/>
    </xf>
    <xf numFmtId="173" fontId="25" fillId="0" borderId="0" xfId="0" applyNumberFormat="1" applyFont="1" applyProtection="1">
      <protection locked="0" hidden="1"/>
    </xf>
    <xf numFmtId="166" fontId="26" fillId="26" borderId="3" xfId="5" applyNumberFormat="1" applyFont="1" applyFill="1" applyBorder="1"/>
    <xf numFmtId="43" fontId="15" fillId="0" borderId="0" xfId="0" applyNumberFormat="1" applyFont="1" applyProtection="1">
      <protection hidden="1"/>
    </xf>
    <xf numFmtId="165" fontId="15" fillId="0" borderId="0" xfId="0" applyNumberFormat="1" applyFont="1" applyProtection="1">
      <protection hidden="1"/>
    </xf>
    <xf numFmtId="0" fontId="16" fillId="30" borderId="0" xfId="0" applyFont="1" applyFill="1"/>
    <xf numFmtId="165" fontId="16" fillId="30" borderId="0" xfId="5" applyFont="1" applyFill="1"/>
    <xf numFmtId="9" fontId="25" fillId="15" borderId="20" xfId="14" applyFont="1" applyFill="1" applyBorder="1" applyAlignment="1" applyProtection="1">
      <protection locked="0" hidden="1"/>
    </xf>
    <xf numFmtId="9" fontId="15" fillId="0" borderId="0" xfId="0" applyNumberFormat="1" applyFont="1" applyProtection="1">
      <protection hidden="1"/>
    </xf>
    <xf numFmtId="9" fontId="25" fillId="0" borderId="0" xfId="14" applyFont="1" applyProtection="1">
      <protection hidden="1"/>
    </xf>
    <xf numFmtId="9" fontId="25" fillId="0" borderId="0" xfId="0" applyNumberFormat="1" applyFont="1" applyProtection="1">
      <protection hidden="1"/>
    </xf>
    <xf numFmtId="43" fontId="25" fillId="0" borderId="0" xfId="0" applyNumberFormat="1" applyFont="1" applyProtection="1">
      <protection hidden="1"/>
    </xf>
    <xf numFmtId="10" fontId="25" fillId="0" borderId="0" xfId="0" applyNumberFormat="1" applyFont="1" applyProtection="1">
      <protection locked="0" hidden="1"/>
    </xf>
    <xf numFmtId="9" fontId="25" fillId="0" borderId="3" xfId="14" applyFont="1" applyBorder="1" applyAlignment="1" applyProtection="1">
      <alignment horizontal="center"/>
      <protection hidden="1"/>
    </xf>
    <xf numFmtId="165" fontId="25" fillId="0" borderId="0" xfId="5" applyFont="1" applyProtection="1">
      <protection locked="0" hidden="1"/>
    </xf>
    <xf numFmtId="3" fontId="25" fillId="0" borderId="3" xfId="0" applyNumberFormat="1" applyFont="1" applyBorder="1" applyProtection="1">
      <protection locked="0" hidden="1"/>
    </xf>
    <xf numFmtId="0" fontId="26" fillId="37" borderId="3" xfId="0" applyFont="1" applyFill="1" applyBorder="1"/>
    <xf numFmtId="10" fontId="26" fillId="37" borderId="3" xfId="0" applyNumberFormat="1" applyFont="1" applyFill="1" applyBorder="1"/>
    <xf numFmtId="0" fontId="16" fillId="38" borderId="0" xfId="0" applyFont="1" applyFill="1"/>
    <xf numFmtId="9" fontId="16" fillId="0" borderId="0" xfId="14" applyFont="1"/>
    <xf numFmtId="177" fontId="25" fillId="0" borderId="0" xfId="0" applyNumberFormat="1" applyFont="1" applyAlignment="1" applyProtection="1">
      <alignment horizontal="center"/>
      <protection locked="0" hidden="1"/>
    </xf>
    <xf numFmtId="179" fontId="25" fillId="0" borderId="0" xfId="0" applyNumberFormat="1" applyFont="1" applyProtection="1">
      <protection locked="0" hidden="1"/>
    </xf>
    <xf numFmtId="43" fontId="0" fillId="0" borderId="0" xfId="0" applyNumberFormat="1" applyProtection="1">
      <protection hidden="1"/>
    </xf>
    <xf numFmtId="174" fontId="16" fillId="0" borderId="0" xfId="0" applyNumberFormat="1" applyFont="1"/>
    <xf numFmtId="169" fontId="26" fillId="24" borderId="3" xfId="17" applyNumberFormat="1" applyFont="1" applyBorder="1"/>
    <xf numFmtId="0" fontId="25" fillId="39" borderId="3" xfId="0" applyFont="1" applyFill="1" applyBorder="1" applyAlignment="1" applyProtection="1">
      <alignment horizontal="center" vertical="center" wrapText="1"/>
      <protection locked="0"/>
    </xf>
    <xf numFmtId="0" fontId="16" fillId="39" borderId="3" xfId="0" applyFont="1" applyFill="1" applyBorder="1" applyProtection="1">
      <protection locked="0"/>
    </xf>
    <xf numFmtId="0" fontId="14" fillId="39" borderId="3" xfId="0" applyFont="1" applyFill="1" applyBorder="1" applyProtection="1">
      <protection locked="0"/>
    </xf>
    <xf numFmtId="3" fontId="26" fillId="24" borderId="3" xfId="17" applyNumberFormat="1" applyFont="1" applyBorder="1"/>
    <xf numFmtId="174" fontId="26" fillId="24" borderId="3" xfId="17" applyNumberFormat="1" applyFont="1" applyBorder="1"/>
    <xf numFmtId="178" fontId="26" fillId="24" borderId="3" xfId="17" applyNumberFormat="1" applyFont="1" applyBorder="1"/>
    <xf numFmtId="1" fontId="26" fillId="24" borderId="3" xfId="17" applyNumberFormat="1" applyFont="1" applyBorder="1"/>
    <xf numFmtId="166" fontId="27" fillId="24" borderId="3" xfId="5" applyNumberFormat="1" applyFont="1" applyFill="1" applyBorder="1"/>
    <xf numFmtId="0" fontId="25" fillId="40" borderId="3" xfId="0" applyFont="1" applyFill="1" applyBorder="1" applyAlignment="1" applyProtection="1">
      <alignment horizontal="center"/>
      <protection locked="0" hidden="1"/>
    </xf>
    <xf numFmtId="165" fontId="25" fillId="40" borderId="3" xfId="5" applyFont="1" applyFill="1" applyBorder="1" applyProtection="1">
      <protection locked="0"/>
    </xf>
    <xf numFmtId="165" fontId="25" fillId="4" borderId="3" xfId="5" applyFont="1" applyFill="1" applyBorder="1" applyAlignment="1" applyProtection="1">
      <alignment horizontal="left"/>
      <protection hidden="1"/>
    </xf>
    <xf numFmtId="9" fontId="26" fillId="25" borderId="3" xfId="14" applyFont="1" applyFill="1" applyBorder="1"/>
    <xf numFmtId="0" fontId="16" fillId="39" borderId="0" xfId="0" applyFont="1" applyFill="1" applyProtection="1">
      <protection locked="0"/>
    </xf>
    <xf numFmtId="3" fontId="16" fillId="39" borderId="0" xfId="0" applyNumberFormat="1" applyFont="1" applyFill="1" applyProtection="1">
      <protection locked="0"/>
    </xf>
    <xf numFmtId="9" fontId="26" fillId="28" borderId="3" xfId="14" applyFont="1" applyFill="1" applyBorder="1" applyProtection="1">
      <protection locked="0"/>
    </xf>
    <xf numFmtId="0" fontId="25" fillId="0" borderId="15" xfId="0" applyFont="1" applyBorder="1" applyAlignment="1" applyProtection="1">
      <alignment horizontal="center"/>
      <protection locked="0" hidden="1"/>
    </xf>
    <xf numFmtId="0" fontId="25" fillId="0" borderId="22" xfId="0" applyFont="1" applyBorder="1" applyAlignment="1" applyProtection="1">
      <alignment horizontal="center"/>
      <protection locked="0" hidden="1"/>
    </xf>
    <xf numFmtId="9" fontId="25" fillId="15" borderId="17" xfId="14" applyFont="1" applyFill="1" applyBorder="1" applyAlignment="1" applyProtection="1">
      <protection locked="0" hidden="1"/>
    </xf>
    <xf numFmtId="165" fontId="25" fillId="40" borderId="16" xfId="5" applyFont="1" applyFill="1" applyBorder="1" applyProtection="1">
      <protection locked="0"/>
    </xf>
    <xf numFmtId="0" fontId="25" fillId="0" borderId="3" xfId="0" applyFont="1" applyBorder="1" applyProtection="1">
      <protection locked="0"/>
    </xf>
    <xf numFmtId="2" fontId="26" fillId="21" borderId="3" xfId="15" applyNumberFormat="1" applyBorder="1"/>
    <xf numFmtId="0" fontId="30" fillId="63" borderId="45" xfId="0" applyFont="1" applyFill="1" applyBorder="1" applyAlignment="1" applyProtection="1">
      <alignment horizontal="center" vertical="center" wrapText="1"/>
      <protection hidden="1"/>
    </xf>
    <xf numFmtId="0" fontId="30" fillId="63" borderId="45" xfId="0" applyFont="1" applyFill="1" applyBorder="1" applyAlignment="1" applyProtection="1">
      <alignment horizontal="center"/>
      <protection hidden="1"/>
    </xf>
    <xf numFmtId="3" fontId="30" fillId="63" borderId="80" xfId="0" applyNumberFormat="1" applyFont="1" applyFill="1" applyBorder="1" applyAlignment="1" applyProtection="1">
      <alignment horizontal="center" vertical="center" wrapText="1"/>
      <protection hidden="1"/>
    </xf>
    <xf numFmtId="4" fontId="25" fillId="0" borderId="81" xfId="0" applyNumberFormat="1" applyFont="1" applyBorder="1" applyAlignment="1" applyProtection="1">
      <alignment horizontal="center"/>
      <protection hidden="1"/>
    </xf>
    <xf numFmtId="4" fontId="25" fillId="0" borderId="79" xfId="0" applyNumberFormat="1" applyFont="1" applyBorder="1" applyAlignment="1" applyProtection="1">
      <alignment horizontal="center"/>
      <protection hidden="1"/>
    </xf>
    <xf numFmtId="3" fontId="30" fillId="63" borderId="45" xfId="5" applyNumberFormat="1" applyFont="1" applyFill="1" applyBorder="1" applyAlignment="1" applyProtection="1">
      <alignment horizontal="center"/>
      <protection hidden="1"/>
    </xf>
    <xf numFmtId="0" fontId="14" fillId="0" borderId="0" xfId="0" applyFont="1" applyProtection="1">
      <protection hidden="1"/>
    </xf>
    <xf numFmtId="0" fontId="12" fillId="0" borderId="0" xfId="0" applyFont="1" applyProtection="1">
      <protection hidden="1"/>
    </xf>
    <xf numFmtId="2" fontId="12" fillId="0" borderId="0" xfId="0" applyNumberFormat="1" applyFont="1" applyProtection="1">
      <protection hidden="1"/>
    </xf>
    <xf numFmtId="14" fontId="12" fillId="0" borderId="0" xfId="0" applyNumberFormat="1" applyFont="1" applyProtection="1">
      <protection hidden="1"/>
    </xf>
    <xf numFmtId="0" fontId="17" fillId="0" borderId="0" xfId="0" applyFont="1" applyAlignment="1" applyProtection="1">
      <alignment horizontal="center"/>
      <protection hidden="1"/>
    </xf>
    <xf numFmtId="9" fontId="12" fillId="0" borderId="0" xfId="0" applyNumberFormat="1" applyFont="1" applyProtection="1">
      <protection hidden="1"/>
    </xf>
    <xf numFmtId="180" fontId="25" fillId="4" borderId="3" xfId="5" applyNumberFormat="1" applyFont="1" applyFill="1" applyBorder="1" applyAlignment="1" applyProtection="1">
      <alignment horizontal="left"/>
      <protection hidden="1"/>
    </xf>
    <xf numFmtId="0" fontId="25" fillId="0" borderId="83" xfId="0" applyFont="1" applyBorder="1" applyAlignment="1" applyProtection="1">
      <alignment horizontal="center"/>
      <protection locked="0" hidden="1"/>
    </xf>
    <xf numFmtId="9" fontId="25" fillId="15" borderId="84" xfId="14" applyFont="1" applyFill="1" applyBorder="1" applyAlignment="1" applyProtection="1">
      <protection locked="0" hidden="1"/>
    </xf>
    <xf numFmtId="9" fontId="25" fillId="15" borderId="66" xfId="14" applyFont="1" applyFill="1" applyBorder="1" applyAlignment="1" applyProtection="1">
      <protection locked="0" hidden="1"/>
    </xf>
    <xf numFmtId="0" fontId="25" fillId="0" borderId="36" xfId="0" applyFont="1" applyBorder="1" applyProtection="1">
      <protection locked="0" hidden="1"/>
    </xf>
    <xf numFmtId="10" fontId="25" fillId="0" borderId="36" xfId="0" applyNumberFormat="1" applyFont="1" applyBorder="1" applyProtection="1">
      <protection locked="0" hidden="1"/>
    </xf>
    <xf numFmtId="179" fontId="25" fillId="0" borderId="36" xfId="0" applyNumberFormat="1" applyFont="1" applyBorder="1" applyProtection="1">
      <protection locked="0" hidden="1"/>
    </xf>
    <xf numFmtId="0" fontId="25" fillId="0" borderId="12" xfId="0" applyFont="1" applyBorder="1" applyAlignment="1" applyProtection="1">
      <alignment horizontal="center"/>
      <protection locked="0" hidden="1"/>
    </xf>
    <xf numFmtId="9" fontId="25" fillId="15" borderId="85" xfId="14" applyFont="1" applyFill="1" applyBorder="1" applyAlignment="1" applyProtection="1">
      <protection locked="0" hidden="1"/>
    </xf>
    <xf numFmtId="0" fontId="25" fillId="0" borderId="86" xfId="0" applyFont="1" applyBorder="1" applyProtection="1">
      <protection locked="0" hidden="1"/>
    </xf>
    <xf numFmtId="10" fontId="25" fillId="0" borderId="86" xfId="0" applyNumberFormat="1" applyFont="1" applyBorder="1" applyProtection="1">
      <protection locked="0" hidden="1"/>
    </xf>
    <xf numFmtId="179" fontId="25" fillId="0" borderId="86" xfId="0" applyNumberFormat="1" applyFont="1" applyBorder="1" applyProtection="1">
      <protection locked="0" hidden="1"/>
    </xf>
    <xf numFmtId="0" fontId="61" fillId="0" borderId="0" xfId="0" applyFont="1" applyAlignment="1" applyProtection="1">
      <alignment horizontal="left" vertical="center" indent="3"/>
      <protection hidden="1"/>
    </xf>
    <xf numFmtId="181" fontId="25" fillId="4" borderId="3" xfId="5" applyNumberFormat="1" applyFont="1" applyFill="1" applyBorder="1" applyAlignment="1" applyProtection="1">
      <alignment horizontal="left"/>
      <protection hidden="1"/>
    </xf>
    <xf numFmtId="0" fontId="0" fillId="32" borderId="0" xfId="0" applyFill="1"/>
    <xf numFmtId="172" fontId="37" fillId="0" borderId="0" xfId="0" applyNumberFormat="1" applyFont="1" applyAlignment="1" applyProtection="1">
      <alignment vertical="center"/>
      <protection hidden="1"/>
    </xf>
    <xf numFmtId="0" fontId="37" fillId="0" borderId="0" xfId="0" applyFont="1" applyAlignment="1" applyProtection="1">
      <alignment vertical="center"/>
      <protection hidden="1"/>
    </xf>
    <xf numFmtId="0" fontId="61" fillId="0" borderId="0" xfId="0" applyFont="1" applyAlignment="1" applyProtection="1">
      <alignment horizontal="left" vertical="center" wrapText="1" indent="3"/>
      <protection hidden="1"/>
    </xf>
    <xf numFmtId="0" fontId="37" fillId="0" borderId="0" xfId="0" applyFont="1" applyAlignment="1" applyProtection="1">
      <alignment horizontal="left" vertical="center"/>
      <protection hidden="1"/>
    </xf>
    <xf numFmtId="0" fontId="61" fillId="0" borderId="0" xfId="0" applyFont="1" applyAlignment="1" applyProtection="1">
      <alignment vertical="center" wrapText="1"/>
      <protection hidden="1"/>
    </xf>
    <xf numFmtId="0" fontId="37" fillId="0" borderId="0" xfId="0" applyFont="1" applyAlignment="1" applyProtection="1">
      <alignment vertical="center" wrapText="1"/>
      <protection hidden="1"/>
    </xf>
    <xf numFmtId="0" fontId="7" fillId="0" borderId="0" xfId="0" applyFont="1" applyAlignment="1" applyProtection="1">
      <alignment vertical="center"/>
      <protection hidden="1"/>
    </xf>
    <xf numFmtId="0" fontId="62" fillId="0" borderId="0" xfId="0" applyFont="1" applyAlignment="1" applyProtection="1">
      <alignment vertical="center"/>
      <protection hidden="1"/>
    </xf>
    <xf numFmtId="0" fontId="62" fillId="0" borderId="0" xfId="0" applyFont="1" applyAlignment="1" applyProtection="1">
      <alignment vertical="top"/>
      <protection hidden="1"/>
    </xf>
    <xf numFmtId="0" fontId="35" fillId="0" borderId="0" xfId="0" applyFont="1" applyAlignment="1" applyProtection="1">
      <alignment vertical="top" wrapText="1"/>
      <protection hidden="1"/>
    </xf>
    <xf numFmtId="0" fontId="65" fillId="0" borderId="0" xfId="0" applyFont="1" applyAlignment="1" applyProtection="1">
      <alignment horizontal="left" vertical="center"/>
      <protection hidden="1"/>
    </xf>
    <xf numFmtId="165" fontId="65" fillId="0" borderId="0" xfId="5" applyFont="1" applyFill="1" applyBorder="1" applyAlignment="1" applyProtection="1">
      <alignment vertical="center"/>
      <protection hidden="1"/>
    </xf>
    <xf numFmtId="165" fontId="65" fillId="0" borderId="0" xfId="5" applyFont="1" applyFill="1" applyBorder="1" applyAlignment="1" applyProtection="1">
      <alignment horizontal="center"/>
      <protection hidden="1"/>
    </xf>
    <xf numFmtId="0" fontId="77" fillId="0" borderId="0" xfId="0" applyFont="1" applyAlignment="1" applyProtection="1">
      <alignment horizontal="left" vertical="center"/>
      <protection hidden="1"/>
    </xf>
    <xf numFmtId="0" fontId="64" fillId="0" borderId="0" xfId="0" applyFont="1" applyAlignment="1" applyProtection="1">
      <alignment horizontal="left" vertical="center" wrapText="1" indent="1"/>
      <protection hidden="1"/>
    </xf>
    <xf numFmtId="0" fontId="64" fillId="0" borderId="0" xfId="0" applyFont="1" applyAlignment="1" applyProtection="1">
      <alignment horizontal="left" vertical="center" wrapText="1" indent="3"/>
      <protection hidden="1"/>
    </xf>
    <xf numFmtId="0" fontId="65" fillId="0" borderId="0" xfId="0" applyFont="1" applyAlignment="1" applyProtection="1">
      <alignment horizontal="center" vertical="center" wrapText="1"/>
      <protection hidden="1"/>
    </xf>
    <xf numFmtId="0" fontId="64" fillId="0" borderId="0" xfId="0" applyFont="1" applyAlignment="1" applyProtection="1">
      <alignment horizontal="left" vertical="center" wrapText="1" indent="2"/>
      <protection hidden="1"/>
    </xf>
    <xf numFmtId="0" fontId="35" fillId="0" borderId="0" xfId="0" applyFont="1" applyAlignment="1" applyProtection="1">
      <alignment horizontal="justify" vertical="center"/>
      <protection hidden="1"/>
    </xf>
    <xf numFmtId="0" fontId="62" fillId="0" borderId="0" xfId="0" applyFont="1" applyAlignment="1" applyProtection="1">
      <alignment horizontal="center" vertical="center"/>
      <protection hidden="1"/>
    </xf>
    <xf numFmtId="0" fontId="65" fillId="0" borderId="0" xfId="0" applyFont="1" applyAlignment="1" applyProtection="1">
      <alignment vertical="center"/>
      <protection hidden="1"/>
    </xf>
    <xf numFmtId="0" fontId="65" fillId="0" borderId="0" xfId="0" applyFont="1" applyProtection="1">
      <protection hidden="1"/>
    </xf>
    <xf numFmtId="0" fontId="67" fillId="0" borderId="0" xfId="0" applyFont="1" applyAlignment="1" applyProtection="1">
      <alignment horizontal="left"/>
      <protection hidden="1"/>
    </xf>
    <xf numFmtId="0" fontId="65" fillId="0" borderId="0" xfId="0" applyFont="1" applyAlignment="1" applyProtection="1">
      <alignment horizontal="center"/>
      <protection hidden="1"/>
    </xf>
    <xf numFmtId="0" fontId="66" fillId="0" borderId="0" xfId="0" applyFont="1" applyProtection="1">
      <protection hidden="1"/>
    </xf>
    <xf numFmtId="0" fontId="67" fillId="0" borderId="0" xfId="0" applyFont="1" applyProtection="1">
      <protection hidden="1"/>
    </xf>
    <xf numFmtId="0" fontId="75" fillId="0" borderId="0" xfId="0" applyFont="1" applyProtection="1">
      <protection hidden="1"/>
    </xf>
    <xf numFmtId="0" fontId="67" fillId="0" borderId="0" xfId="0" applyFont="1" applyAlignment="1" applyProtection="1">
      <alignment horizontal="right"/>
      <protection hidden="1"/>
    </xf>
    <xf numFmtId="0" fontId="6" fillId="0" borderId="87" xfId="0" applyFont="1" applyBorder="1" applyAlignment="1" applyProtection="1">
      <alignment horizontal="right"/>
      <protection hidden="1"/>
    </xf>
    <xf numFmtId="0" fontId="28" fillId="0" borderId="87" xfId="0" applyFont="1" applyBorder="1" applyProtection="1">
      <protection hidden="1"/>
    </xf>
    <xf numFmtId="0" fontId="6" fillId="0" borderId="87" xfId="0" applyFont="1" applyBorder="1" applyProtection="1">
      <protection hidden="1"/>
    </xf>
    <xf numFmtId="0" fontId="6" fillId="0" borderId="88" xfId="0" applyFont="1" applyBorder="1" applyProtection="1">
      <protection hidden="1"/>
    </xf>
    <xf numFmtId="0" fontId="63" fillId="0" borderId="89" xfId="0" applyFont="1" applyBorder="1" applyAlignment="1" applyProtection="1">
      <alignment horizontal="center" vertical="center"/>
      <protection hidden="1"/>
    </xf>
    <xf numFmtId="0" fontId="15" fillId="0" borderId="89" xfId="0" applyFont="1" applyBorder="1" applyProtection="1">
      <protection hidden="1"/>
    </xf>
    <xf numFmtId="0" fontId="36" fillId="0" borderId="89" xfId="0" applyFont="1" applyBorder="1" applyProtection="1">
      <protection hidden="1"/>
    </xf>
    <xf numFmtId="0" fontId="15" fillId="0" borderId="90" xfId="0" applyFont="1" applyBorder="1" applyProtection="1">
      <protection hidden="1"/>
    </xf>
    <xf numFmtId="0" fontId="73" fillId="0" borderId="87" xfId="0" applyFont="1" applyBorder="1" applyAlignment="1" applyProtection="1">
      <alignment horizontal="right"/>
      <protection hidden="1"/>
    </xf>
    <xf numFmtId="165" fontId="65" fillId="0" borderId="91" xfId="5" applyFont="1" applyFill="1" applyBorder="1" applyAlignment="1" applyProtection="1">
      <alignment vertical="center"/>
      <protection hidden="1"/>
    </xf>
    <xf numFmtId="165" fontId="74" fillId="0" borderId="91" xfId="5" applyFont="1" applyFill="1" applyBorder="1" applyAlignment="1" applyProtection="1">
      <alignment horizontal="center" vertical="center" wrapText="1"/>
      <protection hidden="1"/>
    </xf>
    <xf numFmtId="4" fontId="67" fillId="0" borderId="91" xfId="0" applyNumberFormat="1" applyFont="1" applyBorder="1" applyAlignment="1" applyProtection="1">
      <alignment vertical="center"/>
      <protection hidden="1"/>
    </xf>
    <xf numFmtId="4" fontId="65" fillId="0" borderId="91" xfId="0" applyNumberFormat="1" applyFont="1" applyBorder="1" applyAlignment="1" applyProtection="1">
      <alignment vertical="center"/>
      <protection hidden="1"/>
    </xf>
    <xf numFmtId="0" fontId="38" fillId="0" borderId="87" xfId="0" applyFont="1" applyBorder="1" applyAlignment="1" applyProtection="1">
      <alignment horizontal="right"/>
      <protection hidden="1"/>
    </xf>
    <xf numFmtId="0" fontId="65" fillId="0" borderId="91" xfId="0" applyFont="1" applyBorder="1" applyProtection="1">
      <protection hidden="1"/>
    </xf>
    <xf numFmtId="165" fontId="65" fillId="0" borderId="91" xfId="5" applyFont="1" applyFill="1" applyBorder="1" applyAlignment="1" applyProtection="1">
      <alignment horizontal="center"/>
      <protection hidden="1"/>
    </xf>
    <xf numFmtId="0" fontId="67" fillId="0" borderId="91" xfId="0" applyFont="1" applyBorder="1" applyAlignment="1" applyProtection="1">
      <alignment horizontal="left"/>
      <protection hidden="1"/>
    </xf>
    <xf numFmtId="0" fontId="65" fillId="0" borderId="91" xfId="0" applyFont="1" applyBorder="1" applyAlignment="1" applyProtection="1">
      <alignment horizontal="center" vertical="center" wrapText="1"/>
      <protection hidden="1"/>
    </xf>
    <xf numFmtId="0" fontId="36" fillId="0" borderId="94" xfId="0" applyFont="1" applyBorder="1" applyAlignment="1" applyProtection="1">
      <alignment horizontal="center" vertical="top" wrapText="1"/>
      <protection hidden="1"/>
    </xf>
    <xf numFmtId="0" fontId="65" fillId="0" borderId="89" xfId="0" quotePrefix="1" applyFont="1" applyBorder="1" applyAlignment="1" applyProtection="1">
      <alignment horizontal="left" vertical="center"/>
      <protection hidden="1"/>
    </xf>
    <xf numFmtId="0" fontId="65" fillId="0" borderId="89" xfId="0" quotePrefix="1" applyFont="1" applyBorder="1" applyAlignment="1" applyProtection="1">
      <alignment vertical="top"/>
      <protection hidden="1"/>
    </xf>
    <xf numFmtId="172" fontId="65" fillId="0" borderId="89" xfId="0" applyNumberFormat="1" applyFont="1" applyBorder="1" applyAlignment="1" applyProtection="1">
      <alignment vertical="center"/>
      <protection hidden="1"/>
    </xf>
    <xf numFmtId="0" fontId="64" fillId="0" borderId="89" xfId="0" applyFont="1" applyBorder="1" applyAlignment="1" applyProtection="1">
      <alignment horizontal="right" vertical="center"/>
      <protection hidden="1"/>
    </xf>
    <xf numFmtId="172" fontId="65" fillId="0" borderId="89" xfId="0" applyNumberFormat="1" applyFont="1" applyBorder="1" applyAlignment="1" applyProtection="1">
      <alignment horizontal="center" vertical="center"/>
      <protection hidden="1"/>
    </xf>
    <xf numFmtId="172" fontId="65" fillId="0" borderId="90" xfId="0" applyNumberFormat="1" applyFont="1" applyBorder="1" applyAlignment="1" applyProtection="1">
      <alignment horizontal="center" vertical="center"/>
      <protection hidden="1"/>
    </xf>
    <xf numFmtId="0" fontId="37" fillId="0" borderId="93" xfId="0" applyFont="1" applyBorder="1" applyAlignment="1" applyProtection="1">
      <alignment vertical="center"/>
      <protection hidden="1"/>
    </xf>
    <xf numFmtId="0" fontId="37" fillId="0" borderId="94" xfId="0" applyFont="1" applyBorder="1" applyAlignment="1" applyProtection="1">
      <alignment vertical="center"/>
      <protection hidden="1"/>
    </xf>
    <xf numFmtId="0" fontId="65" fillId="0" borderId="89" xfId="0" applyFont="1" applyBorder="1" applyAlignment="1" applyProtection="1">
      <alignment horizontal="left" vertical="center" indent="1"/>
      <protection hidden="1"/>
    </xf>
    <xf numFmtId="0" fontId="66" fillId="0" borderId="89" xfId="0" applyFont="1" applyBorder="1" applyProtection="1">
      <protection hidden="1"/>
    </xf>
    <xf numFmtId="0" fontId="67" fillId="0" borderId="89" xfId="0" applyFont="1" applyBorder="1" applyAlignment="1" applyProtection="1">
      <alignment vertical="center"/>
      <protection hidden="1"/>
    </xf>
    <xf numFmtId="0" fontId="64" fillId="0" borderId="89" xfId="0" applyFont="1" applyBorder="1" applyAlignment="1" applyProtection="1">
      <alignment horizontal="left" vertical="center" indent="4"/>
      <protection hidden="1"/>
    </xf>
    <xf numFmtId="0" fontId="65" fillId="0" borderId="89" xfId="0" applyFont="1" applyBorder="1" applyAlignment="1" applyProtection="1">
      <alignment vertical="center"/>
      <protection hidden="1"/>
    </xf>
    <xf numFmtId="0" fontId="65" fillId="0" borderId="90" xfId="0" applyFont="1" applyBorder="1" applyAlignment="1" applyProtection="1">
      <alignment vertical="center"/>
      <protection hidden="1"/>
    </xf>
    <xf numFmtId="0" fontId="65" fillId="0" borderId="93" xfId="0" applyFont="1" applyBorder="1" applyAlignment="1" applyProtection="1">
      <alignment horizontal="left" vertical="center" indent="1"/>
      <protection hidden="1"/>
    </xf>
    <xf numFmtId="0" fontId="66" fillId="0" borderId="93" xfId="0" applyFont="1" applyBorder="1" applyProtection="1">
      <protection hidden="1"/>
    </xf>
    <xf numFmtId="0" fontId="67" fillId="0" borderId="93" xfId="0" applyFont="1" applyBorder="1" applyAlignment="1" applyProtection="1">
      <alignment vertical="center"/>
      <protection hidden="1"/>
    </xf>
    <xf numFmtId="0" fontId="64" fillId="0" borderId="93" xfId="0" applyFont="1" applyBorder="1" applyAlignment="1" applyProtection="1">
      <alignment horizontal="left" vertical="center" indent="4"/>
      <protection hidden="1"/>
    </xf>
    <xf numFmtId="0" fontId="65" fillId="0" borderId="94" xfId="0" applyFont="1" applyBorder="1" applyAlignment="1" applyProtection="1">
      <alignment horizontal="left" vertical="center"/>
      <protection hidden="1"/>
    </xf>
    <xf numFmtId="0" fontId="64" fillId="0" borderId="90" xfId="0" applyFont="1" applyBorder="1" applyAlignment="1" applyProtection="1">
      <alignment horizontal="left" vertical="center" wrapText="1" indent="1"/>
      <protection hidden="1"/>
    </xf>
    <xf numFmtId="0" fontId="64" fillId="0" borderId="91" xfId="0" applyFont="1" applyBorder="1" applyAlignment="1" applyProtection="1">
      <alignment horizontal="left" vertical="center" wrapText="1" indent="1"/>
      <protection hidden="1"/>
    </xf>
    <xf numFmtId="0" fontId="64" fillId="0" borderId="94" xfId="0" applyFont="1" applyBorder="1" applyAlignment="1" applyProtection="1">
      <alignment horizontal="left" vertical="center" wrapText="1" indent="1"/>
      <protection hidden="1"/>
    </xf>
    <xf numFmtId="0" fontId="65" fillId="0" borderId="91" xfId="0" applyFont="1" applyBorder="1" applyAlignment="1" applyProtection="1">
      <alignment horizontal="left" vertical="center" wrapText="1" indent="2"/>
      <protection hidden="1"/>
    </xf>
    <xf numFmtId="0" fontId="65" fillId="0" borderId="94" xfId="0" applyFont="1" applyBorder="1" applyAlignment="1" applyProtection="1">
      <alignment horizontal="left" vertical="top" wrapText="1" indent="2"/>
      <protection hidden="1"/>
    </xf>
    <xf numFmtId="0" fontId="65" fillId="0" borderId="91" xfId="0" applyFont="1" applyBorder="1" applyAlignment="1" applyProtection="1">
      <alignment horizontal="left" vertical="center"/>
      <protection hidden="1"/>
    </xf>
    <xf numFmtId="4" fontId="67" fillId="0" borderId="98" xfId="0" applyNumberFormat="1" applyFont="1" applyBorder="1" applyAlignment="1" applyProtection="1">
      <alignment vertical="center"/>
      <protection hidden="1"/>
    </xf>
    <xf numFmtId="4" fontId="65" fillId="0" borderId="98" xfId="0" applyNumberFormat="1" applyFont="1" applyBorder="1" applyAlignment="1" applyProtection="1">
      <alignment vertical="center"/>
      <protection hidden="1"/>
    </xf>
    <xf numFmtId="0" fontId="63" fillId="0" borderId="99" xfId="0" applyFont="1" applyBorder="1" applyAlignment="1" applyProtection="1">
      <alignment horizontal="center" vertical="center"/>
      <protection hidden="1"/>
    </xf>
    <xf numFmtId="0" fontId="18" fillId="0" borderId="0" xfId="0" applyFont="1" applyAlignment="1">
      <alignment vertical="center" wrapText="1"/>
    </xf>
    <xf numFmtId="0" fontId="16" fillId="0" borderId="0" xfId="0" applyFont="1" applyAlignment="1">
      <alignment vertical="center"/>
    </xf>
    <xf numFmtId="0" fontId="84" fillId="0" borderId="0" xfId="0" applyFont="1"/>
    <xf numFmtId="172" fontId="83" fillId="13" borderId="0" xfId="0" applyNumberFormat="1" applyFont="1" applyFill="1" applyAlignment="1" applyProtection="1">
      <alignment horizontal="left" vertical="center"/>
      <protection locked="0"/>
    </xf>
    <xf numFmtId="172" fontId="83" fillId="13" borderId="0" xfId="0" applyNumberFormat="1" applyFont="1" applyFill="1" applyAlignment="1" applyProtection="1">
      <alignment vertical="center"/>
      <protection locked="0"/>
    </xf>
    <xf numFmtId="14" fontId="86" fillId="0" borderId="0" xfId="0" applyNumberFormat="1" applyFont="1" applyAlignment="1">
      <alignment horizontal="center"/>
    </xf>
    <xf numFmtId="0" fontId="84" fillId="0" borderId="0" xfId="0" applyFont="1" applyProtection="1">
      <protection locked="0"/>
    </xf>
    <xf numFmtId="173" fontId="87" fillId="19" borderId="0" xfId="0" applyNumberFormat="1" applyFont="1" applyFill="1"/>
    <xf numFmtId="0" fontId="83" fillId="0" borderId="0" xfId="0" applyFont="1" applyAlignment="1" applyProtection="1">
      <alignment horizontal="center"/>
      <protection locked="0"/>
    </xf>
    <xf numFmtId="165" fontId="86" fillId="0" borderId="0" xfId="5" applyFont="1" applyFill="1" applyBorder="1" applyAlignment="1" applyProtection="1">
      <alignment horizontal="center"/>
    </xf>
    <xf numFmtId="4" fontId="86" fillId="0" borderId="0" xfId="0" applyNumberFormat="1" applyFont="1" applyAlignment="1">
      <alignment horizontal="center"/>
    </xf>
    <xf numFmtId="4" fontId="88" fillId="0" borderId="0" xfId="0" applyNumberFormat="1" applyFont="1" applyAlignment="1">
      <alignment horizontal="center"/>
    </xf>
    <xf numFmtId="0" fontId="90" fillId="0" borderId="0" xfId="0" applyFont="1" applyProtection="1">
      <protection locked="0"/>
    </xf>
    <xf numFmtId="4" fontId="91" fillId="0" borderId="0" xfId="0" applyNumberFormat="1" applyFont="1" applyAlignment="1">
      <alignment horizontal="center"/>
    </xf>
    <xf numFmtId="4" fontId="90" fillId="0" borderId="0" xfId="0" applyNumberFormat="1" applyFont="1" applyAlignment="1">
      <alignment horizontal="center"/>
    </xf>
    <xf numFmtId="175" fontId="87" fillId="19" borderId="0" xfId="0" applyNumberFormat="1" applyFont="1" applyFill="1"/>
    <xf numFmtId="0" fontId="83" fillId="14" borderId="57" xfId="0" applyFont="1" applyFill="1" applyBorder="1" applyAlignment="1">
      <alignment horizontal="center" vertical="center"/>
    </xf>
    <xf numFmtId="0" fontId="83" fillId="13" borderId="0" xfId="0" applyFont="1" applyFill="1" applyAlignment="1" applyProtection="1">
      <alignment horizontal="left"/>
      <protection locked="0"/>
    </xf>
    <xf numFmtId="0" fontId="83" fillId="13" borderId="0" xfId="0" applyFont="1" applyFill="1" applyProtection="1">
      <protection locked="0"/>
    </xf>
    <xf numFmtId="0" fontId="83" fillId="14" borderId="57" xfId="0" applyFont="1" applyFill="1" applyBorder="1" applyAlignment="1">
      <alignment vertical="center"/>
    </xf>
    <xf numFmtId="0" fontId="84" fillId="0" borderId="0" xfId="0" applyFont="1" applyAlignment="1">
      <alignment horizontal="left" vertical="center"/>
    </xf>
    <xf numFmtId="0" fontId="83" fillId="14" borderId="0" xfId="0" applyFont="1" applyFill="1" applyAlignment="1">
      <alignment horizontal="center" vertical="center"/>
    </xf>
    <xf numFmtId="174" fontId="83" fillId="13" borderId="0" xfId="5" applyNumberFormat="1" applyFont="1" applyFill="1" applyBorder="1" applyAlignment="1" applyProtection="1">
      <alignment horizontal="center" vertical="center"/>
      <protection locked="0" hidden="1"/>
    </xf>
    <xf numFmtId="0" fontId="90" fillId="0" borderId="0" xfId="0" applyFont="1"/>
    <xf numFmtId="4" fontId="90" fillId="0" borderId="0" xfId="0" applyNumberFormat="1" applyFont="1"/>
    <xf numFmtId="165" fontId="90" fillId="0" borderId="0" xfId="5" applyFont="1" applyFill="1" applyBorder="1" applyProtection="1"/>
    <xf numFmtId="0" fontId="93" fillId="36" borderId="68" xfId="28" applyFont="1" applyBorder="1" applyAlignment="1">
      <alignment horizontal="center" vertical="center"/>
    </xf>
    <xf numFmtId="0" fontId="93" fillId="36" borderId="11" xfId="28" applyFont="1" applyBorder="1"/>
    <xf numFmtId="0" fontId="27" fillId="23" borderId="20" xfId="16" applyBorder="1" applyAlignment="1">
      <alignment horizontal="center"/>
    </xf>
    <xf numFmtId="0" fontId="27" fillId="23" borderId="19" xfId="16" applyBorder="1" applyAlignment="1">
      <alignment horizontal="center"/>
    </xf>
    <xf numFmtId="3" fontId="27" fillId="23" borderId="3" xfId="16" applyNumberFormat="1" applyBorder="1"/>
    <xf numFmtId="0" fontId="27" fillId="23" borderId="20" xfId="16" applyBorder="1" applyAlignment="1">
      <alignment horizontal="left"/>
    </xf>
    <xf numFmtId="0" fontId="27" fillId="23" borderId="3" xfId="16" applyBorder="1"/>
    <xf numFmtId="0" fontId="82" fillId="13" borderId="3" xfId="0" applyFont="1" applyFill="1" applyBorder="1" applyAlignment="1">
      <alignment horizontal="center"/>
    </xf>
    <xf numFmtId="4" fontId="82" fillId="13" borderId="3" xfId="0" quotePrefix="1" applyNumberFormat="1" applyFont="1" applyFill="1" applyBorder="1" applyAlignment="1">
      <alignment horizontal="center"/>
    </xf>
    <xf numFmtId="165" fontId="82" fillId="13" borderId="3" xfId="5" applyFont="1" applyFill="1" applyBorder="1"/>
    <xf numFmtId="0" fontId="83" fillId="20" borderId="0" xfId="0" applyFont="1" applyFill="1" applyAlignment="1" applyProtection="1">
      <alignment horizontal="center" vertical="center"/>
      <protection locked="0" hidden="1"/>
    </xf>
    <xf numFmtId="165" fontId="0" fillId="0" borderId="0" xfId="5" applyFont="1" applyProtection="1">
      <protection hidden="1"/>
    </xf>
    <xf numFmtId="3" fontId="83" fillId="13" borderId="0" xfId="5" applyNumberFormat="1" applyFont="1" applyFill="1" applyBorder="1" applyAlignment="1" applyProtection="1">
      <alignment horizontal="center" vertical="center"/>
      <protection locked="0" hidden="1"/>
    </xf>
    <xf numFmtId="0" fontId="89" fillId="0" borderId="0" xfId="0" applyFont="1" applyAlignment="1" applyProtection="1">
      <alignment vertical="center"/>
      <protection hidden="1"/>
    </xf>
    <xf numFmtId="0" fontId="83" fillId="14" borderId="100" xfId="0" applyFont="1" applyFill="1" applyBorder="1" applyAlignment="1">
      <alignment vertical="center"/>
    </xf>
    <xf numFmtId="0" fontId="83" fillId="14" borderId="102" xfId="0" applyFont="1" applyFill="1" applyBorder="1" applyAlignment="1">
      <alignment vertical="center"/>
    </xf>
    <xf numFmtId="0" fontId="83" fillId="14" borderId="101" xfId="0" applyFont="1" applyFill="1" applyBorder="1" applyAlignment="1">
      <alignment vertical="center"/>
    </xf>
    <xf numFmtId="14" fontId="13" fillId="0" borderId="0" xfId="0" applyNumberFormat="1" applyFont="1" applyAlignment="1" applyProtection="1">
      <alignment horizontal="center"/>
      <protection hidden="1"/>
    </xf>
    <xf numFmtId="0" fontId="88" fillId="0" borderId="0" xfId="0" applyFont="1" applyAlignment="1">
      <alignment horizontal="center"/>
    </xf>
    <xf numFmtId="10" fontId="86" fillId="0" borderId="0" xfId="0" applyNumberFormat="1" applyFont="1" applyAlignment="1">
      <alignment horizontal="center"/>
    </xf>
    <xf numFmtId="0" fontId="83" fillId="14" borderId="100" xfId="0" applyFont="1" applyFill="1" applyBorder="1" applyAlignment="1">
      <alignment horizontal="left" vertical="center" indent="2"/>
    </xf>
    <xf numFmtId="0" fontId="83" fillId="14" borderId="101" xfId="0" applyFont="1" applyFill="1" applyBorder="1" applyAlignment="1">
      <alignment horizontal="left" vertical="center" indent="2"/>
    </xf>
    <xf numFmtId="0" fontId="83" fillId="14" borderId="102" xfId="0" applyFont="1" applyFill="1" applyBorder="1" applyAlignment="1">
      <alignment horizontal="left" vertical="center" indent="2"/>
    </xf>
    <xf numFmtId="0" fontId="83" fillId="14" borderId="100" xfId="0" applyFont="1" applyFill="1" applyBorder="1" applyAlignment="1">
      <alignment horizontal="left" vertical="center" indent="3"/>
    </xf>
    <xf numFmtId="0" fontId="83" fillId="14" borderId="101" xfId="0" applyFont="1" applyFill="1" applyBorder="1" applyAlignment="1">
      <alignment horizontal="left" vertical="center" indent="3"/>
    </xf>
    <xf numFmtId="0" fontId="83" fillId="14" borderId="102" xfId="0" applyFont="1" applyFill="1" applyBorder="1" applyAlignment="1">
      <alignment horizontal="left" vertical="center" indent="3"/>
    </xf>
    <xf numFmtId="10" fontId="95" fillId="13" borderId="0" xfId="14" applyNumberFormat="1" applyFont="1" applyFill="1" applyBorder="1" applyAlignment="1" applyProtection="1">
      <alignment horizontal="center" vertical="center"/>
      <protection locked="0"/>
    </xf>
    <xf numFmtId="0" fontId="25" fillId="0" borderId="20" xfId="0" applyFont="1" applyBorder="1" applyProtection="1">
      <protection locked="0" hidden="1"/>
    </xf>
    <xf numFmtId="166" fontId="25" fillId="4" borderId="106" xfId="5" applyNumberFormat="1" applyFont="1" applyFill="1" applyBorder="1" applyAlignment="1" applyProtection="1">
      <alignment horizontal="center"/>
      <protection hidden="1"/>
    </xf>
    <xf numFmtId="0" fontId="0" fillId="0" borderId="56" xfId="0" applyBorder="1" applyAlignment="1">
      <alignment horizontal="center"/>
    </xf>
    <xf numFmtId="0" fontId="0" fillId="35" borderId="0" xfId="0" applyFill="1"/>
    <xf numFmtId="166" fontId="25" fillId="5" borderId="15" xfId="5" applyNumberFormat="1" applyFont="1" applyFill="1" applyBorder="1" applyProtection="1">
      <protection locked="0" hidden="1"/>
    </xf>
    <xf numFmtId="166" fontId="25" fillId="0" borderId="15" xfId="5" applyNumberFormat="1" applyFont="1" applyBorder="1" applyProtection="1">
      <protection locked="0" hidden="1"/>
    </xf>
    <xf numFmtId="165" fontId="25" fillId="14" borderId="15" xfId="5" applyFont="1" applyFill="1" applyBorder="1" applyProtection="1">
      <protection locked="0" hidden="1"/>
    </xf>
    <xf numFmtId="165" fontId="25" fillId="0" borderId="15" xfId="5" applyFont="1" applyFill="1" applyBorder="1" applyProtection="1">
      <protection locked="0" hidden="1"/>
    </xf>
    <xf numFmtId="165" fontId="25" fillId="14" borderId="15" xfId="5" applyFont="1" applyFill="1" applyBorder="1" applyAlignment="1" applyProtection="1">
      <protection locked="0" hidden="1"/>
    </xf>
    <xf numFmtId="165" fontId="25" fillId="14" borderId="84" xfId="5" applyFont="1" applyFill="1" applyBorder="1" applyAlignment="1" applyProtection="1">
      <protection locked="0" hidden="1"/>
    </xf>
    <xf numFmtId="165" fontId="25" fillId="17" borderId="15" xfId="5" applyFont="1" applyFill="1" applyBorder="1" applyProtection="1">
      <protection locked="0" hidden="1"/>
    </xf>
    <xf numFmtId="165" fontId="25" fillId="17" borderId="15" xfId="5" applyFont="1" applyFill="1" applyBorder="1" applyAlignment="1" applyProtection="1">
      <protection locked="0" hidden="1"/>
    </xf>
    <xf numFmtId="165" fontId="25" fillId="17" borderId="84" xfId="5" applyFont="1" applyFill="1" applyBorder="1" applyAlignment="1" applyProtection="1">
      <protection locked="0" hidden="1"/>
    </xf>
    <xf numFmtId="165" fontId="25" fillId="16" borderId="15" xfId="5" applyFont="1" applyFill="1" applyBorder="1" applyProtection="1">
      <protection locked="0" hidden="1"/>
    </xf>
    <xf numFmtId="165" fontId="25" fillId="16" borderId="15" xfId="5" applyFont="1" applyFill="1" applyBorder="1" applyAlignment="1" applyProtection="1">
      <protection locked="0" hidden="1"/>
    </xf>
    <xf numFmtId="165" fontId="25" fillId="16" borderId="84" xfId="5" applyFont="1" applyFill="1" applyBorder="1" applyAlignment="1" applyProtection="1">
      <protection locked="0" hidden="1"/>
    </xf>
    <xf numFmtId="165" fontId="25" fillId="18" borderId="15" xfId="5" applyFont="1" applyFill="1" applyBorder="1" applyProtection="1">
      <protection locked="0" hidden="1"/>
    </xf>
    <xf numFmtId="165" fontId="25" fillId="18" borderId="15" xfId="5" applyFont="1" applyFill="1" applyBorder="1" applyAlignment="1" applyProtection="1">
      <protection locked="0" hidden="1"/>
    </xf>
    <xf numFmtId="165" fontId="25" fillId="18" borderId="84" xfId="5" applyFont="1" applyFill="1" applyBorder="1" applyAlignment="1" applyProtection="1">
      <protection locked="0" hidden="1"/>
    </xf>
    <xf numFmtId="165" fontId="25" fillId="19" borderId="84" xfId="5" applyFont="1" applyFill="1" applyBorder="1" applyAlignment="1" applyProtection="1">
      <protection locked="0" hidden="1"/>
    </xf>
    <xf numFmtId="165" fontId="25" fillId="15" borderId="15" xfId="5" applyFont="1" applyFill="1" applyBorder="1" applyProtection="1">
      <protection locked="0" hidden="1"/>
    </xf>
    <xf numFmtId="165" fontId="25" fillId="15" borderId="15" xfId="5" applyFont="1" applyFill="1" applyBorder="1" applyAlignment="1" applyProtection="1">
      <protection locked="0" hidden="1"/>
    </xf>
    <xf numFmtId="165" fontId="25" fillId="15" borderId="84" xfId="5" applyFont="1" applyFill="1" applyBorder="1" applyAlignment="1" applyProtection="1">
      <protection locked="0" hidden="1"/>
    </xf>
    <xf numFmtId="166" fontId="25" fillId="2" borderId="55" xfId="0" applyNumberFormat="1" applyFont="1" applyFill="1" applyBorder="1" applyAlignment="1" applyProtection="1">
      <alignment horizontal="center"/>
      <protection hidden="1"/>
    </xf>
    <xf numFmtId="166" fontId="25" fillId="14" borderId="55" xfId="0" applyNumberFormat="1" applyFont="1" applyFill="1" applyBorder="1" applyAlignment="1" applyProtection="1">
      <alignment horizontal="center"/>
      <protection hidden="1"/>
    </xf>
    <xf numFmtId="166" fontId="25" fillId="17" borderId="55" xfId="0" applyNumberFormat="1" applyFont="1" applyFill="1" applyBorder="1" applyAlignment="1" applyProtection="1">
      <alignment horizontal="center"/>
      <protection hidden="1"/>
    </xf>
    <xf numFmtId="166" fontId="25" fillId="16" borderId="55" xfId="0" applyNumberFormat="1" applyFont="1" applyFill="1" applyBorder="1" applyAlignment="1" applyProtection="1">
      <alignment horizontal="center"/>
      <protection hidden="1"/>
    </xf>
    <xf numFmtId="166" fontId="25" fillId="18" borderId="55" xfId="0" applyNumberFormat="1" applyFont="1" applyFill="1" applyBorder="1" applyAlignment="1" applyProtection="1">
      <alignment horizontal="center"/>
      <protection hidden="1"/>
    </xf>
    <xf numFmtId="166" fontId="25" fillId="19" borderId="55" xfId="0" applyNumberFormat="1" applyFont="1" applyFill="1" applyBorder="1" applyAlignment="1" applyProtection="1">
      <alignment horizontal="center"/>
      <protection hidden="1"/>
    </xf>
    <xf numFmtId="166" fontId="25" fillId="15" borderId="55" xfId="0" applyNumberFormat="1" applyFont="1" applyFill="1" applyBorder="1" applyAlignment="1" applyProtection="1">
      <alignment horizontal="center"/>
      <protection hidden="1"/>
    </xf>
    <xf numFmtId="166" fontId="25" fillId="5" borderId="10" xfId="5" applyNumberFormat="1" applyFont="1" applyFill="1" applyBorder="1" applyProtection="1">
      <protection locked="0" hidden="1"/>
    </xf>
    <xf numFmtId="166" fontId="25" fillId="0" borderId="10" xfId="5" applyNumberFormat="1" applyFont="1" applyBorder="1" applyProtection="1">
      <protection locked="0" hidden="1"/>
    </xf>
    <xf numFmtId="165" fontId="25" fillId="14" borderId="10" xfId="5" applyFont="1" applyFill="1" applyBorder="1" applyProtection="1">
      <protection locked="0" hidden="1"/>
    </xf>
    <xf numFmtId="165" fontId="25" fillId="0" borderId="10" xfId="5" applyFont="1" applyFill="1" applyBorder="1" applyProtection="1">
      <protection locked="0" hidden="1"/>
    </xf>
    <xf numFmtId="165" fontId="25" fillId="14" borderId="10" xfId="5" applyFont="1" applyFill="1" applyBorder="1" applyAlignment="1" applyProtection="1">
      <protection locked="0" hidden="1"/>
    </xf>
    <xf numFmtId="165" fontId="25" fillId="14" borderId="66" xfId="5" applyFont="1" applyFill="1" applyBorder="1" applyAlignment="1" applyProtection="1">
      <protection locked="0" hidden="1"/>
    </xf>
    <xf numFmtId="165" fontId="25" fillId="17" borderId="10" xfId="5" applyFont="1" applyFill="1" applyBorder="1" applyProtection="1">
      <protection locked="0" hidden="1"/>
    </xf>
    <xf numFmtId="165" fontId="25" fillId="17" borderId="10" xfId="5" applyFont="1" applyFill="1" applyBorder="1" applyAlignment="1" applyProtection="1">
      <protection locked="0" hidden="1"/>
    </xf>
    <xf numFmtId="165" fontId="25" fillId="17" borderId="66" xfId="5" applyFont="1" applyFill="1" applyBorder="1" applyAlignment="1" applyProtection="1">
      <protection locked="0" hidden="1"/>
    </xf>
    <xf numFmtId="165" fontId="25" fillId="16" borderId="10" xfId="5" applyFont="1" applyFill="1" applyBorder="1" applyProtection="1">
      <protection locked="0" hidden="1"/>
    </xf>
    <xf numFmtId="165" fontId="25" fillId="16" borderId="10" xfId="5" applyFont="1" applyFill="1" applyBorder="1" applyAlignment="1" applyProtection="1">
      <protection locked="0" hidden="1"/>
    </xf>
    <xf numFmtId="165" fontId="25" fillId="16" borderId="66" xfId="5" applyFont="1" applyFill="1" applyBorder="1" applyAlignment="1" applyProtection="1">
      <protection locked="0" hidden="1"/>
    </xf>
    <xf numFmtId="165" fontId="25" fillId="18" borderId="10" xfId="5" applyFont="1" applyFill="1" applyBorder="1" applyProtection="1">
      <protection locked="0" hidden="1"/>
    </xf>
    <xf numFmtId="165" fontId="25" fillId="18" borderId="10" xfId="5" applyFont="1" applyFill="1" applyBorder="1" applyAlignment="1" applyProtection="1">
      <protection locked="0" hidden="1"/>
    </xf>
    <xf numFmtId="165" fontId="25" fillId="18" borderId="66" xfId="5" applyFont="1" applyFill="1" applyBorder="1" applyAlignment="1" applyProtection="1">
      <protection locked="0" hidden="1"/>
    </xf>
    <xf numFmtId="165" fontId="25" fillId="19" borderId="66" xfId="5" applyFont="1" applyFill="1" applyBorder="1" applyAlignment="1" applyProtection="1">
      <protection locked="0" hidden="1"/>
    </xf>
    <xf numFmtId="165" fontId="25" fillId="15" borderId="10" xfId="5" applyFont="1" applyFill="1" applyBorder="1" applyAlignment="1" applyProtection="1">
      <protection locked="0" hidden="1"/>
    </xf>
    <xf numFmtId="165" fontId="25" fillId="15" borderId="66" xfId="5" applyFont="1" applyFill="1" applyBorder="1" applyAlignment="1" applyProtection="1">
      <protection locked="0" hidden="1"/>
    </xf>
    <xf numFmtId="166" fontId="25" fillId="5" borderId="13" xfId="5" applyNumberFormat="1" applyFont="1" applyFill="1" applyBorder="1" applyProtection="1">
      <protection locked="0" hidden="1"/>
    </xf>
    <xf numFmtId="166" fontId="25" fillId="0" borderId="13" xfId="5" applyNumberFormat="1" applyFont="1" applyBorder="1" applyProtection="1">
      <protection locked="0" hidden="1"/>
    </xf>
    <xf numFmtId="165" fontId="25" fillId="14" borderId="13" xfId="5" applyFont="1" applyFill="1" applyBorder="1" applyProtection="1">
      <protection locked="0" hidden="1"/>
    </xf>
    <xf numFmtId="165" fontId="25" fillId="0" borderId="13" xfId="5" applyFont="1" applyFill="1" applyBorder="1" applyProtection="1">
      <protection locked="0" hidden="1"/>
    </xf>
    <xf numFmtId="165" fontId="25" fillId="14" borderId="13" xfId="5" applyFont="1" applyFill="1" applyBorder="1" applyAlignment="1" applyProtection="1">
      <protection locked="0" hidden="1"/>
    </xf>
    <xf numFmtId="165" fontId="25" fillId="14" borderId="85" xfId="5" applyFont="1" applyFill="1" applyBorder="1" applyAlignment="1" applyProtection="1">
      <protection locked="0" hidden="1"/>
    </xf>
    <xf numFmtId="165" fontId="25" fillId="17" borderId="13" xfId="5" applyFont="1" applyFill="1" applyBorder="1" applyAlignment="1" applyProtection="1">
      <protection locked="0" hidden="1"/>
    </xf>
    <xf numFmtId="165" fontId="25" fillId="17" borderId="85" xfId="5" applyFont="1" applyFill="1" applyBorder="1" applyAlignment="1" applyProtection="1">
      <protection locked="0" hidden="1"/>
    </xf>
    <xf numFmtId="165" fontId="25" fillId="16" borderId="13" xfId="5" applyFont="1" applyFill="1" applyBorder="1" applyAlignment="1" applyProtection="1">
      <protection locked="0" hidden="1"/>
    </xf>
    <xf numFmtId="165" fontId="25" fillId="16" borderId="85" xfId="5" applyFont="1" applyFill="1" applyBorder="1" applyAlignment="1" applyProtection="1">
      <protection locked="0" hidden="1"/>
    </xf>
    <xf numFmtId="165" fontId="25" fillId="18" borderId="13" xfId="5" applyFont="1" applyFill="1" applyBorder="1" applyProtection="1">
      <protection locked="0" hidden="1"/>
    </xf>
    <xf numFmtId="165" fontId="25" fillId="18" borderId="13" xfId="5" applyFont="1" applyFill="1" applyBorder="1" applyAlignment="1" applyProtection="1">
      <protection locked="0" hidden="1"/>
    </xf>
    <xf numFmtId="165" fontId="25" fillId="18" borderId="85" xfId="5" applyFont="1" applyFill="1" applyBorder="1" applyAlignment="1" applyProtection="1">
      <protection locked="0" hidden="1"/>
    </xf>
    <xf numFmtId="165" fontId="25" fillId="19" borderId="85" xfId="5" applyFont="1" applyFill="1" applyBorder="1" applyAlignment="1" applyProtection="1">
      <protection locked="0" hidden="1"/>
    </xf>
    <xf numFmtId="165" fontId="25" fillId="15" borderId="13" xfId="5" applyFont="1" applyFill="1" applyBorder="1" applyAlignment="1" applyProtection="1">
      <protection locked="0" hidden="1"/>
    </xf>
    <xf numFmtId="165" fontId="25" fillId="15" borderId="85" xfId="5" applyFont="1" applyFill="1" applyBorder="1" applyAlignment="1" applyProtection="1">
      <protection locked="0" hidden="1"/>
    </xf>
    <xf numFmtId="4" fontId="67" fillId="0" borderId="0" xfId="0" applyNumberFormat="1" applyFont="1" applyAlignment="1" applyProtection="1">
      <alignment horizontal="left" vertical="center"/>
      <protection hidden="1"/>
    </xf>
    <xf numFmtId="0" fontId="16" fillId="0" borderId="0" xfId="14" applyNumberFormat="1" applyFont="1"/>
    <xf numFmtId="0" fontId="23" fillId="22" borderId="3" xfId="20" applyFont="1" applyFill="1" applyBorder="1" applyAlignment="1">
      <alignment horizontal="center" vertical="center"/>
    </xf>
    <xf numFmtId="0" fontId="97" fillId="0" borderId="0" xfId="0" applyFont="1" applyAlignment="1">
      <alignment vertical="center"/>
    </xf>
    <xf numFmtId="0" fontId="23" fillId="63" borderId="32" xfId="5" applyNumberFormat="1" applyFont="1" applyFill="1" applyBorder="1" applyAlignment="1" applyProtection="1">
      <alignment horizontal="center" vertical="center"/>
      <protection locked="0" hidden="1"/>
    </xf>
    <xf numFmtId="0" fontId="23" fillId="63" borderId="33" xfId="0" applyFont="1" applyFill="1" applyBorder="1" applyAlignment="1" applyProtection="1">
      <alignment horizontal="center" vertical="center"/>
      <protection locked="0" hidden="1"/>
    </xf>
    <xf numFmtId="0" fontId="24" fillId="63" borderId="34" xfId="0" applyFont="1" applyFill="1" applyBorder="1" applyAlignment="1" applyProtection="1">
      <alignment horizontal="center" vertical="center"/>
      <protection hidden="1"/>
    </xf>
    <xf numFmtId="0" fontId="23" fillId="63" borderId="30" xfId="5" applyNumberFormat="1" applyFont="1" applyFill="1" applyBorder="1" applyAlignment="1" applyProtection="1">
      <alignment horizontal="center" vertical="center"/>
      <protection locked="0" hidden="1"/>
    </xf>
    <xf numFmtId="0" fontId="23" fillId="63" borderId="21" xfId="0" applyFont="1" applyFill="1" applyBorder="1" applyAlignment="1" applyProtection="1">
      <alignment horizontal="center" vertical="center"/>
      <protection locked="0" hidden="1"/>
    </xf>
    <xf numFmtId="0" fontId="24" fillId="63" borderId="31" xfId="0" applyFont="1" applyFill="1" applyBorder="1" applyAlignment="1" applyProtection="1">
      <alignment horizontal="center" vertical="center"/>
      <protection hidden="1"/>
    </xf>
    <xf numFmtId="0" fontId="23" fillId="63" borderId="69" xfId="5" applyNumberFormat="1" applyFont="1" applyFill="1" applyBorder="1" applyAlignment="1" applyProtection="1">
      <alignment horizontal="center" vertical="center"/>
      <protection locked="0" hidden="1"/>
    </xf>
    <xf numFmtId="0" fontId="23" fillId="63" borderId="63" xfId="0" applyFont="1" applyFill="1" applyBorder="1" applyAlignment="1" applyProtection="1">
      <alignment horizontal="center" vertical="center"/>
      <protection locked="0" hidden="1"/>
    </xf>
    <xf numFmtId="0" fontId="24" fillId="63" borderId="61" xfId="0" applyFont="1" applyFill="1" applyBorder="1" applyAlignment="1" applyProtection="1">
      <alignment horizontal="center" vertical="center"/>
      <protection hidden="1"/>
    </xf>
    <xf numFmtId="0" fontId="25" fillId="14" borderId="3" xfId="0" applyFont="1" applyFill="1" applyBorder="1" applyProtection="1">
      <protection locked="0"/>
    </xf>
    <xf numFmtId="0" fontId="12" fillId="0" borderId="15" xfId="0" applyFont="1" applyBorder="1" applyAlignment="1">
      <alignment vertical="center"/>
    </xf>
    <xf numFmtId="0" fontId="12" fillId="0" borderId="107" xfId="0" applyFont="1" applyBorder="1" applyAlignment="1">
      <alignment vertical="center"/>
    </xf>
    <xf numFmtId="0" fontId="12" fillId="0" borderId="108" xfId="0" applyFont="1" applyBorder="1" applyAlignment="1">
      <alignment vertical="center"/>
    </xf>
    <xf numFmtId="0" fontId="12" fillId="0" borderId="26" xfId="0" applyFont="1" applyBorder="1" applyAlignment="1">
      <alignment vertical="center"/>
    </xf>
    <xf numFmtId="0" fontId="12" fillId="0" borderId="16" xfId="0" applyFont="1" applyBorder="1" applyAlignment="1">
      <alignment vertical="center"/>
    </xf>
    <xf numFmtId="0" fontId="10" fillId="64" borderId="0" xfId="0" applyFont="1" applyFill="1" applyAlignment="1">
      <alignment horizontal="center" vertical="center" wrapText="1"/>
    </xf>
    <xf numFmtId="0" fontId="98" fillId="64" borderId="0" xfId="0" applyFont="1" applyFill="1" applyAlignment="1">
      <alignment horizontal="center" vertical="center" wrapText="1"/>
    </xf>
    <xf numFmtId="0" fontId="99" fillId="64" borderId="0" xfId="0" applyFont="1" applyFill="1" applyAlignment="1">
      <alignment horizontal="center" vertical="center" wrapText="1"/>
    </xf>
    <xf numFmtId="0" fontId="83" fillId="64" borderId="0" xfId="0" applyFont="1" applyFill="1" applyAlignment="1">
      <alignment horizontal="center" vertical="center"/>
    </xf>
    <xf numFmtId="0" fontId="83" fillId="14" borderId="0" xfId="0" applyFont="1" applyFill="1" applyAlignment="1">
      <alignment horizontal="left" vertical="center" indent="1"/>
    </xf>
    <xf numFmtId="0" fontId="85" fillId="0" borderId="0" xfId="0" applyFont="1" applyAlignment="1" applyProtection="1">
      <alignment horizontal="left" vertical="center"/>
      <protection hidden="1"/>
    </xf>
    <xf numFmtId="0" fontId="94" fillId="13" borderId="0" xfId="0" applyFont="1" applyFill="1" applyAlignment="1" applyProtection="1">
      <alignment horizontal="left" vertical="center"/>
      <protection locked="0"/>
    </xf>
    <xf numFmtId="3" fontId="89" fillId="0" borderId="0" xfId="0" applyNumberFormat="1" applyFont="1" applyAlignment="1" applyProtection="1">
      <alignment horizontal="left" vertical="top" wrapText="1"/>
      <protection hidden="1"/>
    </xf>
    <xf numFmtId="0" fontId="89" fillId="0" borderId="0" xfId="0" applyFont="1" applyAlignment="1" applyProtection="1">
      <alignment horizontal="left" vertical="center" wrapText="1"/>
      <protection hidden="1"/>
    </xf>
    <xf numFmtId="0" fontId="83" fillId="13" borderId="62" xfId="0" applyFont="1" applyFill="1" applyBorder="1" applyAlignment="1" applyProtection="1">
      <alignment horizontal="left"/>
      <protection locked="0"/>
    </xf>
    <xf numFmtId="0" fontId="83" fillId="13" borderId="0" xfId="0" applyFont="1" applyFill="1" applyAlignment="1" applyProtection="1">
      <alignment horizontal="left"/>
      <protection locked="0"/>
    </xf>
    <xf numFmtId="0" fontId="92" fillId="13" borderId="0" xfId="27" applyFont="1" applyFill="1" applyAlignment="1" applyProtection="1">
      <alignment horizontal="left"/>
      <protection locked="0"/>
    </xf>
    <xf numFmtId="0" fontId="85" fillId="14" borderId="100" xfId="0" applyFont="1" applyFill="1" applyBorder="1" applyAlignment="1" applyProtection="1">
      <alignment horizontal="left" vertical="center" indent="1"/>
      <protection hidden="1"/>
    </xf>
    <xf numFmtId="0" fontId="89" fillId="0" borderId="0" xfId="0" applyFont="1" applyAlignment="1" applyProtection="1">
      <alignment horizontal="left" vertical="center"/>
      <protection hidden="1"/>
    </xf>
    <xf numFmtId="0" fontId="83" fillId="14" borderId="101" xfId="0" applyFont="1" applyFill="1" applyBorder="1" applyAlignment="1">
      <alignment horizontal="left" vertical="center" wrapText="1" indent="2"/>
    </xf>
    <xf numFmtId="0" fontId="25" fillId="0" borderId="0" xfId="0" applyFont="1" applyAlignment="1" applyProtection="1">
      <alignment horizontal="center"/>
      <protection locked="0" hidden="1"/>
    </xf>
    <xf numFmtId="0" fontId="25" fillId="14" borderId="17" xfId="0" applyFont="1" applyFill="1" applyBorder="1" applyAlignment="1" applyProtection="1">
      <alignment horizontal="center"/>
      <protection locked="0" hidden="1"/>
    </xf>
    <xf numFmtId="0" fontId="25" fillId="14" borderId="26" xfId="0" applyFont="1" applyFill="1" applyBorder="1" applyAlignment="1" applyProtection="1">
      <alignment horizontal="center"/>
      <protection locked="0" hidden="1"/>
    </xf>
    <xf numFmtId="0" fontId="25" fillId="14" borderId="25" xfId="0" applyFont="1" applyFill="1" applyBorder="1" applyAlignment="1" applyProtection="1">
      <alignment horizontal="center"/>
      <protection locked="0" hidden="1"/>
    </xf>
    <xf numFmtId="0" fontId="25" fillId="17" borderId="17" xfId="0" applyFont="1" applyFill="1" applyBorder="1" applyAlignment="1" applyProtection="1">
      <alignment horizontal="center"/>
      <protection locked="0" hidden="1"/>
    </xf>
    <xf numFmtId="0" fontId="25" fillId="17" borderId="26" xfId="0" applyFont="1" applyFill="1" applyBorder="1" applyAlignment="1" applyProtection="1">
      <alignment horizontal="center"/>
      <protection locked="0" hidden="1"/>
    </xf>
    <xf numFmtId="0" fontId="25" fillId="16" borderId="17" xfId="0" applyFont="1" applyFill="1" applyBorder="1" applyAlignment="1" applyProtection="1">
      <alignment horizontal="center"/>
      <protection locked="0" hidden="1"/>
    </xf>
    <xf numFmtId="0" fontId="25" fillId="16" borderId="26" xfId="0" applyFont="1" applyFill="1" applyBorder="1" applyAlignment="1" applyProtection="1">
      <alignment horizontal="center"/>
      <protection locked="0" hidden="1"/>
    </xf>
    <xf numFmtId="0" fontId="30" fillId="63" borderId="82" xfId="0" applyFont="1" applyFill="1" applyBorder="1" applyAlignment="1" applyProtection="1">
      <alignment horizontal="center" vertical="center"/>
      <protection hidden="1"/>
    </xf>
    <xf numFmtId="0" fontId="30" fillId="63" borderId="0" xfId="0" applyFont="1" applyFill="1" applyAlignment="1" applyProtection="1">
      <alignment horizontal="center" vertical="center"/>
      <protection hidden="1"/>
    </xf>
    <xf numFmtId="0" fontId="30" fillId="11" borderId="45" xfId="0" applyFont="1" applyFill="1" applyBorder="1" applyAlignment="1" applyProtection="1">
      <alignment horizontal="center" vertical="center"/>
      <protection hidden="1"/>
    </xf>
    <xf numFmtId="0" fontId="30" fillId="11" borderId="46" xfId="0" applyFont="1" applyFill="1" applyBorder="1" applyAlignment="1" applyProtection="1">
      <alignment horizontal="center" vertical="center"/>
      <protection hidden="1"/>
    </xf>
    <xf numFmtId="0" fontId="30" fillId="63" borderId="45" xfId="0" applyFont="1" applyFill="1" applyBorder="1" applyAlignment="1" applyProtection="1">
      <alignment horizontal="center" vertical="center"/>
      <protection hidden="1"/>
    </xf>
    <xf numFmtId="0" fontId="30" fillId="63" borderId="46" xfId="0" applyFont="1" applyFill="1" applyBorder="1" applyAlignment="1" applyProtection="1">
      <alignment horizontal="center" vertical="center"/>
      <protection hidden="1"/>
    </xf>
    <xf numFmtId="0" fontId="25" fillId="0" borderId="66" xfId="0" applyFont="1" applyBorder="1" applyAlignment="1" applyProtection="1">
      <alignment horizontal="center"/>
      <protection locked="0" hidden="1"/>
    </xf>
    <xf numFmtId="0" fontId="25" fillId="0" borderId="67" xfId="0" applyFont="1" applyBorder="1" applyAlignment="1" applyProtection="1">
      <alignment horizontal="center"/>
      <protection locked="0" hidden="1"/>
    </xf>
    <xf numFmtId="0" fontId="25" fillId="0" borderId="59" xfId="0" applyFont="1" applyBorder="1" applyAlignment="1" applyProtection="1">
      <alignment horizontal="center"/>
      <protection locked="0" hidden="1"/>
    </xf>
    <xf numFmtId="0" fontId="25" fillId="19" borderId="17" xfId="0" applyFont="1" applyFill="1" applyBorder="1" applyAlignment="1" applyProtection="1">
      <alignment horizontal="center"/>
      <protection locked="0" hidden="1"/>
    </xf>
    <xf numFmtId="0" fontId="25" fillId="19" borderId="26" xfId="0" applyFont="1" applyFill="1" applyBorder="1" applyAlignment="1" applyProtection="1">
      <alignment horizontal="center"/>
      <protection locked="0" hidden="1"/>
    </xf>
    <xf numFmtId="0" fontId="18" fillId="63" borderId="40" xfId="0" applyFont="1" applyFill="1" applyBorder="1" applyAlignment="1" applyProtection="1">
      <alignment horizontal="center" wrapText="1"/>
      <protection hidden="1"/>
    </xf>
    <xf numFmtId="0" fontId="18" fillId="63" borderId="0" xfId="0" applyFont="1" applyFill="1" applyAlignment="1" applyProtection="1">
      <alignment horizontal="center" wrapText="1"/>
      <protection hidden="1"/>
    </xf>
    <xf numFmtId="166" fontId="56" fillId="63" borderId="41" xfId="5" applyNumberFormat="1" applyFont="1" applyFill="1" applyBorder="1" applyAlignment="1" applyProtection="1">
      <alignment horizontal="center" vertical="center"/>
      <protection hidden="1"/>
    </xf>
    <xf numFmtId="166" fontId="56" fillId="63" borderId="42" xfId="5" applyNumberFormat="1" applyFont="1" applyFill="1" applyBorder="1" applyAlignment="1" applyProtection="1">
      <alignment horizontal="center" vertical="center"/>
      <protection hidden="1"/>
    </xf>
    <xf numFmtId="166" fontId="56" fillId="63" borderId="43" xfId="5" applyNumberFormat="1" applyFont="1" applyFill="1" applyBorder="1" applyAlignment="1" applyProtection="1">
      <alignment horizontal="center" vertical="center"/>
      <protection hidden="1"/>
    </xf>
    <xf numFmtId="0" fontId="56" fillId="63" borderId="44" xfId="0" applyFont="1" applyFill="1" applyBorder="1" applyAlignment="1" applyProtection="1">
      <alignment horizontal="center" vertical="center" wrapText="1"/>
      <protection hidden="1"/>
    </xf>
    <xf numFmtId="0" fontId="56" fillId="63" borderId="27" xfId="0" applyFont="1" applyFill="1" applyBorder="1" applyAlignment="1" applyProtection="1">
      <alignment horizontal="center" vertical="center"/>
      <protection hidden="1"/>
    </xf>
    <xf numFmtId="0" fontId="56" fillId="63" borderId="28" xfId="0" applyFont="1" applyFill="1" applyBorder="1" applyAlignment="1" applyProtection="1">
      <alignment horizontal="center" vertical="center"/>
      <protection hidden="1"/>
    </xf>
    <xf numFmtId="0" fontId="24" fillId="63" borderId="0" xfId="0" applyFont="1" applyFill="1" applyAlignment="1" applyProtection="1">
      <alignment horizontal="left" vertical="center" indent="6"/>
      <protection hidden="1"/>
    </xf>
    <xf numFmtId="166" fontId="56" fillId="63" borderId="41" xfId="5" applyNumberFormat="1" applyFont="1" applyFill="1" applyBorder="1" applyAlignment="1" applyProtection="1">
      <alignment horizontal="center" vertical="center" wrapText="1"/>
      <protection hidden="1"/>
    </xf>
    <xf numFmtId="166" fontId="56" fillId="63" borderId="42" xfId="5" applyNumberFormat="1" applyFont="1" applyFill="1" applyBorder="1" applyAlignment="1" applyProtection="1">
      <alignment horizontal="center" vertical="center" wrapText="1"/>
      <protection hidden="1"/>
    </xf>
    <xf numFmtId="166" fontId="56" fillId="63" borderId="43" xfId="5" applyNumberFormat="1" applyFont="1" applyFill="1" applyBorder="1" applyAlignment="1" applyProtection="1">
      <alignment horizontal="center" vertical="center" wrapText="1"/>
      <protection hidden="1"/>
    </xf>
    <xf numFmtId="0" fontId="56" fillId="63" borderId="41" xfId="0" applyFont="1" applyFill="1" applyBorder="1" applyAlignment="1" applyProtection="1">
      <alignment horizontal="center" vertical="center" wrapText="1"/>
      <protection hidden="1"/>
    </xf>
    <xf numFmtId="0" fontId="56" fillId="63" borderId="42" xfId="0" applyFont="1" applyFill="1" applyBorder="1" applyAlignment="1" applyProtection="1">
      <alignment horizontal="center" vertical="center"/>
      <protection hidden="1"/>
    </xf>
    <xf numFmtId="0" fontId="56" fillId="63" borderId="43" xfId="0" applyFont="1" applyFill="1" applyBorder="1" applyAlignment="1" applyProtection="1">
      <alignment horizontal="center" vertical="center"/>
      <protection hidden="1"/>
    </xf>
    <xf numFmtId="0" fontId="65" fillId="0" borderId="0" xfId="0" applyFont="1" applyAlignment="1" applyProtection="1">
      <alignment horizontal="left" vertical="center"/>
      <protection hidden="1"/>
    </xf>
    <xf numFmtId="0" fontId="65" fillId="0" borderId="0" xfId="0" applyFont="1" applyAlignment="1" applyProtection="1">
      <alignment horizontal="center" vertical="center"/>
      <protection hidden="1"/>
    </xf>
    <xf numFmtId="0" fontId="65" fillId="0" borderId="91" xfId="0" applyFont="1" applyBorder="1" applyAlignment="1" applyProtection="1">
      <alignment horizontal="center" vertical="center"/>
      <protection hidden="1"/>
    </xf>
    <xf numFmtId="0" fontId="65" fillId="0" borderId="93" xfId="0" applyFont="1" applyBorder="1" applyAlignment="1" applyProtection="1">
      <alignment horizontal="center" vertical="center"/>
      <protection hidden="1"/>
    </xf>
    <xf numFmtId="0" fontId="65" fillId="0" borderId="94" xfId="0" applyFont="1" applyBorder="1" applyAlignment="1" applyProtection="1">
      <alignment horizontal="center" vertical="center"/>
      <protection hidden="1"/>
    </xf>
    <xf numFmtId="0" fontId="65" fillId="0" borderId="104" xfId="0" applyFont="1" applyBorder="1" applyAlignment="1" applyProtection="1">
      <alignment horizontal="right" vertical="center"/>
      <protection hidden="1"/>
    </xf>
    <xf numFmtId="0" fontId="65" fillId="0" borderId="105" xfId="0" applyFont="1" applyBorder="1" applyAlignment="1" applyProtection="1">
      <alignment horizontal="right" vertical="center"/>
      <protection hidden="1"/>
    </xf>
    <xf numFmtId="0" fontId="76" fillId="0" borderId="104" xfId="0" applyFont="1" applyBorder="1" applyAlignment="1" applyProtection="1">
      <alignment horizontal="left" vertical="center"/>
      <protection hidden="1"/>
    </xf>
    <xf numFmtId="0" fontId="76" fillId="0" borderId="105" xfId="0" applyFont="1" applyBorder="1" applyAlignment="1" applyProtection="1">
      <alignment horizontal="left" vertical="center"/>
      <protection hidden="1"/>
    </xf>
    <xf numFmtId="0" fontId="64" fillId="0" borderId="92" xfId="0" applyFont="1" applyBorder="1" applyAlignment="1" applyProtection="1">
      <alignment horizontal="left" vertical="center" wrapText="1" indent="3"/>
      <protection hidden="1"/>
    </xf>
    <xf numFmtId="0" fontId="64" fillId="0" borderId="93" xfId="0" applyFont="1" applyBorder="1" applyAlignment="1" applyProtection="1">
      <alignment horizontal="left" vertical="center" wrapText="1" indent="3"/>
      <protection hidden="1"/>
    </xf>
    <xf numFmtId="0" fontId="71" fillId="0" borderId="92" xfId="0" applyFont="1" applyBorder="1" applyAlignment="1" applyProtection="1">
      <alignment horizontal="left" vertical="top" wrapText="1" indent="2"/>
      <protection hidden="1"/>
    </xf>
    <xf numFmtId="0" fontId="71" fillId="0" borderId="93" xfId="0" applyFont="1" applyBorder="1" applyAlignment="1" applyProtection="1">
      <alignment horizontal="left" vertical="top" wrapText="1" indent="2"/>
      <protection hidden="1"/>
    </xf>
    <xf numFmtId="0" fontId="71" fillId="0" borderId="87" xfId="0" applyFont="1" applyBorder="1" applyAlignment="1" applyProtection="1">
      <alignment horizontal="left" vertical="center" wrapText="1" indent="2"/>
      <protection hidden="1"/>
    </xf>
    <xf numFmtId="0" fontId="71" fillId="0" borderId="0" xfId="0" applyFont="1" applyAlignment="1" applyProtection="1">
      <alignment horizontal="left" vertical="center" wrapText="1" indent="2"/>
      <protection hidden="1"/>
    </xf>
    <xf numFmtId="165" fontId="74" fillId="0" borderId="87" xfId="5" applyFont="1" applyFill="1" applyBorder="1" applyAlignment="1" applyProtection="1">
      <alignment horizontal="center" vertical="center" wrapText="1"/>
      <protection hidden="1"/>
    </xf>
    <xf numFmtId="165" fontId="74" fillId="0" borderId="0" xfId="5" applyFont="1" applyFill="1" applyBorder="1" applyAlignment="1" applyProtection="1">
      <alignment horizontal="center" vertical="center" wrapText="1"/>
      <protection hidden="1"/>
    </xf>
    <xf numFmtId="0" fontId="64" fillId="0" borderId="89" xfId="0" applyFont="1" applyBorder="1" applyAlignment="1" applyProtection="1">
      <alignment horizontal="left" vertical="center" wrapText="1" indent="2"/>
      <protection hidden="1"/>
    </xf>
    <xf numFmtId="0" fontId="64" fillId="0" borderId="93" xfId="0" applyFont="1" applyBorder="1" applyAlignment="1" applyProtection="1">
      <alignment horizontal="left" vertical="center" wrapText="1" indent="1"/>
      <protection hidden="1"/>
    </xf>
    <xf numFmtId="0" fontId="64" fillId="0" borderId="0" xfId="0" applyFont="1" applyAlignment="1" applyProtection="1">
      <alignment horizontal="left" vertical="center" wrapText="1" indent="1"/>
      <protection hidden="1"/>
    </xf>
    <xf numFmtId="0" fontId="64" fillId="0" borderId="87" xfId="0" applyFont="1" applyBorder="1" applyAlignment="1" applyProtection="1">
      <alignment horizontal="left" vertical="center" wrapText="1" indent="3"/>
      <protection hidden="1"/>
    </xf>
    <xf numFmtId="0" fontId="64" fillId="0" borderId="0" xfId="0" applyFont="1" applyAlignment="1" applyProtection="1">
      <alignment horizontal="left" vertical="center" wrapText="1" indent="3"/>
      <protection hidden="1"/>
    </xf>
    <xf numFmtId="0" fontId="64" fillId="0" borderId="0" xfId="0" applyFont="1" applyAlignment="1" applyProtection="1">
      <alignment horizontal="left" vertical="center" wrapText="1" indent="2"/>
      <protection hidden="1"/>
    </xf>
    <xf numFmtId="0" fontId="64" fillId="0" borderId="87" xfId="0" applyFont="1" applyBorder="1" applyAlignment="1" applyProtection="1">
      <alignment horizontal="left" vertical="center" wrapText="1" indent="2"/>
      <protection hidden="1"/>
    </xf>
    <xf numFmtId="0" fontId="78" fillId="0" borderId="93" xfId="0" applyFont="1" applyBorder="1" applyAlignment="1" applyProtection="1">
      <alignment horizontal="left" vertical="center" wrapText="1" indent="2"/>
      <protection hidden="1"/>
    </xf>
    <xf numFmtId="0" fontId="65" fillId="0" borderId="89" xfId="0" applyFont="1" applyBorder="1" applyAlignment="1" applyProtection="1">
      <alignment horizontal="left" vertical="center" wrapText="1"/>
      <protection hidden="1"/>
    </xf>
    <xf numFmtId="0" fontId="65" fillId="0" borderId="90" xfId="0" applyFont="1" applyBorder="1" applyAlignment="1" applyProtection="1">
      <alignment horizontal="left" vertical="center" wrapText="1"/>
      <protection hidden="1"/>
    </xf>
    <xf numFmtId="0" fontId="65" fillId="0" borderId="0" xfId="0" applyFont="1" applyAlignment="1" applyProtection="1">
      <alignment horizontal="left" vertical="center" wrapText="1"/>
      <protection hidden="1"/>
    </xf>
    <xf numFmtId="0" fontId="65" fillId="0" borderId="91" xfId="0" applyFont="1" applyBorder="1" applyAlignment="1" applyProtection="1">
      <alignment horizontal="left" vertical="center" wrapText="1"/>
      <protection hidden="1"/>
    </xf>
    <xf numFmtId="0" fontId="65" fillId="0" borderId="93" xfId="0" applyFont="1" applyBorder="1" applyAlignment="1" applyProtection="1">
      <alignment horizontal="left" vertical="center" wrapText="1"/>
      <protection hidden="1"/>
    </xf>
    <xf numFmtId="0" fontId="65" fillId="0" borderId="94" xfId="0" applyFont="1" applyBorder="1" applyAlignment="1" applyProtection="1">
      <alignment horizontal="left" vertical="center" wrapText="1"/>
      <protection hidden="1"/>
    </xf>
    <xf numFmtId="0" fontId="64" fillId="0" borderId="88" xfId="0" applyFont="1" applyBorder="1" applyAlignment="1" applyProtection="1">
      <alignment horizontal="left" vertical="center" wrapText="1" indent="3"/>
      <protection hidden="1"/>
    </xf>
    <xf numFmtId="0" fontId="64" fillId="0" borderId="89" xfId="0" applyFont="1" applyBorder="1" applyAlignment="1" applyProtection="1">
      <alignment horizontal="left" vertical="center" wrapText="1" indent="3"/>
      <protection hidden="1"/>
    </xf>
    <xf numFmtId="0" fontId="62" fillId="0" borderId="93" xfId="0" applyFont="1" applyBorder="1" applyAlignment="1" applyProtection="1">
      <alignment horizontal="center" vertical="center"/>
      <protection hidden="1"/>
    </xf>
    <xf numFmtId="0" fontId="65" fillId="0" borderId="89" xfId="0" applyFont="1" applyBorder="1" applyAlignment="1" applyProtection="1">
      <alignment horizontal="center" vertical="center"/>
      <protection hidden="1"/>
    </xf>
    <xf numFmtId="0" fontId="65" fillId="0" borderId="90" xfId="0" applyFont="1" applyBorder="1" applyAlignment="1" applyProtection="1">
      <alignment horizontal="center" vertical="center"/>
      <protection hidden="1"/>
    </xf>
    <xf numFmtId="0" fontId="64" fillId="0" borderId="93" xfId="0" applyFont="1" applyBorder="1" applyAlignment="1" applyProtection="1">
      <alignment horizontal="left" vertical="center" wrapText="1" indent="2"/>
      <protection hidden="1"/>
    </xf>
    <xf numFmtId="0" fontId="81" fillId="63" borderId="0" xfId="0" applyFont="1" applyFill="1" applyAlignment="1" applyProtection="1">
      <alignment horizontal="left" vertical="center"/>
      <protection hidden="1"/>
    </xf>
    <xf numFmtId="0" fontId="65" fillId="0" borderId="93" xfId="0" applyFont="1" applyBorder="1" applyAlignment="1" applyProtection="1">
      <alignment horizontal="left" vertical="center"/>
      <protection hidden="1"/>
    </xf>
    <xf numFmtId="0" fontId="61" fillId="0" borderId="92" xfId="0" applyFont="1" applyBorder="1" applyAlignment="1" applyProtection="1">
      <alignment horizontal="left" vertical="center" indent="2"/>
      <protection hidden="1"/>
    </xf>
    <xf numFmtId="0" fontId="61" fillId="0" borderId="93" xfId="0" applyFont="1" applyBorder="1" applyAlignment="1" applyProtection="1">
      <alignment horizontal="left" vertical="center" indent="2"/>
      <protection hidden="1"/>
    </xf>
    <xf numFmtId="0" fontId="64" fillId="0" borderId="89" xfId="0" applyFont="1" applyBorder="1" applyAlignment="1" applyProtection="1">
      <alignment horizontal="left" vertical="center" wrapText="1" indent="1"/>
      <protection hidden="1"/>
    </xf>
    <xf numFmtId="0" fontId="64" fillId="0" borderId="88" xfId="0" applyFont="1" applyBorder="1" applyAlignment="1" applyProtection="1">
      <alignment horizontal="left" vertical="center" wrapText="1" indent="2"/>
      <protection hidden="1"/>
    </xf>
    <xf numFmtId="0" fontId="64" fillId="0" borderId="92" xfId="0" applyFont="1" applyBorder="1" applyAlignment="1" applyProtection="1">
      <alignment horizontal="left" vertical="center" wrapText="1" indent="2"/>
      <protection hidden="1"/>
    </xf>
    <xf numFmtId="0" fontId="64" fillId="0" borderId="87" xfId="0" applyFont="1" applyBorder="1" applyAlignment="1" applyProtection="1">
      <alignment horizontal="left" vertical="center" indent="2"/>
      <protection hidden="1"/>
    </xf>
    <xf numFmtId="0" fontId="64" fillId="0" borderId="0" xfId="0" applyFont="1" applyAlignment="1" applyProtection="1">
      <alignment horizontal="left" vertical="center" indent="2"/>
      <protection hidden="1"/>
    </xf>
    <xf numFmtId="0" fontId="35" fillId="0" borderId="103" xfId="0" applyFont="1" applyBorder="1" applyAlignment="1" applyProtection="1">
      <alignment horizontal="left" vertical="top" wrapText="1"/>
      <protection hidden="1"/>
    </xf>
    <xf numFmtId="0" fontId="96" fillId="0" borderId="92" xfId="0" applyFont="1" applyBorder="1" applyAlignment="1" applyProtection="1">
      <alignment horizontal="center" vertical="top" wrapText="1"/>
      <protection hidden="1"/>
    </xf>
    <xf numFmtId="0" fontId="96" fillId="0" borderId="93" xfId="0" applyFont="1" applyBorder="1" applyAlignment="1" applyProtection="1">
      <alignment horizontal="center" vertical="top" wrapText="1"/>
      <protection hidden="1"/>
    </xf>
    <xf numFmtId="0" fontId="64" fillId="0" borderId="87" xfId="0" applyFont="1" applyBorder="1" applyAlignment="1" applyProtection="1">
      <alignment horizontal="right" vertical="center" wrapText="1"/>
      <protection hidden="1"/>
    </xf>
    <xf numFmtId="0" fontId="64" fillId="0" borderId="0" xfId="0" applyFont="1" applyAlignment="1" applyProtection="1">
      <alignment horizontal="right" vertical="center" wrapText="1"/>
      <protection hidden="1"/>
    </xf>
    <xf numFmtId="0" fontId="65" fillId="0" borderId="87" xfId="0" applyFont="1" applyBorder="1" applyAlignment="1" applyProtection="1">
      <alignment horizontal="center" vertical="center" wrapText="1"/>
      <protection hidden="1"/>
    </xf>
    <xf numFmtId="0" fontId="65" fillId="0" borderId="0" xfId="0" applyFont="1" applyAlignment="1" applyProtection="1">
      <alignment horizontal="center" vertical="center" wrapText="1"/>
      <protection hidden="1"/>
    </xf>
    <xf numFmtId="0" fontId="65" fillId="0" borderId="92" xfId="0" applyFont="1" applyBorder="1" applyAlignment="1" applyProtection="1">
      <alignment horizontal="center" vertical="center" wrapText="1"/>
      <protection hidden="1"/>
    </xf>
    <xf numFmtId="0" fontId="65" fillId="0" borderId="93" xfId="0" applyFont="1" applyBorder="1" applyAlignment="1" applyProtection="1">
      <alignment horizontal="center" vertical="center" wrapText="1"/>
      <protection hidden="1"/>
    </xf>
    <xf numFmtId="0" fontId="65" fillId="0" borderId="94" xfId="0" applyFont="1" applyBorder="1" applyAlignment="1" applyProtection="1">
      <alignment horizontal="center" vertical="center" wrapText="1"/>
      <protection hidden="1"/>
    </xf>
    <xf numFmtId="0" fontId="62" fillId="0" borderId="88" xfId="0" quotePrefix="1" applyFont="1" applyBorder="1" applyAlignment="1" applyProtection="1">
      <alignment horizontal="center" vertical="center" wrapText="1"/>
      <protection hidden="1"/>
    </xf>
    <xf numFmtId="0" fontId="62" fillId="0" borderId="89" xfId="0" quotePrefix="1" applyFont="1" applyBorder="1" applyAlignment="1" applyProtection="1">
      <alignment horizontal="center" vertical="center" wrapText="1"/>
      <protection hidden="1"/>
    </xf>
    <xf numFmtId="0" fontId="62" fillId="0" borderId="90" xfId="0" quotePrefix="1" applyFont="1" applyBorder="1" applyAlignment="1" applyProtection="1">
      <alignment horizontal="center" vertical="center" wrapText="1"/>
      <protection hidden="1"/>
    </xf>
    <xf numFmtId="0" fontId="67" fillId="0" borderId="87" xfId="0" applyFont="1" applyBorder="1" applyAlignment="1" applyProtection="1">
      <alignment horizontal="center" vertical="center"/>
      <protection hidden="1"/>
    </xf>
    <xf numFmtId="0" fontId="67" fillId="0" borderId="0" xfId="0" applyFont="1" applyAlignment="1" applyProtection="1">
      <alignment horizontal="center" vertical="center"/>
      <protection hidden="1"/>
    </xf>
    <xf numFmtId="0" fontId="67" fillId="0" borderId="91" xfId="0" applyFont="1" applyBorder="1" applyAlignment="1" applyProtection="1">
      <alignment horizontal="center" vertical="center"/>
      <protection hidden="1"/>
    </xf>
    <xf numFmtId="0" fontId="65" fillId="0" borderId="95" xfId="0" applyFont="1" applyBorder="1" applyAlignment="1" applyProtection="1">
      <alignment horizontal="center" vertical="center"/>
      <protection hidden="1"/>
    </xf>
    <xf numFmtId="0" fontId="65" fillId="0" borderId="96" xfId="0" applyFont="1" applyBorder="1" applyAlignment="1" applyProtection="1">
      <alignment horizontal="center" vertical="center"/>
      <protection hidden="1"/>
    </xf>
    <xf numFmtId="0" fontId="65" fillId="0" borderId="97" xfId="0" applyFont="1" applyBorder="1" applyAlignment="1" applyProtection="1">
      <alignment horizontal="center" vertical="center"/>
      <protection hidden="1"/>
    </xf>
    <xf numFmtId="0" fontId="76" fillId="0" borderId="87" xfId="0" applyFont="1" applyBorder="1" applyAlignment="1" applyProtection="1">
      <alignment horizontal="right" vertical="center"/>
      <protection hidden="1"/>
    </xf>
    <xf numFmtId="0" fontId="76" fillId="0" borderId="0" xfId="0" applyFont="1" applyAlignment="1" applyProtection="1">
      <alignment horizontal="right" vertical="center"/>
      <protection hidden="1"/>
    </xf>
    <xf numFmtId="0" fontId="65" fillId="0" borderId="92" xfId="0" applyFont="1" applyBorder="1" applyAlignment="1" applyProtection="1">
      <alignment horizontal="left" vertical="top" wrapText="1" indent="1"/>
      <protection hidden="1"/>
    </xf>
    <xf numFmtId="0" fontId="65" fillId="0" borderId="93" xfId="0" applyFont="1" applyBorder="1" applyAlignment="1" applyProtection="1">
      <alignment horizontal="left" vertical="top" wrapText="1" indent="1"/>
      <protection hidden="1"/>
    </xf>
    <xf numFmtId="0" fontId="65" fillId="0" borderId="94" xfId="0" applyFont="1" applyBorder="1" applyAlignment="1" applyProtection="1">
      <alignment horizontal="left" vertical="top" wrapText="1" indent="1"/>
      <protection hidden="1"/>
    </xf>
    <xf numFmtId="0" fontId="65" fillId="0" borderId="88" xfId="0" applyFont="1" applyBorder="1" applyAlignment="1" applyProtection="1">
      <alignment horizontal="left" vertical="center" wrapText="1" indent="1"/>
      <protection hidden="1"/>
    </xf>
    <xf numFmtId="0" fontId="65" fillId="0" borderId="89" xfId="0" applyFont="1" applyBorder="1" applyAlignment="1" applyProtection="1">
      <alignment horizontal="left" vertical="center" wrapText="1" indent="1"/>
      <protection hidden="1"/>
    </xf>
    <xf numFmtId="0" fontId="65" fillId="0" borderId="90" xfId="0" applyFont="1" applyBorder="1" applyAlignment="1" applyProtection="1">
      <alignment horizontal="left" vertical="center" wrapText="1" indent="1"/>
      <protection hidden="1"/>
    </xf>
    <xf numFmtId="0" fontId="68" fillId="0" borderId="88" xfId="0" applyFont="1" applyBorder="1" applyAlignment="1" applyProtection="1">
      <alignment horizontal="left" vertical="center" wrapText="1" indent="2"/>
      <protection hidden="1"/>
    </xf>
    <xf numFmtId="0" fontId="68" fillId="0" borderId="89" xfId="0" applyFont="1" applyBorder="1" applyAlignment="1" applyProtection="1">
      <alignment horizontal="left" vertical="center" wrapText="1" indent="2"/>
      <protection hidden="1"/>
    </xf>
    <xf numFmtId="0" fontId="68" fillId="0" borderId="90" xfId="0" applyFont="1" applyBorder="1" applyAlignment="1" applyProtection="1">
      <alignment horizontal="left" vertical="center" wrapText="1" indent="2"/>
      <protection hidden="1"/>
    </xf>
    <xf numFmtId="0" fontId="71" fillId="0" borderId="91" xfId="0" applyFont="1" applyBorder="1" applyAlignment="1" applyProtection="1">
      <alignment horizontal="left" vertical="center" wrapText="1" indent="2"/>
      <protection hidden="1"/>
    </xf>
    <xf numFmtId="0" fontId="79" fillId="0" borderId="0" xfId="0" applyFont="1" applyAlignment="1" applyProtection="1">
      <alignment horizontal="left" vertical="center"/>
      <protection hidden="1"/>
    </xf>
    <xf numFmtId="0" fontId="76" fillId="0" borderId="104" xfId="0" applyFont="1" applyBorder="1" applyAlignment="1" applyProtection="1">
      <alignment horizontal="right" vertical="center"/>
      <protection hidden="1"/>
    </xf>
    <xf numFmtId="0" fontId="76" fillId="0" borderId="105" xfId="0" applyFont="1" applyBorder="1" applyAlignment="1" applyProtection="1">
      <alignment horizontal="right" vertical="center"/>
      <protection hidden="1"/>
    </xf>
    <xf numFmtId="0" fontId="64" fillId="0" borderId="92" xfId="0" applyFont="1" applyBorder="1" applyAlignment="1" applyProtection="1">
      <alignment horizontal="left" vertical="center" indent="3"/>
      <protection hidden="1"/>
    </xf>
    <xf numFmtId="0" fontId="64" fillId="0" borderId="93" xfId="0" applyFont="1" applyBorder="1" applyAlignment="1" applyProtection="1">
      <alignment horizontal="left" vertical="center" indent="3"/>
      <protection hidden="1"/>
    </xf>
    <xf numFmtId="0" fontId="35" fillId="0" borderId="89" xfId="0" applyFont="1" applyBorder="1" applyAlignment="1" applyProtection="1">
      <alignment horizontal="justify" vertical="center"/>
      <protection hidden="1"/>
    </xf>
    <xf numFmtId="0" fontId="64" fillId="0" borderId="88" xfId="0" applyFont="1" applyBorder="1" applyAlignment="1" applyProtection="1">
      <alignment horizontal="left" vertical="center" indent="3"/>
      <protection hidden="1"/>
    </xf>
    <xf numFmtId="0" fontId="64" fillId="0" borderId="89" xfId="0" applyFont="1" applyBorder="1" applyAlignment="1" applyProtection="1">
      <alignment horizontal="left" vertical="center" indent="3"/>
      <protection hidden="1"/>
    </xf>
    <xf numFmtId="0" fontId="4" fillId="0" borderId="89" xfId="0" applyFont="1" applyBorder="1" applyAlignment="1" applyProtection="1">
      <alignment horizontal="left" vertical="center"/>
      <protection hidden="1"/>
    </xf>
    <xf numFmtId="0" fontId="65" fillId="0" borderId="93" xfId="0" quotePrefix="1" applyFont="1" applyBorder="1" applyAlignment="1" applyProtection="1">
      <alignment horizontal="left" vertical="center"/>
      <protection hidden="1"/>
    </xf>
    <xf numFmtId="0" fontId="64" fillId="0" borderId="88" xfId="0" applyFont="1" applyBorder="1" applyAlignment="1" applyProtection="1">
      <alignment horizontal="left" vertical="center" indent="2"/>
      <protection hidden="1"/>
    </xf>
    <xf numFmtId="0" fontId="64" fillId="0" borderId="89" xfId="0" applyFont="1" applyBorder="1" applyAlignment="1" applyProtection="1">
      <alignment horizontal="left" vertical="center" indent="2"/>
      <protection hidden="1"/>
    </xf>
    <xf numFmtId="3" fontId="65" fillId="0" borderId="89" xfId="0" applyNumberFormat="1" applyFont="1" applyBorder="1" applyAlignment="1" applyProtection="1">
      <alignment horizontal="center" vertical="center"/>
      <protection hidden="1"/>
    </xf>
    <xf numFmtId="165" fontId="25" fillId="17" borderId="3" xfId="5" applyFont="1" applyFill="1" applyBorder="1" applyAlignment="1" applyProtection="1">
      <alignment horizontal="center" vertical="center" wrapText="1"/>
      <protection locked="0"/>
    </xf>
    <xf numFmtId="0" fontId="16" fillId="17" borderId="3" xfId="0" applyFont="1" applyFill="1" applyBorder="1" applyAlignment="1" applyProtection="1">
      <alignment horizontal="center" vertical="center"/>
      <protection locked="0"/>
    </xf>
    <xf numFmtId="0" fontId="16" fillId="17" borderId="3" xfId="0" applyFont="1" applyFill="1" applyBorder="1" applyAlignment="1" applyProtection="1">
      <alignment horizontal="center" vertical="center" wrapText="1" shrinkToFit="1"/>
      <protection locked="0"/>
    </xf>
  </cellXfs>
  <cellStyles count="113">
    <cellStyle name="20% - Énfasis1" xfId="87" builtinId="30" customBuiltin="1"/>
    <cellStyle name="20% - Énfasis2" xfId="90" builtinId="34" customBuiltin="1"/>
    <cellStyle name="20% - Énfasis3" xfId="93" builtinId="38" customBuiltin="1"/>
    <cellStyle name="20% - Énfasis4" xfId="96" builtinId="42" customBuiltin="1"/>
    <cellStyle name="20% - Énfasis5" xfId="99" builtinId="46" customBuiltin="1"/>
    <cellStyle name="20% - Énfasis6" xfId="101" builtinId="50" customBuiltin="1"/>
    <cellStyle name="40% - Énfasis1" xfId="88" builtinId="31" customBuiltin="1"/>
    <cellStyle name="40% - Énfasis2" xfId="91" builtinId="35" customBuiltin="1"/>
    <cellStyle name="40% - Énfasis3" xfId="94" builtinId="39" customBuiltin="1"/>
    <cellStyle name="40% - Énfasis4" xfId="97" builtinId="43" customBuiltin="1"/>
    <cellStyle name="40% - Énfasis5" xfId="100" builtinId="47" customBuiltin="1"/>
    <cellStyle name="40% - Énfasis6" xfId="102" builtinId="51" customBuiltin="1"/>
    <cellStyle name="60% - Énfasis1" xfId="89" builtinId="32" customBuiltin="1"/>
    <cellStyle name="60% - Énfasis2" xfId="92" builtinId="36" customBuiltin="1"/>
    <cellStyle name="60% - Énfasis3" xfId="95" builtinId="40" customBuiltin="1"/>
    <cellStyle name="60% - Énfasis4" xfId="98" builtinId="44" customBuiltin="1"/>
    <cellStyle name="60% - Énfasis5" xfId="20" builtinId="48"/>
    <cellStyle name="60% - Énfasis5 2" xfId="38"/>
    <cellStyle name="60% - Énfasis5 3" xfId="52"/>
    <cellStyle name="60% - Énfasis5 4" xfId="111"/>
    <cellStyle name="60% - Énfasis6" xfId="103" builtinId="52" customBuiltin="1"/>
    <cellStyle name="Buena" xfId="28" builtinId="26" customBuiltin="1"/>
    <cellStyle name="Cálculo" xfId="81" builtinId="22" customBuiltin="1"/>
    <cellStyle name="Celda de comprobación" xfId="83" builtinId="23" customBuiltin="1"/>
    <cellStyle name="Celda vinculada" xfId="82" builtinId="24" customBuiltin="1"/>
    <cellStyle name="Encabezado 1" xfId="74" builtinId="16" customBuiltin="1"/>
    <cellStyle name="Encabezado 4" xfId="77" builtinId="19" customBuiltin="1"/>
    <cellStyle name="Énfasis1" xfId="16" builtinId="29"/>
    <cellStyle name="Énfasis1 2" xfId="34"/>
    <cellStyle name="Énfasis1 3" xfId="48"/>
    <cellStyle name="Énfasis1 4" xfId="107"/>
    <cellStyle name="Énfasis2" xfId="18" builtinId="33"/>
    <cellStyle name="Énfasis2 2" xfId="36"/>
    <cellStyle name="Énfasis2 3" xfId="50"/>
    <cellStyle name="Énfasis2 4" xfId="108"/>
    <cellStyle name="Énfasis3" xfId="17" builtinId="37"/>
    <cellStyle name="Énfasis3 2" xfId="35"/>
    <cellStyle name="Énfasis3 3" xfId="49"/>
    <cellStyle name="Énfasis3 4" xfId="109"/>
    <cellStyle name="Énfasis4" xfId="15" builtinId="41" customBuiltin="1"/>
    <cellStyle name="Énfasis5" xfId="19" builtinId="45"/>
    <cellStyle name="Énfasis5 2" xfId="37"/>
    <cellStyle name="Énfasis5 3" xfId="51"/>
    <cellStyle name="Énfasis5 4" xfId="110"/>
    <cellStyle name="Énfasis6" xfId="21" builtinId="49"/>
    <cellStyle name="Énfasis6 2" xfId="39"/>
    <cellStyle name="Énfasis6 3" xfId="53"/>
    <cellStyle name="Énfasis6 4" xfId="112"/>
    <cellStyle name="Entrada" xfId="79" builtinId="20" customBuiltin="1"/>
    <cellStyle name="Grey" xfId="1"/>
    <cellStyle name="Header1" xfId="2"/>
    <cellStyle name="Header2" xfId="3"/>
    <cellStyle name="Hipervínculo" xfId="27" builtinId="8"/>
    <cellStyle name="Hipervínculo 2" xfId="26"/>
    <cellStyle name="Incorrecto 2" xfId="40"/>
    <cellStyle name="Incorrecto 3" xfId="54"/>
    <cellStyle name="Incorrecto 4" xfId="105"/>
    <cellStyle name="Input [yellow]" xfId="4"/>
    <cellStyle name="Millares" xfId="5" builtinId="3"/>
    <cellStyle name="Millares [0]" xfId="6" builtinId="6"/>
    <cellStyle name="Millares [0] 2" xfId="32"/>
    <cellStyle name="Millares [0] 3" xfId="45"/>
    <cellStyle name="Millares 10" xfId="72"/>
    <cellStyle name="Millares 11" xfId="62"/>
    <cellStyle name="Millares 2" xfId="22"/>
    <cellStyle name="Millares 2 2" xfId="24"/>
    <cellStyle name="Millares 3" xfId="31"/>
    <cellStyle name="Millares 4" xfId="44"/>
    <cellStyle name="Millares 5" xfId="60"/>
    <cellStyle name="Millares 6" xfId="65"/>
    <cellStyle name="Millares 7" xfId="56"/>
    <cellStyle name="Millares 8" xfId="66"/>
    <cellStyle name="Millares 9" xfId="61"/>
    <cellStyle name="Neutral" xfId="78" builtinId="28" customBuiltin="1"/>
    <cellStyle name="Normal" xfId="0" builtinId="0"/>
    <cellStyle name="Normal - Style1" xfId="7"/>
    <cellStyle name="Normal 10" xfId="29"/>
    <cellStyle name="Normal 10 2" xfId="57"/>
    <cellStyle name="Normal 11" xfId="43"/>
    <cellStyle name="Normal 12" xfId="47"/>
    <cellStyle name="Normal 13" xfId="67"/>
    <cellStyle name="Normal 14" xfId="69"/>
    <cellStyle name="Normal 15" xfId="68"/>
    <cellStyle name="Normal 16" xfId="64"/>
    <cellStyle name="Normal 17" xfId="71"/>
    <cellStyle name="Normal 18" xfId="70"/>
    <cellStyle name="Normal 19" xfId="42"/>
    <cellStyle name="Normal 2" xfId="8"/>
    <cellStyle name="Normal 20" xfId="58"/>
    <cellStyle name="Normal 21" xfId="104"/>
    <cellStyle name="Normal 3" xfId="9"/>
    <cellStyle name="Normal 4" xfId="10"/>
    <cellStyle name="Normal 5" xfId="11"/>
    <cellStyle name="Normal 6" xfId="12"/>
    <cellStyle name="Normal 7" xfId="23"/>
    <cellStyle name="Normal 8" xfId="25"/>
    <cellStyle name="Normal 8 2" xfId="41"/>
    <cellStyle name="Normal 8 2 2" xfId="59"/>
    <cellStyle name="Normal 8 3" xfId="55"/>
    <cellStyle name="Normal 9" xfId="30"/>
    <cellStyle name="Normal 9 2" xfId="63"/>
    <cellStyle name="Notas 2" xfId="106"/>
    <cellStyle name="Percent [2]" xfId="13"/>
    <cellStyle name="Porcentaje" xfId="14" builtinId="5"/>
    <cellStyle name="Porcentaje 2" xfId="33"/>
    <cellStyle name="Porcentaje 3" xfId="46"/>
    <cellStyle name="Salida" xfId="80" builtinId="21" customBuiltin="1"/>
    <cellStyle name="Texto de advertencia" xfId="84" builtinId="11" customBuiltin="1"/>
    <cellStyle name="Texto explicativo" xfId="85" builtinId="53" customBuiltin="1"/>
    <cellStyle name="Título" xfId="73" builtinId="15" customBuiltin="1"/>
    <cellStyle name="Título 2" xfId="75" builtinId="17" customBuiltin="1"/>
    <cellStyle name="Título 3" xfId="76" builtinId="18" customBuiltin="1"/>
    <cellStyle name="Total" xfId="86" builtinId="25" customBuiltin="1"/>
  </cellStyles>
  <dxfs count="59">
    <dxf>
      <fill>
        <patternFill>
          <bgColor indexed="13"/>
        </patternFill>
      </fill>
      <border>
        <left style="thin">
          <color indexed="11"/>
        </left>
        <right style="thin">
          <color indexed="11"/>
        </right>
        <top style="thin">
          <color indexed="11"/>
        </top>
        <bottom style="thin">
          <color indexed="11"/>
        </bottom>
      </border>
    </dxf>
    <dxf>
      <font>
        <color theme="0"/>
      </font>
      <border>
        <left/>
        <top/>
        <bottom/>
        <vertical/>
        <horizontal/>
      </border>
    </dxf>
    <dxf>
      <font>
        <color theme="0"/>
      </font>
      <border>
        <left/>
        <right/>
        <top/>
        <bottom/>
        <vertical/>
        <horizontal/>
      </border>
    </dxf>
    <dxf>
      <font>
        <color theme="0"/>
      </font>
      <border>
        <left/>
        <right/>
        <top/>
        <bottom/>
        <vertical/>
        <horizontal/>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rgb="FFFF0000"/>
      </font>
    </dxf>
    <dxf>
      <font>
        <condense val="0"/>
        <extend val="0"/>
        <color indexed="9"/>
      </font>
      <fill>
        <patternFill patternType="none">
          <bgColor indexed="65"/>
        </patternFill>
      </fill>
      <border>
        <left/>
        <right/>
        <top/>
        <bottom/>
      </border>
    </dxf>
    <dxf>
      <fill>
        <patternFill>
          <bgColor indexed="13"/>
        </patternFill>
      </fill>
      <border>
        <left style="thin">
          <color indexed="11"/>
        </left>
        <right style="thin">
          <color indexed="11"/>
        </right>
        <top style="thin">
          <color indexed="11"/>
        </top>
        <bottom style="thin">
          <color indexed="11"/>
        </bottom>
      </border>
    </dxf>
    <dxf>
      <font>
        <color theme="0"/>
      </font>
      <border>
        <left/>
        <right/>
        <top/>
        <bottom/>
        <vertical/>
        <horizontal/>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ont>
        <color theme="0"/>
      </font>
      <border>
        <left/>
        <top/>
        <bottom/>
        <vertical/>
        <horizontal/>
      </border>
    </dxf>
    <dxf>
      <font>
        <color theme="0"/>
      </font>
      <border>
        <left/>
        <right/>
        <top/>
        <bottom/>
        <vertical/>
        <horizontal/>
      </border>
    </dxf>
    <dxf>
      <font>
        <color theme="0"/>
      </font>
      <border>
        <left/>
        <right/>
        <top/>
        <bottom/>
        <vertical/>
        <horizontal/>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ill>
        <patternFill>
          <bgColor indexed="13"/>
        </patternFill>
      </fill>
      <border>
        <left style="thin">
          <color indexed="11"/>
        </left>
        <right style="thin">
          <color indexed="11"/>
        </right>
        <top style="thin">
          <color indexed="11"/>
        </top>
        <bottom style="thin">
          <color indexed="11"/>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rgb="FFFF0000"/>
      </font>
    </dxf>
    <dxf>
      <font>
        <condense val="0"/>
        <extend val="0"/>
        <color indexed="9"/>
      </font>
      <fill>
        <patternFill patternType="none">
          <bgColor indexed="65"/>
        </patternFill>
      </fill>
      <border>
        <left/>
        <right/>
        <top/>
        <bottom/>
      </border>
    </dxf>
    <dxf>
      <fill>
        <patternFill>
          <bgColor indexed="13"/>
        </patternFill>
      </fill>
      <border>
        <left style="thin">
          <color indexed="11"/>
        </left>
        <right style="thin">
          <color indexed="11"/>
        </right>
        <top style="thin">
          <color indexed="11"/>
        </top>
        <bottom style="thin">
          <color indexed="11"/>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border>
        <left style="thin">
          <color theme="0"/>
        </left>
        <right style="thin">
          <color theme="0"/>
        </right>
        <top style="thin">
          <color theme="0"/>
        </top>
        <bottom style="thin">
          <color theme="0"/>
        </bottom>
        <vertical/>
        <horizontal/>
      </border>
    </dxf>
    <dxf>
      <font>
        <color theme="1"/>
      </font>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colors>
    <mruColors>
      <color rgb="FFFC9E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I$4:$AI$12" sel="1" val="0"/>
</file>

<file path=xl/ctrlProps/ctrlProp2.xml><?xml version="1.0" encoding="utf-8"?>
<formControlPr xmlns="http://schemas.microsoft.com/office/spreadsheetml/2009/9/main" objectType="CheckBox" fmlaLink="'CAPTURA DP'!$B$13"/>
</file>

<file path=xl/ctrlProps/ctrlProp3.xml><?xml version="1.0" encoding="utf-8"?>
<formControlPr xmlns="http://schemas.microsoft.com/office/spreadsheetml/2009/9/main" objectType="CheckBox" fmlaLink="'CAPTURA DP'!$F$9"/>
</file>

<file path=xl/ctrlProps/ctrlProp4.xml><?xml version="1.0" encoding="utf-8"?>
<formControlPr xmlns="http://schemas.microsoft.com/office/spreadsheetml/2009/9/main" objectType="Drop" dropLines="6" dropStyle="combo" dx="16" fmlaLink="'CAPTURA DP'!$B$4" fmlaRange="DATOS!$B$4:$B$5" sel="1" val="0"/>
</file>

<file path=xl/ctrlProps/ctrlProp5.xml><?xml version="1.0" encoding="utf-8"?>
<formControlPr xmlns="http://schemas.microsoft.com/office/spreadsheetml/2009/9/main" objectType="Drop" dropStyle="combo" dx="16" fmlaLink="'CAPTURA DP'!$B$10" fmlaRange="DATOS!$AW$4:$AW$7" sel="1" val="0"/>
</file>

<file path=xl/ctrlProps/ctrlProp6.xml><?xml version="1.0" encoding="utf-8"?>
<formControlPr xmlns="http://schemas.microsoft.com/office/spreadsheetml/2009/9/main" objectType="CheckBox" checked="Checked" fmlaLink="'CAPTURA DP'!B29"/>
</file>

<file path=xl/ctrlProps/ctrlProp7.xml><?xml version="1.0" encoding="utf-8"?>
<formControlPr xmlns="http://schemas.microsoft.com/office/spreadsheetml/2009/9/main" objectType="Drop" dropStyle="combo" dx="16" fmlaLink="'CAPTURA DP'!$B$5" fmlaRange="DATOS!$T$4:$T$51" sel="26" val="25"/>
</file>

<file path=xl/ctrlProps/ctrlProp8.xml><?xml version="1.0" encoding="utf-8"?>
<formControlPr xmlns="http://schemas.microsoft.com/office/spreadsheetml/2009/9/main" objectType="Drop" dropLines="5" dropStyle="combo" dx="16" fmlaLink="'CAPTURA DP'!$B$9" fmlaRange="DATOS!$AM$4:$AM$13" sel="4" val="0"/>
</file>

<file path=xl/ctrlProps/ctrlProp9.xml><?xml version="1.0" encoding="utf-8"?>
<formControlPr xmlns="http://schemas.microsoft.com/office/spreadsheetml/2009/9/main" objectType="Drop" dropStyle="combo" dx="16" fmlaLink="'CAPTURA DP'!$F$10" fmlaRange="'CAPTURA DP'!$M$107:$M$123" sel="1" val="9"/>
</file>

<file path=xl/ctrlProps/ctrlProp10.xml><?xml version="1.0" encoding="utf-8"?>
<formControlPr xmlns="http://schemas.microsoft.com/office/spreadsheetml/2009/9/main" objectType="Radio" checked="Checked" firstButton="1" fmlaLink="'CAPTURA DP'!F16"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6" fmlaRange="DATOS!$AD$4:$AD$100" noThreeD="1" sel="61" val="0"/>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CheckBox" fmlaLink="'CAPTURA DP'!$F$12"/>
</file>

<file path=xl/ctrlProps/ctrlProp17.xml><?xml version="1.0" encoding="utf-8"?>
<formControlPr xmlns="http://schemas.microsoft.com/office/spreadsheetml/2009/9/main" objectType="Drop" dropStyle="combo" dx="16" fmlaLink="'CAPTURA DP'!$F$13" fmlaRange="'CAPTURA DP'!$M$107:$M$123" sel="1" val="0"/>
</file>

<file path=xl/ctrlProps/ctrlProp18.xml><?xml version="1.0" encoding="utf-8"?>
<formControlPr xmlns="http://schemas.microsoft.com/office/spreadsheetml/2009/9/main" objectType="CheckBox" fmlaLink="'CAPTURA DP'!$B$28"/>
</file>

<file path=xl/ctrlProps/ctrlProp19.xml><?xml version="1.0" encoding="utf-8"?>
<formControlPr xmlns="http://schemas.microsoft.com/office/spreadsheetml/2009/9/main" objectType="CheckBox" fmlaLink="'CAPTURA DP'!$F$26"/>
</file>

<file path=xl/ctrlProps/ctrlProp20.xml><?xml version="1.0" encoding="utf-8"?>
<formControlPr xmlns="http://schemas.microsoft.com/office/spreadsheetml/2009/9/main" objectType="Drop" dropStyle="combo" dx="16" fmlaLink="'CAPTURA DP'!$F$27" fmlaRange="'CAPTURA DP'!$G$95:$G$99" sel="1" val="0"/>
</file>

<file path=xl/ctrlProps/ctrlProp21.xml><?xml version="1.0" encoding="utf-8"?>
<formControlPr xmlns="http://schemas.microsoft.com/office/spreadsheetml/2009/9/main" objectType="CheckBox" checked="Checked" fmlaLink="'CAPTURA DP'!$B$29"/>
</file>

<file path=xl/ctrlProps/ctrlProp22.xml><?xml version="1.0" encoding="utf-8"?>
<formControlPr xmlns="http://schemas.microsoft.com/office/spreadsheetml/2009/9/main" objectType="Drop" dropStyle="combo" dx="22" fmlaLink="DATOS!$A$71" fmlaRange="DATOS!$B$70:$B$71" noThreeD="1" sel="1" val="0"/>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1270000</xdr:colOff>
          <xdr:row>16</xdr:row>
          <xdr:rowOff>0</xdr:rowOff>
        </xdr:from>
        <xdr:to>
          <xdr:col>4</xdr:col>
          <xdr:colOff>12700</xdr:colOff>
          <xdr:row>17</xdr:row>
          <xdr:rowOff>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xmlns=""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5</xdr:row>
          <xdr:rowOff>19050</xdr:rowOff>
        </xdr:from>
        <xdr:to>
          <xdr:col>7</xdr:col>
          <xdr:colOff>1524000</xdr:colOff>
          <xdr:row>6</xdr:row>
          <xdr:rowOff>19050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xmlns="" id="{00000000-0008-0000-00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6</xdr:row>
          <xdr:rowOff>152400</xdr:rowOff>
        </xdr:from>
        <xdr:to>
          <xdr:col>7</xdr:col>
          <xdr:colOff>1524000</xdr:colOff>
          <xdr:row>7</xdr:row>
          <xdr:rowOff>146050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xmlns="" id="{00000000-0008-0000-0000-00000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6</xdr:row>
          <xdr:rowOff>241300</xdr:rowOff>
        </xdr:from>
        <xdr:to>
          <xdr:col>4</xdr:col>
          <xdr:colOff>12700</xdr:colOff>
          <xdr:row>7</xdr:row>
          <xdr:rowOff>241300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xmlns=""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9</xdr:row>
          <xdr:rowOff>0</xdr:rowOff>
        </xdr:from>
        <xdr:to>
          <xdr:col>4</xdr:col>
          <xdr:colOff>12700</xdr:colOff>
          <xdr:row>10</xdr:row>
          <xdr:rowOff>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xmlns=""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952500</xdr:colOff>
          <xdr:row>13</xdr:row>
          <xdr:rowOff>19050</xdr:rowOff>
        </xdr:from>
        <xdr:to>
          <xdr:col>7</xdr:col>
          <xdr:colOff>88900</xdr:colOff>
          <xdr:row>14</xdr:row>
          <xdr:rowOff>12700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xmlns=""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8</xdr:row>
          <xdr:rowOff>0</xdr:rowOff>
        </xdr:from>
        <xdr:to>
          <xdr:col>4</xdr:col>
          <xdr:colOff>12700</xdr:colOff>
          <xdr:row>9</xdr:row>
          <xdr:rowOff>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xmlns=""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18</xdr:row>
          <xdr:rowOff>0</xdr:rowOff>
        </xdr:from>
        <xdr:to>
          <xdr:col>4</xdr:col>
          <xdr:colOff>12700</xdr:colOff>
          <xdr:row>19</xdr:row>
          <xdr:rowOff>0</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xmlns=""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1504950</xdr:colOff>
          <xdr:row>6</xdr:row>
          <xdr:rowOff>241300</xdr:rowOff>
        </xdr:from>
        <xdr:to>
          <xdr:col>7</xdr:col>
          <xdr:colOff>228600</xdr:colOff>
          <xdr:row>7</xdr:row>
          <xdr:rowOff>203200</xdr:rowOff>
        </xdr:to>
        <xdr:sp macro="" textlink="">
          <xdr:nvSpPr>
            <xdr:cNvPr id="2111" name="Drop Down 63" hidden="1">
              <a:extLst>
                <a:ext uri="{63B3BB69-23CF-44E3-9099-C40C66FF867C}">
                  <a14:compatExt spid="_x0000_s2111"/>
                </a:ext>
                <a:ext uri="{FF2B5EF4-FFF2-40B4-BE49-F238E27FC236}">
                  <a16:creationId xmlns:a16="http://schemas.microsoft.com/office/drawing/2014/main" xmlns=""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12700</xdr:rowOff>
        </xdr:from>
        <xdr:to>
          <xdr:col>7</xdr:col>
          <xdr:colOff>0</xdr:colOff>
          <xdr:row>20</xdr:row>
          <xdr:rowOff>0</xdr:rowOff>
        </xdr:to>
        <xdr:sp macro="" textlink="">
          <xdr:nvSpPr>
            <xdr:cNvPr id="2114" name="boton3" hidden="1">
              <a:extLst>
                <a:ext uri="{63B3BB69-23CF-44E3-9099-C40C66FF867C}">
                  <a14:compatExt spid="_x0000_s2114"/>
                </a:ext>
                <a:ext uri="{FF2B5EF4-FFF2-40B4-BE49-F238E27FC236}">
                  <a16:creationId xmlns:a16="http://schemas.microsoft.com/office/drawing/2014/main" xmlns=""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39</xdr:row>
          <xdr:rowOff>57150</xdr:rowOff>
        </xdr:to>
        <xdr:sp macro="" textlink="">
          <xdr:nvSpPr>
            <xdr:cNvPr id="2115" name="boton4" hidden="1">
              <a:extLst>
                <a:ext uri="{63B3BB69-23CF-44E3-9099-C40C66FF867C}">
                  <a14:compatExt spid="_x0000_s2115"/>
                </a:ext>
                <a:ext uri="{FF2B5EF4-FFF2-40B4-BE49-F238E27FC236}">
                  <a16:creationId xmlns:a16="http://schemas.microsoft.com/office/drawing/2014/main" xmlns=""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39</xdr:row>
          <xdr:rowOff>57150</xdr:rowOff>
        </xdr:to>
        <xdr:sp macro="" textlink="">
          <xdr:nvSpPr>
            <xdr:cNvPr id="2116" name="boton5" hidden="1">
              <a:extLst>
                <a:ext uri="{63B3BB69-23CF-44E3-9099-C40C66FF867C}">
                  <a14:compatExt spid="_x0000_s2116"/>
                </a:ext>
                <a:ext uri="{FF2B5EF4-FFF2-40B4-BE49-F238E27FC236}">
                  <a16:creationId xmlns:a16="http://schemas.microsoft.com/office/drawing/2014/main" xmlns=""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11</xdr:row>
          <xdr:rowOff>0</xdr:rowOff>
        </xdr:from>
        <xdr:to>
          <xdr:col>4</xdr:col>
          <xdr:colOff>12700</xdr:colOff>
          <xdr:row>12</xdr:row>
          <xdr:rowOff>0</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xmlns=""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39</xdr:row>
          <xdr:rowOff>57150</xdr:rowOff>
        </xdr:to>
        <xdr:sp macro="" textlink="">
          <xdr:nvSpPr>
            <xdr:cNvPr id="2120" name="boton1" hidden="1">
              <a:extLst>
                <a:ext uri="{63B3BB69-23CF-44E3-9099-C40C66FF867C}">
                  <a14:compatExt spid="_x0000_s2120"/>
                </a:ext>
                <a:ext uri="{FF2B5EF4-FFF2-40B4-BE49-F238E27FC236}">
                  <a16:creationId xmlns:a16="http://schemas.microsoft.com/office/drawing/2014/main" xmlns=""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39</xdr:row>
          <xdr:rowOff>50800</xdr:rowOff>
        </xdr:to>
        <xdr:sp macro="" textlink="">
          <xdr:nvSpPr>
            <xdr:cNvPr id="2121" name="boton2" hidden="1">
              <a:extLst>
                <a:ext uri="{63B3BB69-23CF-44E3-9099-C40C66FF867C}">
                  <a14:compatExt spid="_x0000_s2121"/>
                </a:ext>
                <a:ext uri="{FF2B5EF4-FFF2-40B4-BE49-F238E27FC236}">
                  <a16:creationId xmlns:a16="http://schemas.microsoft.com/office/drawing/2014/main" xmlns=""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8</xdr:row>
          <xdr:rowOff>133350</xdr:rowOff>
        </xdr:from>
        <xdr:to>
          <xdr:col>7</xdr:col>
          <xdr:colOff>1524000</xdr:colOff>
          <xdr:row>9</xdr:row>
          <xdr:rowOff>127000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xmlns="" id="{00000000-0008-0000-0000-00004C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1504950</xdr:colOff>
          <xdr:row>9</xdr:row>
          <xdr:rowOff>12700</xdr:rowOff>
        </xdr:from>
        <xdr:to>
          <xdr:col>7</xdr:col>
          <xdr:colOff>228600</xdr:colOff>
          <xdr:row>9</xdr:row>
          <xdr:rowOff>222250</xdr:rowOff>
        </xdr:to>
        <xdr:sp macro="" textlink="">
          <xdr:nvSpPr>
            <xdr:cNvPr id="2125" name="Drop Down 77" hidden="1">
              <a:extLst>
                <a:ext uri="{63B3BB69-23CF-44E3-9099-C40C66FF867C}">
                  <a14:compatExt spid="_x0000_s2125"/>
                </a:ext>
                <a:ext uri="{FF2B5EF4-FFF2-40B4-BE49-F238E27FC236}">
                  <a16:creationId xmlns:a16="http://schemas.microsoft.com/office/drawing/2014/main" xmlns="" id="{00000000-0008-0000-0000-00004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952500</xdr:colOff>
          <xdr:row>12</xdr:row>
          <xdr:rowOff>19050</xdr:rowOff>
        </xdr:from>
        <xdr:to>
          <xdr:col>7</xdr:col>
          <xdr:colOff>88900</xdr:colOff>
          <xdr:row>13</xdr:row>
          <xdr:rowOff>19050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xmlns="" id="{00000000-0008-0000-0000-00005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10</xdr:row>
          <xdr:rowOff>133350</xdr:rowOff>
        </xdr:from>
        <xdr:to>
          <xdr:col>7</xdr:col>
          <xdr:colOff>1524000</xdr:colOff>
          <xdr:row>11</xdr:row>
          <xdr:rowOff>127000</xdr:rowOff>
        </xdr:to>
        <xdr:sp macro="" textlink="">
          <xdr:nvSpPr>
            <xdr:cNvPr id="2134" name="Check Box 86" hidden="1">
              <a:extLst>
                <a:ext uri="{63B3BB69-23CF-44E3-9099-C40C66FF867C}">
                  <a14:compatExt spid="_x0000_s2134"/>
                </a:ext>
                <a:ext uri="{FF2B5EF4-FFF2-40B4-BE49-F238E27FC236}">
                  <a16:creationId xmlns:a16="http://schemas.microsoft.com/office/drawing/2014/main" xmlns="" id="{00000000-0008-0000-0000-00005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1504950</xdr:colOff>
          <xdr:row>11</xdr:row>
          <xdr:rowOff>12700</xdr:rowOff>
        </xdr:from>
        <xdr:to>
          <xdr:col>7</xdr:col>
          <xdr:colOff>228600</xdr:colOff>
          <xdr:row>11</xdr:row>
          <xdr:rowOff>222250</xdr:rowOff>
        </xdr:to>
        <xdr:sp macro="" textlink="">
          <xdr:nvSpPr>
            <xdr:cNvPr id="2135" name="Drop Down 87" hidden="1">
              <a:extLst>
                <a:ext uri="{63B3BB69-23CF-44E3-9099-C40C66FF867C}">
                  <a14:compatExt spid="_x0000_s2135"/>
                </a:ext>
                <a:ext uri="{FF2B5EF4-FFF2-40B4-BE49-F238E27FC236}">
                  <a16:creationId xmlns:a16="http://schemas.microsoft.com/office/drawing/2014/main" xmlns="" id="{00000000-0008-0000-0000-00005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952500</xdr:colOff>
          <xdr:row>13</xdr:row>
          <xdr:rowOff>19050</xdr:rowOff>
        </xdr:from>
        <xdr:to>
          <xdr:col>7</xdr:col>
          <xdr:colOff>88900</xdr:colOff>
          <xdr:row>14</xdr:row>
          <xdr:rowOff>19050</xdr:rowOff>
        </xdr:to>
        <xdr:sp macro="" textlink="">
          <xdr:nvSpPr>
            <xdr:cNvPr id="2139" name="Check Box 91" hidden="1">
              <a:extLst>
                <a:ext uri="{63B3BB69-23CF-44E3-9099-C40C66FF867C}">
                  <a14:compatExt spid="_x0000_s2139"/>
                </a:ext>
                <a:ext uri="{FF2B5EF4-FFF2-40B4-BE49-F238E27FC236}">
                  <a16:creationId xmlns:a16="http://schemas.microsoft.com/office/drawing/2014/main" xmlns="" id="{00000000-0008-0000-0000-00005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1441450</xdr:colOff>
          <xdr:row>0</xdr:row>
          <xdr:rowOff>381000</xdr:rowOff>
        </xdr:from>
        <xdr:to>
          <xdr:col>5</xdr:col>
          <xdr:colOff>12700</xdr:colOff>
          <xdr:row>2</xdr:row>
          <xdr:rowOff>0</xdr:rowOff>
        </xdr:to>
        <xdr:sp macro="" textlink="">
          <xdr:nvSpPr>
            <xdr:cNvPr id="6147" name="Drop Down 3" hidden="1">
              <a:extLst>
                <a:ext uri="{63B3BB69-23CF-44E3-9099-C40C66FF867C}">
                  <a14:compatExt spid="_x0000_s6147"/>
                </a:ext>
                <a:ext uri="{FF2B5EF4-FFF2-40B4-BE49-F238E27FC236}">
                  <a16:creationId xmlns:a16="http://schemas.microsoft.com/office/drawing/2014/main" xmlns=""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11</xdr:col>
      <xdr:colOff>133220</xdr:colOff>
      <xdr:row>0</xdr:row>
      <xdr:rowOff>56029</xdr:rowOff>
    </xdr:from>
    <xdr:to>
      <xdr:col>12</xdr:col>
      <xdr:colOff>2498911</xdr:colOff>
      <xdr:row>2</xdr:row>
      <xdr:rowOff>22411</xdr:rowOff>
    </xdr:to>
    <xdr:pic>
      <xdr:nvPicPr>
        <xdr:cNvPr id="13313" name="Picture 101" descr="C:\unzipped\bmp color\bmp color\OE logotipo SegA 200.bmp">
          <a:extLst>
            <a:ext uri="{FF2B5EF4-FFF2-40B4-BE49-F238E27FC236}">
              <a16:creationId xmlns:a16="http://schemas.microsoft.com/office/drawing/2014/main" xmlns="" id="{00000000-0008-0000-0300-0000013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817779" y="56029"/>
          <a:ext cx="2657044" cy="930088"/>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133220</xdr:colOff>
      <xdr:row>0</xdr:row>
      <xdr:rowOff>56029</xdr:rowOff>
    </xdr:from>
    <xdr:to>
      <xdr:col>12</xdr:col>
      <xdr:colOff>2498911</xdr:colOff>
      <xdr:row>2</xdr:row>
      <xdr:rowOff>22411</xdr:rowOff>
    </xdr:to>
    <xdr:pic>
      <xdr:nvPicPr>
        <xdr:cNvPr id="2" name="Picture 101" descr="C:\unzipped\bmp color\bmp color\OE logotipo SegA 200.bmp">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810495" y="56029"/>
          <a:ext cx="2651441" cy="918882"/>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vmlDrawing" Target="../drawings/vmlDrawing1.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png"/><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2.xml"/><Relationship Id="rId4" Type="http://schemas.openxmlformats.org/officeDocument/2006/relationships/image" Target="../media/image1.png"/></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inegi.org.mx/temas/uma/" TargetMode="External"/><Relationship Id="rId1" Type="http://schemas.openxmlformats.org/officeDocument/2006/relationships/hyperlink" Target="http://www.segurosatlas.com.mx/OficinasAtencion.html" TargetMode="Externa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inegi.org.mx/temas/uma/" TargetMode="External"/><Relationship Id="rId1" Type="http://schemas.openxmlformats.org/officeDocument/2006/relationships/hyperlink" Target="http://www.segurosatlas.com.mx/OficinasAtencion.html" TargetMode="Externa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N52"/>
  <sheetViews>
    <sheetView showGridLines="0" tabSelected="1" zoomScaleNormal="100" workbookViewId="0">
      <selection activeCell="C4" sqref="C4:I4"/>
    </sheetView>
  </sheetViews>
  <sheetFormatPr baseColWidth="10" defaultColWidth="0" defaultRowHeight="12.5" zeroHeight="1"/>
  <cols>
    <col min="1" max="2" width="19.1796875" customWidth="1"/>
    <col min="3" max="3" width="29.7265625" customWidth="1"/>
    <col min="4" max="4" width="16" hidden="1" customWidth="1"/>
    <col min="5" max="5" width="13" customWidth="1"/>
    <col min="6" max="6" width="24.453125" customWidth="1"/>
    <col min="7" max="7" width="17" customWidth="1"/>
    <col min="8" max="8" width="24.453125" customWidth="1"/>
    <col min="9" max="9" width="17" customWidth="1"/>
    <col min="10" max="11" width="12.26953125" customWidth="1"/>
    <col min="12" max="13" width="12.26953125" hidden="1" customWidth="1"/>
    <col min="14" max="14" width="7.54296875" hidden="1" customWidth="1"/>
    <col min="15" max="16384" width="4.26953125" hidden="1"/>
  </cols>
  <sheetData>
    <row r="1" spans="1:12" ht="20.149999999999999" customHeight="1">
      <c r="A1" s="550" t="s">
        <v>530</v>
      </c>
      <c r="B1" s="550"/>
      <c r="C1" s="550"/>
      <c r="D1" s="550"/>
      <c r="E1" s="550"/>
      <c r="F1" s="550"/>
      <c r="G1" s="550"/>
      <c r="H1" s="550"/>
      <c r="I1" s="550"/>
      <c r="J1" s="414"/>
      <c r="K1" s="414"/>
    </row>
    <row r="2" spans="1:12" ht="20.149999999999999" customHeight="1">
      <c r="A2" s="551" t="s">
        <v>524</v>
      </c>
      <c r="B2" s="552"/>
      <c r="C2" s="552"/>
      <c r="D2" s="552"/>
      <c r="E2" s="552"/>
      <c r="F2" s="552"/>
      <c r="G2" s="552"/>
      <c r="H2" s="552"/>
      <c r="I2" s="552"/>
      <c r="J2" s="414"/>
      <c r="K2" s="414"/>
    </row>
    <row r="3" spans="1:12" ht="20.25" customHeight="1">
      <c r="A3" s="553" t="s">
        <v>504</v>
      </c>
      <c r="B3" s="553"/>
      <c r="C3" s="553"/>
      <c r="D3" s="553"/>
      <c r="E3" s="553"/>
      <c r="F3" s="553"/>
      <c r="G3" s="553"/>
      <c r="H3" s="553"/>
      <c r="I3" s="553"/>
      <c r="J3" s="415"/>
      <c r="K3" s="415"/>
    </row>
    <row r="4" spans="1:12" ht="20.25" customHeight="1">
      <c r="A4" s="554" t="s">
        <v>414</v>
      </c>
      <c r="B4" s="554"/>
      <c r="C4" s="556"/>
      <c r="D4" s="556"/>
      <c r="E4" s="556"/>
      <c r="F4" s="556"/>
      <c r="G4" s="556"/>
      <c r="H4" s="556"/>
      <c r="I4" s="556"/>
      <c r="J4" s="207"/>
      <c r="K4" s="318"/>
      <c r="L4" s="221"/>
    </row>
    <row r="5" spans="1:12" ht="20.25" customHeight="1" thickBot="1">
      <c r="A5" s="416"/>
      <c r="B5" s="416"/>
      <c r="C5" s="416"/>
      <c r="D5" s="416"/>
      <c r="E5" s="416"/>
      <c r="F5" s="416"/>
      <c r="G5" s="416"/>
      <c r="H5" s="416"/>
      <c r="I5" s="416"/>
    </row>
    <row r="6" spans="1:12" ht="20.25" customHeight="1" thickTop="1" thickBot="1">
      <c r="A6" s="554" t="s">
        <v>84</v>
      </c>
      <c r="B6" s="554"/>
      <c r="C6" s="417">
        <f ca="1">+TODAY()</f>
        <v>45478</v>
      </c>
      <c r="D6" s="418"/>
      <c r="E6" s="416"/>
      <c r="F6" s="460" t="s">
        <v>87</v>
      </c>
      <c r="G6" s="463"/>
      <c r="H6" s="454"/>
      <c r="I6" s="454"/>
      <c r="J6" s="320"/>
      <c r="K6" s="320"/>
    </row>
    <row r="7" spans="1:12" ht="20.25" customHeight="1" thickTop="1">
      <c r="A7" s="555" t="str">
        <f ca="1">+IF(C6="","La cotización no será válida sin fecha de Inicio de Vigencia",IF((C6-1)&gt;=DATOS!B23,"Cambiar fecha de inicio de vigencia antes del "&amp;TEXT(DATOS!B23,"dd/mm/aaaa"),""))</f>
        <v/>
      </c>
      <c r="B7" s="555"/>
      <c r="C7" s="555"/>
      <c r="D7" s="419"/>
      <c r="E7" s="419"/>
      <c r="F7" s="461" t="s">
        <v>319</v>
      </c>
      <c r="G7" s="464"/>
      <c r="H7" s="456"/>
      <c r="I7" s="456"/>
      <c r="J7" s="457"/>
      <c r="K7" s="321"/>
    </row>
    <row r="8" spans="1:12" ht="20.25" customHeight="1" thickBot="1">
      <c r="A8" s="554" t="s">
        <v>104</v>
      </c>
      <c r="B8" s="554"/>
      <c r="C8" s="420"/>
      <c r="D8" s="421">
        <f>+'CAPTURA DP'!B4</f>
        <v>1</v>
      </c>
      <c r="E8" s="458"/>
      <c r="F8" s="462" t="s">
        <v>299</v>
      </c>
      <c r="G8" s="465"/>
      <c r="H8" s="455"/>
      <c r="I8" s="455"/>
      <c r="J8" s="133"/>
      <c r="K8" s="133"/>
    </row>
    <row r="9" spans="1:12" ht="20.25" customHeight="1" thickTop="1">
      <c r="A9" s="554" t="s">
        <v>415</v>
      </c>
      <c r="B9" s="554"/>
      <c r="C9" s="422"/>
      <c r="D9" s="421">
        <f>1-'CAPTURA DP'!B17</f>
        <v>0.15000000000000002</v>
      </c>
      <c r="E9" s="458"/>
      <c r="F9" s="461" t="s">
        <v>219</v>
      </c>
      <c r="G9" s="464"/>
      <c r="H9" s="456"/>
      <c r="I9" s="456"/>
      <c r="J9" s="133"/>
      <c r="K9" s="321"/>
    </row>
    <row r="10" spans="1:12" ht="20.25" customHeight="1" thickBot="1">
      <c r="A10" s="554" t="s">
        <v>508</v>
      </c>
      <c r="B10" s="554"/>
      <c r="C10" s="416"/>
      <c r="D10" s="421">
        <f>+'CAPTURA DP'!B18</f>
        <v>1</v>
      </c>
      <c r="E10" s="459"/>
      <c r="F10" s="462" t="s">
        <v>299</v>
      </c>
      <c r="G10" s="465"/>
      <c r="H10" s="455"/>
      <c r="I10" s="455"/>
      <c r="J10" s="322"/>
      <c r="K10" s="321"/>
    </row>
    <row r="11" spans="1:12" ht="20.25" customHeight="1" thickTop="1">
      <c r="A11" s="558" t="str">
        <f>+IF(AND('CAPTURA DP'!B10=4,DATOS!AW2=0,'CAPTURA DP'!F18="no"),"Seleccionar un CUA válido.","")</f>
        <v/>
      </c>
      <c r="B11" s="558"/>
      <c r="C11" s="558"/>
      <c r="E11" s="459"/>
      <c r="F11" s="461" t="s">
        <v>422</v>
      </c>
      <c r="G11" s="464"/>
      <c r="H11" s="456"/>
      <c r="I11" s="456"/>
      <c r="J11" s="133"/>
      <c r="K11" s="321"/>
    </row>
    <row r="12" spans="1:12" ht="20.25" customHeight="1" thickBot="1">
      <c r="A12" s="554" t="s">
        <v>85</v>
      </c>
      <c r="B12" s="554">
        <v>9</v>
      </c>
      <c r="C12" s="416"/>
      <c r="D12" s="421">
        <f>+'CAPTURA DP'!B19</f>
        <v>1.2575000000000001</v>
      </c>
      <c r="E12" s="423"/>
      <c r="F12" s="462" t="s">
        <v>299</v>
      </c>
      <c r="G12" s="465"/>
      <c r="H12" s="455"/>
      <c r="I12" s="455"/>
      <c r="J12" s="133"/>
      <c r="K12" s="321"/>
    </row>
    <row r="13" spans="1:12" ht="20.25" customHeight="1" thickTop="1" thickBot="1">
      <c r="A13" s="557" t="str">
        <f>IF(AND(p=1,'CAPTURA DP'!B6&lt;9),"La Suma Asegurada seleccionada sólo aplica para plan Óptimo.",IF(AND(p=2,'CAPTURA DP'!B6&gt;5),"Seleccionar una Suma Asegurada válida.",""))</f>
        <v/>
      </c>
      <c r="B13" s="557"/>
      <c r="C13" s="557"/>
      <c r="D13" s="416"/>
      <c r="E13" s="453"/>
      <c r="F13" s="460" t="s">
        <v>421</v>
      </c>
      <c r="G13" s="463"/>
      <c r="H13" s="562" t="str">
        <f>IF('CAPTURA DP'!C28="SI","¡Atención: está cotizando con IVA Fronterizo!","")</f>
        <v/>
      </c>
      <c r="I13" s="562"/>
      <c r="J13" s="133"/>
      <c r="K13" s="321"/>
    </row>
    <row r="14" spans="1:12" ht="20.25" customHeight="1" thickTop="1" thickBot="1">
      <c r="A14" s="554" t="s">
        <v>86</v>
      </c>
      <c r="B14" s="554"/>
      <c r="C14" s="452">
        <v>7</v>
      </c>
      <c r="D14" s="421">
        <f>+'CAPTURA DP'!B20</f>
        <v>0.91269999999999996</v>
      </c>
      <c r="E14" s="424"/>
      <c r="F14" s="461" t="s">
        <v>420</v>
      </c>
      <c r="G14" s="464"/>
      <c r="H14" s="562"/>
      <c r="I14" s="562"/>
      <c r="J14" s="133"/>
      <c r="K14" s="321"/>
    </row>
    <row r="15" spans="1:12" ht="20.25" customHeight="1" thickTop="1">
      <c r="A15" s="554" t="str">
        <f>+IF(AND(C14&gt;=6,C14&lt;51,p=1),"¿El Deducible aplica en accidente? (S/N)","")</f>
        <v>¿El Deducible aplica en accidente? (S/N)</v>
      </c>
      <c r="B15" s="554"/>
      <c r="C15" s="450" t="s">
        <v>532</v>
      </c>
      <c r="D15" s="421">
        <f>+IF(A15="",1,2)</f>
        <v>2</v>
      </c>
      <c r="E15" s="425"/>
      <c r="F15" s="564" t="s">
        <v>503</v>
      </c>
      <c r="G15" s="564"/>
      <c r="H15" s="564"/>
      <c r="I15" s="466"/>
      <c r="J15" s="133"/>
      <c r="K15" s="321"/>
    </row>
    <row r="16" spans="1:12" ht="20.25" customHeight="1">
      <c r="A16" s="558" t="str">
        <f>IF(p=1,IF(OR(C14&lt;5,C14&gt;50),"El deducible mínimo es 5 y el máximo 50 UMAM",""),IF(ISERROR(A29),"Los deducibles pueden ser:  2,000,  2,500,  3,000,  3,500,  4,000,  4,500 o 5,000 DLLS",""))</f>
        <v/>
      </c>
      <c r="B16" s="558"/>
      <c r="C16" s="558"/>
      <c r="D16" s="558"/>
      <c r="E16" s="558"/>
      <c r="J16" s="319"/>
      <c r="K16" s="319"/>
    </row>
    <row r="17" spans="1:11" ht="20.25" customHeight="1">
      <c r="A17" s="554" t="s">
        <v>59</v>
      </c>
      <c r="B17" s="554"/>
      <c r="C17" s="426"/>
      <c r="D17" s="421">
        <f>+'CAPTURA DP'!B21</f>
        <v>1</v>
      </c>
      <c r="E17" s="427"/>
      <c r="J17" s="133"/>
      <c r="K17" s="319"/>
    </row>
    <row r="18" spans="1:11" ht="20.25" customHeight="1">
      <c r="A18" s="563" t="str">
        <f>IF(AND(p=2,'CAPTURA DP'!B8&gt;1),"El coaseguro debe ser 10%","")</f>
        <v/>
      </c>
      <c r="B18" s="563"/>
      <c r="C18" s="563"/>
      <c r="D18" s="416"/>
      <c r="E18" s="428"/>
      <c r="J18" s="323"/>
      <c r="K18" s="319"/>
    </row>
    <row r="19" spans="1:11" ht="20.25" customHeight="1">
      <c r="A19" s="554" t="s">
        <v>88</v>
      </c>
      <c r="B19" s="554"/>
      <c r="C19" s="416"/>
      <c r="D19" s="429">
        <f>+'CAPTURA DP'!B22</f>
        <v>1.0159</v>
      </c>
      <c r="E19" s="416"/>
      <c r="J19" s="133"/>
      <c r="K19" s="319"/>
    </row>
    <row r="20" spans="1:11" ht="20.25" customHeight="1" thickBot="1">
      <c r="A20" s="563" t="str">
        <f>IF(AND(p=2,'CAPTURA DP'!B9&gt;=7),"Tope de coaseguro no permitido.","")</f>
        <v/>
      </c>
      <c r="B20" s="563"/>
      <c r="C20" s="563"/>
      <c r="D20" s="416"/>
      <c r="E20" s="416"/>
      <c r="J20" s="319"/>
      <c r="K20" s="319"/>
    </row>
    <row r="21" spans="1:11" ht="15" thickBot="1">
      <c r="A21" s="430" t="s">
        <v>454</v>
      </c>
      <c r="B21" s="559"/>
      <c r="C21" s="560"/>
      <c r="D21" s="432"/>
      <c r="E21" s="430" t="s">
        <v>455</v>
      </c>
      <c r="F21" s="431"/>
      <c r="G21" s="433" t="s">
        <v>456</v>
      </c>
      <c r="H21" s="561"/>
      <c r="I21" s="560"/>
      <c r="J21" s="133"/>
      <c r="K21" s="319"/>
    </row>
    <row r="22" spans="1:11" ht="14.5" hidden="1">
      <c r="A22" s="434"/>
      <c r="B22" s="416"/>
      <c r="C22" s="447" t="str">
        <f ca="1">+'CARTA-COTIZACION'!G49</f>
        <v/>
      </c>
      <c r="D22" s="448" t="str">
        <f ca="1">+'CARTA-COTIZACION'!J49</f>
        <v/>
      </c>
      <c r="E22" s="447" t="str">
        <f ca="1">+'CARTA-COTIZACION'!M49</f>
        <v/>
      </c>
      <c r="F22" s="435" t="s">
        <v>112</v>
      </c>
      <c r="G22" s="436">
        <v>1</v>
      </c>
      <c r="J22" s="22"/>
      <c r="K22" s="21"/>
    </row>
    <row r="23" spans="1:11" ht="14.5" hidden="1">
      <c r="A23" s="437"/>
      <c r="B23" s="435" t="s">
        <v>108</v>
      </c>
      <c r="C23" s="449">
        <f ca="1">+'CARTA-COTIZACION'!G60</f>
        <v>0</v>
      </c>
      <c r="D23" s="449">
        <f ca="1">+'CARTA-COTIZACION'!J60</f>
        <v>0</v>
      </c>
      <c r="E23" s="449">
        <f ca="1">+'CARTA-COTIZACION'!M60</f>
        <v>0</v>
      </c>
      <c r="J23" s="21"/>
      <c r="K23" s="21"/>
    </row>
    <row r="24" spans="1:11" ht="13" hidden="1">
      <c r="A24" s="437"/>
      <c r="B24" s="416"/>
      <c r="C24" s="416"/>
      <c r="D24" s="416"/>
      <c r="E24" s="416"/>
      <c r="J24" s="21"/>
      <c r="K24" s="21"/>
    </row>
    <row r="25" spans="1:11" ht="13" hidden="1">
      <c r="A25" s="437"/>
      <c r="B25" s="437"/>
      <c r="C25" s="416"/>
      <c r="D25" s="416"/>
      <c r="E25" s="416"/>
      <c r="J25" s="21"/>
      <c r="K25" s="21"/>
    </row>
    <row r="26" spans="1:11" ht="13" hidden="1">
      <c r="A26" s="437"/>
      <c r="B26" s="437"/>
      <c r="C26" s="438"/>
      <c r="D26" s="439"/>
      <c r="E26" s="439"/>
      <c r="J26" s="21"/>
      <c r="K26" s="21"/>
    </row>
    <row r="27" spans="1:11" ht="13" hidden="1">
      <c r="A27" s="437"/>
      <c r="B27" s="437"/>
      <c r="C27" s="437"/>
      <c r="D27" s="439"/>
      <c r="E27" s="437"/>
      <c r="J27" s="21"/>
      <c r="K27" s="21"/>
    </row>
    <row r="28" spans="1:11" ht="14.5" hidden="1">
      <c r="A28" s="440" t="s">
        <v>361</v>
      </c>
      <c r="C28" s="442" t="s">
        <v>105</v>
      </c>
      <c r="D28" s="443"/>
      <c r="E28" s="437"/>
      <c r="J28" s="21"/>
      <c r="K28" s="21"/>
    </row>
    <row r="29" spans="1:11" ht="14.5" hidden="1">
      <c r="A29" s="440" t="e">
        <f>+VLOOKUP(C14,$A$30:$A$36,1,0)</f>
        <v>#N/A</v>
      </c>
      <c r="C29" s="445" t="s">
        <v>85</v>
      </c>
      <c r="D29" s="444">
        <f>+IF(OR(A13="La Suma Asegurada seleccionada sólo aplica para plan Óptimo.",A13=""),0,1)</f>
        <v>0</v>
      </c>
      <c r="E29" s="437"/>
      <c r="J29" s="21"/>
      <c r="K29" s="21"/>
    </row>
    <row r="30" spans="1:11" ht="14.5" hidden="1">
      <c r="A30" s="441">
        <v>2000</v>
      </c>
      <c r="C30" s="445" t="s">
        <v>252</v>
      </c>
      <c r="D30" s="446">
        <f>+IF(A11="",0,1)</f>
        <v>0</v>
      </c>
      <c r="E30" s="416"/>
    </row>
    <row r="31" spans="1:11" ht="14.5" hidden="1">
      <c r="A31" s="441">
        <v>2500</v>
      </c>
      <c r="C31" s="445" t="s">
        <v>106</v>
      </c>
      <c r="D31" s="446">
        <f>+IF(A16="",0,1)</f>
        <v>0</v>
      </c>
      <c r="E31" s="416"/>
    </row>
    <row r="32" spans="1:11" ht="14.5" hidden="1">
      <c r="A32" s="441">
        <v>3000</v>
      </c>
      <c r="C32" s="445" t="s">
        <v>59</v>
      </c>
      <c r="D32" s="446">
        <f>+IF(A18="",0,1)</f>
        <v>0</v>
      </c>
      <c r="E32" s="416"/>
    </row>
    <row r="33" spans="1:9" ht="14.5" hidden="1">
      <c r="A33" s="441">
        <v>3500</v>
      </c>
      <c r="C33" s="445" t="s">
        <v>107</v>
      </c>
      <c r="D33" s="446">
        <f>+IF(A20="",0,1)</f>
        <v>0</v>
      </c>
      <c r="E33" s="416"/>
    </row>
    <row r="34" spans="1:9" ht="14.5" hidden="1">
      <c r="A34" s="441">
        <v>4000</v>
      </c>
      <c r="C34" s="445" t="s">
        <v>276</v>
      </c>
      <c r="D34" s="446">
        <f ca="1">+IF(A7="",0,1)</f>
        <v>0</v>
      </c>
      <c r="E34" s="416"/>
    </row>
    <row r="35" spans="1:9" ht="14.5" hidden="1">
      <c r="A35" s="441">
        <v>4500</v>
      </c>
      <c r="C35" s="445" t="s">
        <v>493</v>
      </c>
      <c r="D35" s="446">
        <f ca="1">+IF('CAPTURA LISTADO'!K16&gt;=1,1,0)</f>
        <v>1</v>
      </c>
      <c r="E35" s="416"/>
    </row>
    <row r="36" spans="1:9" ht="14.5" hidden="1">
      <c r="A36" s="441">
        <v>5000</v>
      </c>
      <c r="C36" s="445"/>
      <c r="D36" s="446"/>
      <c r="E36" s="416"/>
    </row>
    <row r="37" spans="1:9" ht="14.5" hidden="1">
      <c r="A37" s="416"/>
      <c r="C37" s="445"/>
      <c r="D37" s="446"/>
      <c r="E37" s="416"/>
    </row>
    <row r="38" spans="1:9" ht="14.5" hidden="1">
      <c r="A38" s="416"/>
      <c r="C38" s="445"/>
      <c r="D38" s="446"/>
      <c r="E38" s="416"/>
    </row>
    <row r="39" spans="1:9" ht="14.5" hidden="1">
      <c r="A39" s="416"/>
      <c r="C39" s="442" t="s">
        <v>36</v>
      </c>
      <c r="D39" s="444">
        <f ca="1">SUM(D29:D38)</f>
        <v>1</v>
      </c>
      <c r="E39" s="416"/>
    </row>
    <row r="40" spans="1:9" ht="13">
      <c r="A40" s="416"/>
      <c r="B40" s="416"/>
      <c r="C40" s="416"/>
      <c r="D40" s="416"/>
      <c r="E40" s="416"/>
    </row>
    <row r="41" spans="1:9" ht="13">
      <c r="A41" s="416"/>
      <c r="B41" s="416"/>
      <c r="C41" s="416"/>
      <c r="D41" s="416"/>
      <c r="E41" s="416"/>
    </row>
    <row r="42" spans="1:9" ht="13">
      <c r="A42" s="416"/>
      <c r="B42" s="416"/>
      <c r="C42" s="416"/>
      <c r="D42" s="416"/>
      <c r="E42" s="416"/>
    </row>
    <row r="43" spans="1:9" ht="13">
      <c r="A43" s="416"/>
      <c r="B43" s="416"/>
      <c r="C43" s="416"/>
      <c r="D43" s="416"/>
      <c r="E43" s="416"/>
      <c r="I43" s="416"/>
    </row>
    <row r="44" spans="1:9"/>
    <row r="45" spans="1:9"/>
    <row r="46" spans="1:9"/>
    <row r="47" spans="1:9"/>
    <row r="49" hidden="1"/>
    <row r="50" hidden="1"/>
    <row r="51" hidden="1"/>
    <row r="52" hidden="1"/>
  </sheetData>
  <sheetProtection algorithmName="SHA-512" hashValue="iQcRsYx9OFLI2QJZhJMh/hR+/rPnYGDjO0mIy/5d0gWlOOFOj4wZGLuOzmku1zFGkeTcAh9LOqOSDOYbomDHjQ==" saltValue="qASRtErRC+3Mw04cHGjEvQ==" spinCount="100000" sheet="1" objects="1" scenarios="1"/>
  <mergeCells count="25">
    <mergeCell ref="B21:C21"/>
    <mergeCell ref="H21:I21"/>
    <mergeCell ref="H13:I13"/>
    <mergeCell ref="A18:C18"/>
    <mergeCell ref="A20:C20"/>
    <mergeCell ref="A19:B19"/>
    <mergeCell ref="F15:H15"/>
    <mergeCell ref="H14:I14"/>
    <mergeCell ref="A8:B8"/>
    <mergeCell ref="A7:C7"/>
    <mergeCell ref="C4:I4"/>
    <mergeCell ref="A12:B12"/>
    <mergeCell ref="A17:B17"/>
    <mergeCell ref="A9:B9"/>
    <mergeCell ref="A15:B15"/>
    <mergeCell ref="A10:B10"/>
    <mergeCell ref="A13:C13"/>
    <mergeCell ref="A11:C11"/>
    <mergeCell ref="A14:B14"/>
    <mergeCell ref="A16:E16"/>
    <mergeCell ref="A1:I1"/>
    <mergeCell ref="A2:I2"/>
    <mergeCell ref="A3:I3"/>
    <mergeCell ref="A4:B4"/>
    <mergeCell ref="A6:B6"/>
  </mergeCells>
  <phoneticPr fontId="9" type="noConversion"/>
  <conditionalFormatting sqref="A13">
    <cfRule type="expression" dxfId="58" priority="46">
      <formula>$A$13&lt;&gt;""</formula>
    </cfRule>
  </conditionalFormatting>
  <conditionalFormatting sqref="A16">
    <cfRule type="expression" dxfId="57" priority="45">
      <formula>$A$16&lt;&gt;""</formula>
    </cfRule>
  </conditionalFormatting>
  <conditionalFormatting sqref="A18:C18">
    <cfRule type="expression" dxfId="56" priority="43">
      <formula>$A$18&lt;&gt;""</formula>
    </cfRule>
  </conditionalFormatting>
  <conditionalFormatting sqref="A20:C20">
    <cfRule type="expression" dxfId="55" priority="42">
      <formula>$A$20&lt;&gt;""</formula>
    </cfRule>
  </conditionalFormatting>
  <conditionalFormatting sqref="A11:C11">
    <cfRule type="expression" dxfId="54" priority="39">
      <formula>$A$11&lt;&gt;""</formula>
    </cfRule>
  </conditionalFormatting>
  <conditionalFormatting sqref="A7:C7">
    <cfRule type="expression" dxfId="53" priority="6">
      <formula>$A$7&lt;&gt;""</formula>
    </cfRule>
  </conditionalFormatting>
  <conditionalFormatting sqref="C15">
    <cfRule type="expression" dxfId="52" priority="166" stopIfTrue="1">
      <formula>AND($C$14&gt;=6,$C$14&lt;=50,#REF!&lt;4)</formula>
    </cfRule>
  </conditionalFormatting>
  <conditionalFormatting sqref="I15">
    <cfRule type="expression" dxfId="51" priority="1">
      <formula>$F$15&lt;&gt;""</formula>
    </cfRule>
  </conditionalFormatting>
  <dataValidations xWindow="1058" yWindow="683" count="4">
    <dataValidation type="date" allowBlank="1" showInputMessage="1" showErrorMessage="1" errorTitle="FECHA DE INICIO DE VIGENCIA" error="La fecha de inicio de vigencia debe ser a partir del 01/05/2013 y hasta el 30/04/2014." promptTitle="FECHA DE INICIO DE VIGENCIA" sqref="J6">
      <formula1>R4</formula1>
      <formula2>S4</formula2>
    </dataValidation>
    <dataValidation type="custom" allowBlank="1" showInputMessage="1" showErrorMessage="1" error="Introducir &quot;S&quot; si se requiere que el deducible aplique en Accidente._x000a_Introducir &quot;N&quot; si se requiere que el deducible NO aplique en Accidente." sqref="C15">
      <formula1>OR(C15="N",C15="S")</formula1>
    </dataValidation>
    <dataValidation type="date" allowBlank="1" showInputMessage="1" showErrorMessage="1" error="LA FECHA DE INICIO DE VIGENCIA DEBE ESTAR ENTRE EL 01/05/2007 Y EL 30/04/2008" sqref="J7 E7">
      <formula1>#REF!</formula1>
      <formula2>N7</formula2>
    </dataValidation>
    <dataValidation type="decimal" allowBlank="1" showInputMessage="1" showErrorMessage="1" errorTitle="Cesión de comisión no permitida." error="Elija valores que van de 0% en dado caso de no querer ceder comisión hasta 100% en dado caso de querer ceder toda la comisión._x000a_" promptTitle="Esquema diferenciado por edad" prompt="La comisión será diferenciada por rangos de edad:_x000a_- Edad de  0- 49 Comisión del 18%_x000a_- Edad de 50-59 Comisión del 15%_x000a_- Edad de 60 en adelante Comisión del 12%_x000a_En caso de ceder comisión, tendrá que elegir el porcentaje que desea ceder del 100% de comisión" sqref="I15">
      <formula1>0</formula1>
      <formula2>1</formula2>
    </dataValidation>
  </dataValidations>
  <pageMargins left="0.75" right="0.75" top="1" bottom="1" header="0" footer="0"/>
  <pageSetup orientation="portrait" r:id="rId1"/>
  <headerFooter alignWithMargins="0"/>
  <cellWatches>
    <cellWatch r="C15"/>
  </cellWatches>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defaultSize="0" autoLine="0" autoPict="0">
                <anchor moveWithCells="1">
                  <from>
                    <xdr:col>1</xdr:col>
                    <xdr:colOff>1270000</xdr:colOff>
                    <xdr:row>16</xdr:row>
                    <xdr:rowOff>0</xdr:rowOff>
                  </from>
                  <to>
                    <xdr:col>4</xdr:col>
                    <xdr:colOff>12700</xdr:colOff>
                    <xdr:row>17</xdr:row>
                    <xdr:rowOff>0</xdr:rowOff>
                  </to>
                </anchor>
              </controlPr>
            </control>
          </mc:Choice>
        </mc:AlternateContent>
        <mc:AlternateContent xmlns:mc="http://schemas.openxmlformats.org/markup-compatibility/2006">
          <mc:Choice Requires="x14">
            <control shapeId="2053" r:id="rId6" name="Check Box 5">
              <controlPr locked="0" defaultSize="0" autoFill="0" autoLine="0" autoPict="0">
                <anchor moveWithCells="1">
                  <from>
                    <xdr:col>7</xdr:col>
                    <xdr:colOff>1276350</xdr:colOff>
                    <xdr:row>5</xdr:row>
                    <xdr:rowOff>19050</xdr:rowOff>
                  </from>
                  <to>
                    <xdr:col>7</xdr:col>
                    <xdr:colOff>1524000</xdr:colOff>
                    <xdr:row>6</xdr:row>
                    <xdr:rowOff>19050</xdr:rowOff>
                  </to>
                </anchor>
              </controlPr>
            </control>
          </mc:Choice>
        </mc:AlternateContent>
        <mc:AlternateContent xmlns:mc="http://schemas.openxmlformats.org/markup-compatibility/2006">
          <mc:Choice Requires="x14">
            <control shapeId="2054" r:id="rId7" name="Check Box 6">
              <controlPr locked="0" defaultSize="0" autoFill="0" autoLine="0" autoPict="0">
                <anchor moveWithCells="1">
                  <from>
                    <xdr:col>7</xdr:col>
                    <xdr:colOff>1276350</xdr:colOff>
                    <xdr:row>6</xdr:row>
                    <xdr:rowOff>152400</xdr:rowOff>
                  </from>
                  <to>
                    <xdr:col>7</xdr:col>
                    <xdr:colOff>1524000</xdr:colOff>
                    <xdr:row>7</xdr:row>
                    <xdr:rowOff>146050</xdr:rowOff>
                  </to>
                </anchor>
              </controlPr>
            </control>
          </mc:Choice>
        </mc:AlternateContent>
        <mc:AlternateContent xmlns:mc="http://schemas.openxmlformats.org/markup-compatibility/2006">
          <mc:Choice Requires="x14">
            <control shapeId="2056" r:id="rId8" name="Drop Down 8">
              <controlPr defaultSize="0" autoLine="0" autoPict="0" macro="[0]!Módulo1.Nueva">
                <anchor moveWithCells="1">
                  <from>
                    <xdr:col>1</xdr:col>
                    <xdr:colOff>1270000</xdr:colOff>
                    <xdr:row>6</xdr:row>
                    <xdr:rowOff>241300</xdr:rowOff>
                  </from>
                  <to>
                    <xdr:col>4</xdr:col>
                    <xdr:colOff>12700</xdr:colOff>
                    <xdr:row>7</xdr:row>
                    <xdr:rowOff>241300</xdr:rowOff>
                  </to>
                </anchor>
              </controlPr>
            </control>
          </mc:Choice>
        </mc:AlternateContent>
        <mc:AlternateContent xmlns:mc="http://schemas.openxmlformats.org/markup-compatibility/2006">
          <mc:Choice Requires="x14">
            <control shapeId="2058" r:id="rId9" name="Drop Down 10">
              <controlPr defaultSize="0" autoLine="0" autoPict="0">
                <anchor moveWithCells="1">
                  <from>
                    <xdr:col>1</xdr:col>
                    <xdr:colOff>1270000</xdr:colOff>
                    <xdr:row>9</xdr:row>
                    <xdr:rowOff>0</xdr:rowOff>
                  </from>
                  <to>
                    <xdr:col>4</xdr:col>
                    <xdr:colOff>12700</xdr:colOff>
                    <xdr:row>10</xdr:row>
                    <xdr:rowOff>0</xdr:rowOff>
                  </to>
                </anchor>
              </controlPr>
            </control>
          </mc:Choice>
        </mc:AlternateContent>
        <mc:AlternateContent xmlns:mc="http://schemas.openxmlformats.org/markup-compatibility/2006">
          <mc:Choice Requires="x14">
            <control shapeId="2059" r:id="rId10" name="Check Box 11">
              <controlPr locked="0" defaultSize="0" autoFill="0" autoLine="0" autoPict="0">
                <anchor moveWithCells="1">
                  <from>
                    <xdr:col>6</xdr:col>
                    <xdr:colOff>952500</xdr:colOff>
                    <xdr:row>13</xdr:row>
                    <xdr:rowOff>19050</xdr:rowOff>
                  </from>
                  <to>
                    <xdr:col>7</xdr:col>
                    <xdr:colOff>88900</xdr:colOff>
                    <xdr:row>14</xdr:row>
                    <xdr:rowOff>12700</xdr:rowOff>
                  </to>
                </anchor>
              </controlPr>
            </control>
          </mc:Choice>
        </mc:AlternateContent>
        <mc:AlternateContent xmlns:mc="http://schemas.openxmlformats.org/markup-compatibility/2006">
          <mc:Choice Requires="x14">
            <control shapeId="2060" r:id="rId11" name="Drop Down 12">
              <controlPr defaultSize="0" autoLine="0" autoPict="0">
                <anchor moveWithCells="1">
                  <from>
                    <xdr:col>1</xdr:col>
                    <xdr:colOff>1270000</xdr:colOff>
                    <xdr:row>8</xdr:row>
                    <xdr:rowOff>0</xdr:rowOff>
                  </from>
                  <to>
                    <xdr:col>4</xdr:col>
                    <xdr:colOff>12700</xdr:colOff>
                    <xdr:row>9</xdr:row>
                    <xdr:rowOff>0</xdr:rowOff>
                  </to>
                </anchor>
              </controlPr>
            </control>
          </mc:Choice>
        </mc:AlternateContent>
        <mc:AlternateContent xmlns:mc="http://schemas.openxmlformats.org/markup-compatibility/2006">
          <mc:Choice Requires="x14">
            <control shapeId="2088" r:id="rId12" name="Drop Down 40">
              <controlPr defaultSize="0" autoLine="0" autoPict="0">
                <anchor moveWithCells="1">
                  <from>
                    <xdr:col>1</xdr:col>
                    <xdr:colOff>1270000</xdr:colOff>
                    <xdr:row>18</xdr:row>
                    <xdr:rowOff>0</xdr:rowOff>
                  </from>
                  <to>
                    <xdr:col>4</xdr:col>
                    <xdr:colOff>12700</xdr:colOff>
                    <xdr:row>19</xdr:row>
                    <xdr:rowOff>0</xdr:rowOff>
                  </to>
                </anchor>
              </controlPr>
            </control>
          </mc:Choice>
        </mc:AlternateContent>
        <mc:AlternateContent xmlns:mc="http://schemas.openxmlformats.org/markup-compatibility/2006">
          <mc:Choice Requires="x14">
            <control shapeId="2111" r:id="rId13" name="Drop Down 63">
              <controlPr defaultSize="0" autoLine="0" autoPict="0">
                <anchor moveWithCells="1">
                  <from>
                    <xdr:col>5</xdr:col>
                    <xdr:colOff>1504950</xdr:colOff>
                    <xdr:row>6</xdr:row>
                    <xdr:rowOff>241300</xdr:rowOff>
                  </from>
                  <to>
                    <xdr:col>7</xdr:col>
                    <xdr:colOff>228600</xdr:colOff>
                    <xdr:row>7</xdr:row>
                    <xdr:rowOff>203200</xdr:rowOff>
                  </to>
                </anchor>
              </controlPr>
            </control>
          </mc:Choice>
        </mc:AlternateContent>
        <mc:AlternateContent xmlns:mc="http://schemas.openxmlformats.org/markup-compatibility/2006">
          <mc:Choice Requires="x14">
            <control shapeId="2114" r:id="rId14" name="boton3">
              <controlPr defaultSize="0" autoFill="0" autoLine="0" autoPict="0">
                <anchor moveWithCells="1">
                  <from>
                    <xdr:col>6</xdr:col>
                    <xdr:colOff>0</xdr:colOff>
                    <xdr:row>19</xdr:row>
                    <xdr:rowOff>12700</xdr:rowOff>
                  </from>
                  <to>
                    <xdr:col>7</xdr:col>
                    <xdr:colOff>0</xdr:colOff>
                    <xdr:row>20</xdr:row>
                    <xdr:rowOff>0</xdr:rowOff>
                  </to>
                </anchor>
              </controlPr>
            </control>
          </mc:Choice>
        </mc:AlternateContent>
        <mc:AlternateContent xmlns:mc="http://schemas.openxmlformats.org/markup-compatibility/2006">
          <mc:Choice Requires="x14">
            <control shapeId="2115" r:id="rId15" name="boton4">
              <controlPr defaultSize="0" autoFill="0" autoLine="0" autoPict="0">
                <anchor moveWithCells="1">
                  <from>
                    <xdr:col>6</xdr:col>
                    <xdr:colOff>0</xdr:colOff>
                    <xdr:row>20</xdr:row>
                    <xdr:rowOff>0</xdr:rowOff>
                  </from>
                  <to>
                    <xdr:col>7</xdr:col>
                    <xdr:colOff>0</xdr:colOff>
                    <xdr:row>39</xdr:row>
                    <xdr:rowOff>57150</xdr:rowOff>
                  </to>
                </anchor>
              </controlPr>
            </control>
          </mc:Choice>
        </mc:AlternateContent>
        <mc:AlternateContent xmlns:mc="http://schemas.openxmlformats.org/markup-compatibility/2006">
          <mc:Choice Requires="x14">
            <control shapeId="2116" r:id="rId16" name="boton5">
              <controlPr defaultSize="0" autoFill="0" autoLine="0" autoPict="0">
                <anchor moveWithCells="1">
                  <from>
                    <xdr:col>6</xdr:col>
                    <xdr:colOff>0</xdr:colOff>
                    <xdr:row>20</xdr:row>
                    <xdr:rowOff>0</xdr:rowOff>
                  </from>
                  <to>
                    <xdr:col>7</xdr:col>
                    <xdr:colOff>0</xdr:colOff>
                    <xdr:row>39</xdr:row>
                    <xdr:rowOff>57150</xdr:rowOff>
                  </to>
                </anchor>
              </controlPr>
            </control>
          </mc:Choice>
        </mc:AlternateContent>
        <mc:AlternateContent xmlns:mc="http://schemas.openxmlformats.org/markup-compatibility/2006">
          <mc:Choice Requires="x14">
            <control shapeId="2118" r:id="rId17" name="Drop Down 70">
              <controlPr defaultSize="0" autoLine="0" autoPict="0">
                <anchor moveWithCells="1">
                  <from>
                    <xdr:col>1</xdr:col>
                    <xdr:colOff>1270000</xdr:colOff>
                    <xdr:row>11</xdr:row>
                    <xdr:rowOff>0</xdr:rowOff>
                  </from>
                  <to>
                    <xdr:col>4</xdr:col>
                    <xdr:colOff>12700</xdr:colOff>
                    <xdr:row>12</xdr:row>
                    <xdr:rowOff>0</xdr:rowOff>
                  </to>
                </anchor>
              </controlPr>
            </control>
          </mc:Choice>
        </mc:AlternateContent>
        <mc:AlternateContent xmlns:mc="http://schemas.openxmlformats.org/markup-compatibility/2006">
          <mc:Choice Requires="x14">
            <control shapeId="2120" r:id="rId18" name="boton1">
              <controlPr defaultSize="0" autoFill="0" autoLine="0" autoPict="0">
                <anchor moveWithCells="1">
                  <from>
                    <xdr:col>6</xdr:col>
                    <xdr:colOff>0</xdr:colOff>
                    <xdr:row>20</xdr:row>
                    <xdr:rowOff>0</xdr:rowOff>
                  </from>
                  <to>
                    <xdr:col>7</xdr:col>
                    <xdr:colOff>0</xdr:colOff>
                    <xdr:row>39</xdr:row>
                    <xdr:rowOff>57150</xdr:rowOff>
                  </to>
                </anchor>
              </controlPr>
            </control>
          </mc:Choice>
        </mc:AlternateContent>
        <mc:AlternateContent xmlns:mc="http://schemas.openxmlformats.org/markup-compatibility/2006">
          <mc:Choice Requires="x14">
            <control shapeId="2121" r:id="rId19" name="boton2">
              <controlPr defaultSize="0" autoFill="0" autoLine="0" autoPict="0">
                <anchor moveWithCells="1">
                  <from>
                    <xdr:col>6</xdr:col>
                    <xdr:colOff>0</xdr:colOff>
                    <xdr:row>20</xdr:row>
                    <xdr:rowOff>0</xdr:rowOff>
                  </from>
                  <to>
                    <xdr:col>7</xdr:col>
                    <xdr:colOff>0</xdr:colOff>
                    <xdr:row>39</xdr:row>
                    <xdr:rowOff>50800</xdr:rowOff>
                  </to>
                </anchor>
              </controlPr>
            </control>
          </mc:Choice>
        </mc:AlternateContent>
        <mc:AlternateContent xmlns:mc="http://schemas.openxmlformats.org/markup-compatibility/2006">
          <mc:Choice Requires="x14">
            <control shapeId="2124" r:id="rId20" name="Check Box 76">
              <controlPr locked="0" defaultSize="0" autoFill="0" autoLine="0" autoPict="0">
                <anchor moveWithCells="1">
                  <from>
                    <xdr:col>7</xdr:col>
                    <xdr:colOff>1276350</xdr:colOff>
                    <xdr:row>8</xdr:row>
                    <xdr:rowOff>133350</xdr:rowOff>
                  </from>
                  <to>
                    <xdr:col>7</xdr:col>
                    <xdr:colOff>1524000</xdr:colOff>
                    <xdr:row>9</xdr:row>
                    <xdr:rowOff>127000</xdr:rowOff>
                  </to>
                </anchor>
              </controlPr>
            </control>
          </mc:Choice>
        </mc:AlternateContent>
        <mc:AlternateContent xmlns:mc="http://schemas.openxmlformats.org/markup-compatibility/2006">
          <mc:Choice Requires="x14">
            <control shapeId="2125" r:id="rId21" name="Drop Down 77">
              <controlPr defaultSize="0" autoLine="0" autoPict="0">
                <anchor moveWithCells="1">
                  <from>
                    <xdr:col>5</xdr:col>
                    <xdr:colOff>1504950</xdr:colOff>
                    <xdr:row>9</xdr:row>
                    <xdr:rowOff>12700</xdr:rowOff>
                  </from>
                  <to>
                    <xdr:col>7</xdr:col>
                    <xdr:colOff>228600</xdr:colOff>
                    <xdr:row>9</xdr:row>
                    <xdr:rowOff>222250</xdr:rowOff>
                  </to>
                </anchor>
              </controlPr>
            </control>
          </mc:Choice>
        </mc:AlternateContent>
        <mc:AlternateContent xmlns:mc="http://schemas.openxmlformats.org/markup-compatibility/2006">
          <mc:Choice Requires="x14">
            <control shapeId="2133" r:id="rId22" name="Check Box 85">
              <controlPr locked="0" defaultSize="0" autoFill="0" autoLine="0" autoPict="0">
                <anchor moveWithCells="1">
                  <from>
                    <xdr:col>6</xdr:col>
                    <xdr:colOff>952500</xdr:colOff>
                    <xdr:row>12</xdr:row>
                    <xdr:rowOff>19050</xdr:rowOff>
                  </from>
                  <to>
                    <xdr:col>7</xdr:col>
                    <xdr:colOff>88900</xdr:colOff>
                    <xdr:row>13</xdr:row>
                    <xdr:rowOff>19050</xdr:rowOff>
                  </to>
                </anchor>
              </controlPr>
            </control>
          </mc:Choice>
        </mc:AlternateContent>
        <mc:AlternateContent xmlns:mc="http://schemas.openxmlformats.org/markup-compatibility/2006">
          <mc:Choice Requires="x14">
            <control shapeId="2134" r:id="rId23" name="Check Box 86">
              <controlPr locked="0" defaultSize="0" autoFill="0" autoLine="0" autoPict="0">
                <anchor moveWithCells="1">
                  <from>
                    <xdr:col>7</xdr:col>
                    <xdr:colOff>1276350</xdr:colOff>
                    <xdr:row>10</xdr:row>
                    <xdr:rowOff>133350</xdr:rowOff>
                  </from>
                  <to>
                    <xdr:col>7</xdr:col>
                    <xdr:colOff>1524000</xdr:colOff>
                    <xdr:row>11</xdr:row>
                    <xdr:rowOff>127000</xdr:rowOff>
                  </to>
                </anchor>
              </controlPr>
            </control>
          </mc:Choice>
        </mc:AlternateContent>
        <mc:AlternateContent xmlns:mc="http://schemas.openxmlformats.org/markup-compatibility/2006">
          <mc:Choice Requires="x14">
            <control shapeId="2135" r:id="rId24" name="Drop Down 87">
              <controlPr defaultSize="0" autoLine="0" autoPict="0">
                <anchor moveWithCells="1">
                  <from>
                    <xdr:col>5</xdr:col>
                    <xdr:colOff>1504950</xdr:colOff>
                    <xdr:row>11</xdr:row>
                    <xdr:rowOff>12700</xdr:rowOff>
                  </from>
                  <to>
                    <xdr:col>7</xdr:col>
                    <xdr:colOff>228600</xdr:colOff>
                    <xdr:row>11</xdr:row>
                    <xdr:rowOff>222250</xdr:rowOff>
                  </to>
                </anchor>
              </controlPr>
            </control>
          </mc:Choice>
        </mc:AlternateContent>
        <mc:AlternateContent xmlns:mc="http://schemas.openxmlformats.org/markup-compatibility/2006">
          <mc:Choice Requires="x14">
            <control shapeId="2139" r:id="rId25" name="Check Box 91">
              <controlPr locked="0" defaultSize="0" autoFill="0" autoLine="0" autoPict="0">
                <anchor moveWithCells="1">
                  <from>
                    <xdr:col>6</xdr:col>
                    <xdr:colOff>952500</xdr:colOff>
                    <xdr:row>13</xdr:row>
                    <xdr:rowOff>19050</xdr:rowOff>
                  </from>
                  <to>
                    <xdr:col>7</xdr:col>
                    <xdr:colOff>88900</xdr:colOff>
                    <xdr:row>14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58" yWindow="683" count="2">
        <x14:dataValidation type="list" showDropDown="1" showInputMessage="1" showErrorMessage="1" errorTitle="Deducible no permitido" error="Verifique el deducible.">
          <x14:formula1>
            <xm:f>DATOS!$N$4:$N$56</xm:f>
          </x14:formula1>
          <xm:sqref>C14</xm:sqref>
        </x14:dataValidation>
        <x14:dataValidation type="date" allowBlank="1" showInputMessage="1" showErrorMessage="1" errorTitle="FECHA DE INICIO DE VIGENCIA" error="La fecha de inicio de vigencia debe ser a partir del 01/07/2024 y hasta el 31/12/2024." promptTitle="FECHA DE INICIO DE VIGENCIA">
          <x14:formula1>
            <xm:f>DATOS!A23</xm:f>
          </x14:formula1>
          <x14:formula2>
            <xm:f>DATOS!B23</xm:f>
          </x14:formula2>
          <xm:sqref>C6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C271"/>
  <sheetViews>
    <sheetView topLeftCell="CR1" zoomScale="90" zoomScaleNormal="90" workbookViewId="0">
      <pane ySplit="2" topLeftCell="A38" activePane="bottomLeft" state="frozen"/>
      <selection pane="bottomLeft" activeCell="B28" sqref="B28"/>
    </sheetView>
  </sheetViews>
  <sheetFormatPr baseColWidth="10" defaultColWidth="11.453125" defaultRowHeight="15.5"/>
  <cols>
    <col min="1" max="1" width="36.1796875" style="35" bestFit="1" customWidth="1"/>
    <col min="2" max="2" width="14.7265625" style="37" customWidth="1"/>
    <col min="3" max="4" width="24.54296875" style="37" bestFit="1" customWidth="1"/>
    <col min="5" max="6" width="35.1796875" style="37" customWidth="1"/>
    <col min="7" max="7" width="20.54296875" style="37" customWidth="1"/>
    <col min="8" max="8" width="19.453125" style="37" customWidth="1"/>
    <col min="9" max="9" width="14.453125" style="37" customWidth="1"/>
    <col min="10" max="10" width="18.81640625" style="37" customWidth="1"/>
    <col min="11" max="41" width="19.81640625" style="35" customWidth="1"/>
    <col min="42" max="46" width="15.7265625" style="35" customWidth="1"/>
    <col min="47" max="47" width="25" style="35" customWidth="1"/>
    <col min="48" max="50" width="32.26953125" style="35" customWidth="1"/>
    <col min="51" max="51" width="29.81640625" style="35" customWidth="1"/>
    <col min="52" max="54" width="15.7265625" style="35" customWidth="1"/>
    <col min="55" max="55" width="18.7265625" style="35" customWidth="1"/>
    <col min="56" max="59" width="15.7265625" style="35" customWidth="1"/>
    <col min="60" max="65" width="20" style="35" customWidth="1"/>
    <col min="66" max="66" width="15.7265625" style="35" customWidth="1"/>
    <col min="67" max="72" width="17.7265625" style="35" customWidth="1"/>
    <col min="73" max="73" width="15.7265625" style="35" customWidth="1"/>
    <col min="74" max="79" width="20.453125" style="35" customWidth="1"/>
    <col min="80" max="80" width="11.453125" style="35" customWidth="1"/>
    <col min="81" max="86" width="17.26953125" style="35" customWidth="1"/>
    <col min="87" max="87" width="13.453125" style="35"/>
    <col min="88" max="93" width="17.54296875" style="35" customWidth="1"/>
    <col min="94" max="94" width="13.54296875" style="35" bestFit="1" customWidth="1"/>
    <col min="95" max="99" width="15.7265625" style="35" customWidth="1"/>
    <col min="100" max="100" width="21.26953125" style="35" bestFit="1" customWidth="1"/>
    <col min="101" max="101" width="15.453125" style="35" bestFit="1" customWidth="1"/>
    <col min="102" max="102" width="20.26953125" style="35" bestFit="1" customWidth="1"/>
    <col min="103" max="103" width="16.81640625" style="35" customWidth="1"/>
    <col min="104" max="104" width="28.453125" style="35" bestFit="1" customWidth="1"/>
    <col min="105" max="105" width="11.81640625" style="35" customWidth="1"/>
    <col min="106" max="106" width="13.54296875" style="35" bestFit="1" customWidth="1"/>
    <col min="107" max="107" width="29.1796875" style="35" bestFit="1" customWidth="1"/>
    <col min="108" max="108" width="13.453125" style="35"/>
    <col min="109" max="113" width="13.54296875" style="35" bestFit="1" customWidth="1"/>
    <col min="114" max="114" width="13.453125" style="35"/>
    <col min="115" max="119" width="13.54296875" style="35" bestFit="1" customWidth="1"/>
    <col min="120" max="120" width="13.453125" style="35"/>
    <col min="121" max="125" width="13.54296875" style="35" bestFit="1" customWidth="1"/>
    <col min="126" max="126" width="13.453125" style="35"/>
    <col min="127" max="131" width="13.54296875" style="35" bestFit="1" customWidth="1"/>
    <col min="132" max="16384" width="11.453125" style="35"/>
  </cols>
  <sheetData>
    <row r="1" spans="1:107" ht="16" thickBot="1">
      <c r="A1" s="57" t="s">
        <v>0</v>
      </c>
      <c r="B1" s="58"/>
      <c r="C1" s="58"/>
      <c r="D1" s="58"/>
      <c r="E1" s="58"/>
      <c r="F1" s="58"/>
      <c r="G1" s="58"/>
      <c r="H1" s="58"/>
      <c r="I1" s="59"/>
      <c r="K1" s="79" t="s">
        <v>100</v>
      </c>
      <c r="L1" s="80"/>
      <c r="M1" s="81" t="s">
        <v>101</v>
      </c>
      <c r="N1" s="82"/>
      <c r="O1" s="79" t="s">
        <v>102</v>
      </c>
      <c r="P1" s="80"/>
      <c r="Q1" s="81" t="s">
        <v>1</v>
      </c>
      <c r="R1" s="82"/>
      <c r="S1" s="79" t="s">
        <v>2</v>
      </c>
      <c r="T1" s="80"/>
      <c r="U1" s="81" t="s">
        <v>3</v>
      </c>
      <c r="V1" s="83"/>
      <c r="W1" s="61"/>
      <c r="X1" s="81" t="s">
        <v>494</v>
      </c>
      <c r="Y1" s="82"/>
      <c r="Z1" s="81" t="s">
        <v>495</v>
      </c>
      <c r="AA1" s="82"/>
      <c r="AB1" s="81" t="s">
        <v>496</v>
      </c>
      <c r="AC1" s="82"/>
      <c r="AD1" s="79" t="s">
        <v>497</v>
      </c>
      <c r="AE1" s="80"/>
      <c r="AF1" s="79" t="s">
        <v>499</v>
      </c>
      <c r="AG1" s="80"/>
      <c r="AH1" s="79" t="s">
        <v>498</v>
      </c>
      <c r="AI1" s="80"/>
      <c r="AJ1" s="81" t="s">
        <v>500</v>
      </c>
      <c r="AK1" s="83"/>
      <c r="AL1" s="81" t="s">
        <v>501</v>
      </c>
      <c r="AM1" s="83"/>
      <c r="AN1" s="81" t="s">
        <v>502</v>
      </c>
      <c r="AO1" s="83"/>
      <c r="AP1" s="61"/>
      <c r="AQ1" s="61"/>
      <c r="AR1" s="579" t="s">
        <v>23</v>
      </c>
      <c r="AS1" s="580"/>
      <c r="AT1" s="581"/>
      <c r="AU1" s="62"/>
      <c r="AV1" s="62">
        <f>+IF(F13&gt;7,7,F13)</f>
        <v>1</v>
      </c>
      <c r="AW1" s="62"/>
      <c r="AX1" s="62"/>
      <c r="AY1" s="62"/>
      <c r="AZ1" s="265"/>
      <c r="BA1" s="566" t="s">
        <v>243</v>
      </c>
      <c r="BB1" s="567"/>
      <c r="BC1" s="63">
        <f>IF(b=1,0,VLOOKUP($F$16,MATERNIDAD,2,0))</f>
        <v>0</v>
      </c>
      <c r="BD1" s="566" t="s">
        <v>244</v>
      </c>
      <c r="BE1" s="568"/>
      <c r="BF1" s="568"/>
      <c r="BG1" s="61"/>
      <c r="BH1" s="569" t="s">
        <v>241</v>
      </c>
      <c r="BI1" s="570"/>
      <c r="BJ1" s="65">
        <f>IF(b=1,0,VLOOKUP(F16,MATERNIDAD,3,0))</f>
        <v>0</v>
      </c>
      <c r="BK1" s="66" t="s">
        <v>242</v>
      </c>
      <c r="BL1" s="66"/>
      <c r="BM1" s="67"/>
      <c r="BN1" s="61"/>
      <c r="BO1" s="571" t="s">
        <v>245</v>
      </c>
      <c r="BP1" s="572"/>
      <c r="BQ1" s="68">
        <f>IF(b=1,0,VLOOKUP(F16,MATERNIDAD,4,0))</f>
        <v>0</v>
      </c>
      <c r="BR1" s="69" t="s">
        <v>246</v>
      </c>
      <c r="BS1" s="69"/>
      <c r="BT1" s="70"/>
      <c r="BU1" s="61"/>
      <c r="BV1" s="71" t="s">
        <v>247</v>
      </c>
      <c r="BW1" s="71"/>
      <c r="BX1" s="71">
        <f>+IF(b=1,0,VLOOKUP(F16,MATERNIDAD,5,0))</f>
        <v>0</v>
      </c>
      <c r="BY1" s="71" t="s">
        <v>248</v>
      </c>
      <c r="BZ1" s="71"/>
      <c r="CA1" s="72"/>
      <c r="CB1" s="61"/>
      <c r="CC1" s="582" t="s">
        <v>513</v>
      </c>
      <c r="CD1" s="583"/>
      <c r="CE1" s="73">
        <f>IF(b=1,0,VLOOKUP(F16,MATERNIDAD,5,0))</f>
        <v>0</v>
      </c>
      <c r="CF1" s="73" t="s">
        <v>514</v>
      </c>
      <c r="CG1" s="73"/>
      <c r="CH1" s="74"/>
      <c r="CI1" s="61"/>
      <c r="CJ1" s="75" t="s">
        <v>512</v>
      </c>
      <c r="CK1" s="75"/>
      <c r="CL1" s="75">
        <f>IF(b=1,0,VLOOKUP(F16,MATERNIDAD,5,0))</f>
        <v>0</v>
      </c>
      <c r="CM1" s="75" t="s">
        <v>515</v>
      </c>
      <c r="CN1" s="75"/>
      <c r="CO1" s="76"/>
      <c r="CP1" s="61"/>
      <c r="CQ1" s="61"/>
      <c r="CR1" s="61"/>
      <c r="CS1" s="306" t="s">
        <v>368</v>
      </c>
      <c r="CU1" s="61"/>
      <c r="CV1" s="61"/>
    </row>
    <row r="2" spans="1:107">
      <c r="A2" s="248"/>
      <c r="B2" s="249"/>
      <c r="C2"/>
      <c r="D2"/>
      <c r="E2"/>
      <c r="F2"/>
      <c r="G2"/>
      <c r="H2"/>
      <c r="I2"/>
      <c r="J2" s="78" t="s">
        <v>17</v>
      </c>
      <c r="K2" s="78" t="s">
        <v>5</v>
      </c>
      <c r="L2" s="78" t="s">
        <v>6</v>
      </c>
      <c r="M2" s="262" t="s">
        <v>5</v>
      </c>
      <c r="N2" s="262" t="s">
        <v>6</v>
      </c>
      <c r="O2" s="78" t="s">
        <v>5</v>
      </c>
      <c r="P2" s="78" t="s">
        <v>6</v>
      </c>
      <c r="Q2" s="262" t="s">
        <v>5</v>
      </c>
      <c r="R2" s="262" t="s">
        <v>6</v>
      </c>
      <c r="S2" s="78" t="s">
        <v>5</v>
      </c>
      <c r="T2" s="78" t="s">
        <v>6</v>
      </c>
      <c r="U2" s="262" t="s">
        <v>5</v>
      </c>
      <c r="V2" s="262" t="s">
        <v>6</v>
      </c>
      <c r="X2" s="262" t="s">
        <v>5</v>
      </c>
      <c r="Y2" s="262" t="s">
        <v>6</v>
      </c>
      <c r="Z2" s="262" t="s">
        <v>5</v>
      </c>
      <c r="AA2" s="262" t="s">
        <v>6</v>
      </c>
      <c r="AB2" s="262" t="s">
        <v>5</v>
      </c>
      <c r="AC2" s="262" t="s">
        <v>6</v>
      </c>
      <c r="AD2" s="78" t="s">
        <v>5</v>
      </c>
      <c r="AE2" s="78" t="s">
        <v>6</v>
      </c>
      <c r="AF2" s="78" t="s">
        <v>5</v>
      </c>
      <c r="AG2" s="78" t="s">
        <v>6</v>
      </c>
      <c r="AH2" s="78" t="s">
        <v>5</v>
      </c>
      <c r="AI2" s="78" t="s">
        <v>6</v>
      </c>
      <c r="AJ2" s="262" t="s">
        <v>5</v>
      </c>
      <c r="AK2" s="262" t="s">
        <v>6</v>
      </c>
      <c r="AL2" s="262" t="s">
        <v>5</v>
      </c>
      <c r="AM2" s="262" t="s">
        <v>6</v>
      </c>
      <c r="AN2" s="262" t="s">
        <v>5</v>
      </c>
      <c r="AO2" s="262" t="s">
        <v>6</v>
      </c>
      <c r="AP2" s="61"/>
      <c r="AQ2" s="84" t="s">
        <v>250</v>
      </c>
      <c r="AR2" s="85" t="s">
        <v>5</v>
      </c>
      <c r="AS2" s="85" t="s">
        <v>6</v>
      </c>
      <c r="AT2" s="86" t="s">
        <v>36</v>
      </c>
      <c r="AU2" s="87" t="s">
        <v>320</v>
      </c>
      <c r="AV2" s="87" t="s">
        <v>351</v>
      </c>
      <c r="AW2" s="87" t="s">
        <v>431</v>
      </c>
      <c r="AX2" s="87" t="s">
        <v>432</v>
      </c>
      <c r="AY2" s="87" t="s">
        <v>403</v>
      </c>
      <c r="AZ2" s="86"/>
      <c r="BA2" s="87" t="s">
        <v>5</v>
      </c>
      <c r="BB2" s="87" t="s">
        <v>6</v>
      </c>
      <c r="BC2" s="87" t="s">
        <v>89</v>
      </c>
      <c r="BD2" s="88" t="s">
        <v>5</v>
      </c>
      <c r="BE2" s="87" t="s">
        <v>6</v>
      </c>
      <c r="BF2" s="89" t="s">
        <v>36</v>
      </c>
      <c r="BG2" s="61"/>
      <c r="BH2" s="90" t="s">
        <v>5</v>
      </c>
      <c r="BI2" s="90" t="s">
        <v>6</v>
      </c>
      <c r="BJ2" s="90" t="s">
        <v>89</v>
      </c>
      <c r="BK2" s="91" t="s">
        <v>5</v>
      </c>
      <c r="BL2" s="90" t="s">
        <v>6</v>
      </c>
      <c r="BM2" s="92" t="s">
        <v>36</v>
      </c>
      <c r="BN2" s="61"/>
      <c r="BO2" s="93" t="s">
        <v>5</v>
      </c>
      <c r="BP2" s="93" t="s">
        <v>6</v>
      </c>
      <c r="BQ2" s="93" t="s">
        <v>89</v>
      </c>
      <c r="BR2" s="94" t="s">
        <v>5</v>
      </c>
      <c r="BS2" s="93" t="s">
        <v>6</v>
      </c>
      <c r="BT2" s="95" t="s">
        <v>36</v>
      </c>
      <c r="BU2" s="61"/>
      <c r="BV2" s="96" t="s">
        <v>5</v>
      </c>
      <c r="BW2" s="96" t="s">
        <v>6</v>
      </c>
      <c r="BX2" s="96" t="s">
        <v>89</v>
      </c>
      <c r="BY2" s="97" t="s">
        <v>5</v>
      </c>
      <c r="BZ2" s="96" t="s">
        <v>6</v>
      </c>
      <c r="CA2" s="98" t="s">
        <v>36</v>
      </c>
      <c r="CB2" s="61"/>
      <c r="CC2" s="99" t="s">
        <v>5</v>
      </c>
      <c r="CD2" s="99" t="s">
        <v>6</v>
      </c>
      <c r="CE2" s="99" t="s">
        <v>89</v>
      </c>
      <c r="CF2" s="100" t="s">
        <v>5</v>
      </c>
      <c r="CG2" s="99" t="s">
        <v>6</v>
      </c>
      <c r="CH2" s="101" t="s">
        <v>36</v>
      </c>
      <c r="CI2" s="61"/>
      <c r="CJ2" s="102" t="s">
        <v>5</v>
      </c>
      <c r="CK2" s="102" t="s">
        <v>6</v>
      </c>
      <c r="CL2" s="102" t="s">
        <v>89</v>
      </c>
      <c r="CM2" s="103" t="s">
        <v>5</v>
      </c>
      <c r="CN2" s="102" t="s">
        <v>6</v>
      </c>
      <c r="CO2" s="104" t="s">
        <v>36</v>
      </c>
      <c r="CP2" s="61"/>
      <c r="CQ2" s="130" t="s">
        <v>17</v>
      </c>
      <c r="CR2" s="310" t="s">
        <v>366</v>
      </c>
      <c r="CS2" s="279">
        <f>IF(F20=2,0,'DATOS GENERALES'!I15)</f>
        <v>0</v>
      </c>
      <c r="CT2" s="130" t="s">
        <v>367</v>
      </c>
      <c r="CU2" s="130" t="s">
        <v>251</v>
      </c>
      <c r="CV2" s="86" t="s">
        <v>298</v>
      </c>
      <c r="CW2" s="299" t="s">
        <v>399</v>
      </c>
      <c r="CX2" s="299" t="s">
        <v>400</v>
      </c>
      <c r="CY2" s="299" t="s">
        <v>401</v>
      </c>
      <c r="CZ2" s="299" t="s">
        <v>402</v>
      </c>
      <c r="DA2"/>
      <c r="DC2" s="544" t="s">
        <v>403</v>
      </c>
    </row>
    <row r="3" spans="1:107" ht="16" thickBot="1">
      <c r="A3" s="247" t="s">
        <v>347</v>
      </c>
      <c r="B3" s="130">
        <v>1</v>
      </c>
      <c r="C3" s="251" t="str">
        <f>+VLOOKUP(b,DATOS!$A$11:$B$12,2,0)</f>
        <v>Nueva</v>
      </c>
      <c r="D3" s="130">
        <v>1</v>
      </c>
      <c r="E3"/>
      <c r="F3"/>
      <c r="G3"/>
      <c r="H3"/>
      <c r="I3"/>
      <c r="J3" s="132">
        <v>0</v>
      </c>
      <c r="K3" s="36">
        <v>21667.99</v>
      </c>
      <c r="L3" s="36">
        <v>19894.63</v>
      </c>
      <c r="M3" s="36">
        <v>19233.72</v>
      </c>
      <c r="N3" s="36">
        <v>17659.59</v>
      </c>
      <c r="O3" s="36">
        <v>17029.86</v>
      </c>
      <c r="P3" s="36">
        <v>15636.1</v>
      </c>
      <c r="Q3" s="105">
        <f t="shared" ref="Q3:Q34" si="0">(IF($C$11="A",AB3,IF($C$11="B",Z3,IF($C$11="C",X3," "))))</f>
        <v>85781.38</v>
      </c>
      <c r="R3" s="105">
        <f t="shared" ref="R3:R34" si="1">(IF($C$11="A",AC3,IF($C$11="B",AA3,IF($C$11="C",Y3," "))))</f>
        <v>70472.81</v>
      </c>
      <c r="S3" s="105">
        <f t="shared" ref="S3:S34" si="2">(IF($C$11="A",AH3,IF($C$11="B",AF3,IF($C$11="C",AD3," "))))</f>
        <v>63856.94</v>
      </c>
      <c r="T3" s="105">
        <f t="shared" ref="T3:T34" si="3">(IF($C$11="A",AI3,IF($C$11="B",AG3,IF($C$11="C",AE3," "))))</f>
        <v>52412.56</v>
      </c>
      <c r="U3" s="105">
        <f t="shared" ref="U3:U34" si="4">(IF($C$11="A",AN3,IF($C$11="B",AL3,IF($C$11="C",AJ3," "))))</f>
        <v>41362.28</v>
      </c>
      <c r="V3" s="105">
        <f t="shared" ref="V3:V34" si="5">(IF($C$11="A",AO3,IF($C$11="B",AM3,IF($C$11="C",AK3," "))))</f>
        <v>37702.1</v>
      </c>
      <c r="W3" s="61"/>
      <c r="X3" s="106">
        <v>85781.38</v>
      </c>
      <c r="Y3" s="106">
        <v>70472.81</v>
      </c>
      <c r="Z3" s="105">
        <f>X3*1.043</f>
        <v>89469.979340000005</v>
      </c>
      <c r="AA3" s="105">
        <f>Y3*1.043</f>
        <v>73503.140829999989</v>
      </c>
      <c r="AB3" s="105">
        <f>X3*1.12</f>
        <v>96075.145600000018</v>
      </c>
      <c r="AC3" s="105">
        <f>Y3*1.12</f>
        <v>78929.547200000001</v>
      </c>
      <c r="AD3" s="107">
        <v>63856.94</v>
      </c>
      <c r="AE3" s="107">
        <v>52412.56</v>
      </c>
      <c r="AF3" s="105">
        <f>AD3*1.043</f>
        <v>66602.788419999997</v>
      </c>
      <c r="AG3" s="105">
        <f>AE3*1.043</f>
        <v>54666.300079999994</v>
      </c>
      <c r="AH3" s="105">
        <f>AD3*1.12</f>
        <v>71519.772800000006</v>
      </c>
      <c r="AI3" s="105">
        <f>AE3*1.12</f>
        <v>58702.067200000005</v>
      </c>
      <c r="AJ3" s="106">
        <v>41362.28</v>
      </c>
      <c r="AK3" s="106">
        <v>37702.1</v>
      </c>
      <c r="AL3" s="105">
        <f>AJ3*1.043</f>
        <v>43140.858039999999</v>
      </c>
      <c r="AM3" s="105">
        <f>AK3*1.043</f>
        <v>39323.290299999993</v>
      </c>
      <c r="AN3" s="105">
        <f>AJ3*1.12</f>
        <v>46325.753600000004</v>
      </c>
      <c r="AO3" s="105">
        <f>AK3*1.12</f>
        <v>42226.351999999999</v>
      </c>
      <c r="AP3" s="61"/>
      <c r="AQ3" s="108">
        <v>0</v>
      </c>
      <c r="AR3" s="109">
        <f ca="1">+RESUMEN!F3</f>
        <v>0</v>
      </c>
      <c r="AS3" s="109">
        <f ca="1">+RESUMEN!G3</f>
        <v>0</v>
      </c>
      <c r="AT3" s="110">
        <f t="shared" ref="AT3:AT34" ca="1" si="6">AR3+AS3</f>
        <v>0</v>
      </c>
      <c r="AU3" s="111">
        <f>+((IF($G$9="SI",$K107*$B$24,0))*(VLOOKUP($F$10,$L$107:$N$123,3,0)))*IF($F$20=1,1,$B$25)</f>
        <v>0</v>
      </c>
      <c r="AV3" s="111">
        <f>((IF($G$12="SI",$K107*$B$24,0))*(VLOOKUP($F$13,$L$107:$N$123,3,0)))*IF($F$20=1,1,$B$25)</f>
        <v>0</v>
      </c>
      <c r="AW3" s="111">
        <f>((IF($G$26="SI",$G107*$B$24,0))*(VLOOKUP($F$27,$F$95:$H$99,3,0)))*IF($F$20=1,1,$B$25)</f>
        <v>0</v>
      </c>
      <c r="AX3" s="111">
        <f>((IF($G$26="SI",$H107*$B$24,0))*(VLOOKUP($F$27,$F$95:$H$99,3,0)))*IF($F$20=1,1,$B$25)</f>
        <v>0</v>
      </c>
      <c r="AY3" s="111">
        <f ca="1">SUM(CW3:CZ3)*IF($F$20=1,1,$B$25)*$B$24</f>
        <v>0</v>
      </c>
      <c r="AZ3" s="110"/>
      <c r="BA3" s="111">
        <f t="shared" ref="BA3:BA34" ca="1" si="7">+O3*$B$26</f>
        <v>0</v>
      </c>
      <c r="BB3" s="111">
        <f t="shared" ref="BB3:BB34" ca="1" si="8">+P3*$B$26</f>
        <v>0</v>
      </c>
      <c r="BC3" s="112"/>
      <c r="BD3" s="113">
        <f ca="1">(($BA3*$AR3*CV3)+($AU3*$B142)+($AV3*$B36)+($AW3*$AR3)+($AR3*$AY3))*CU3</f>
        <v>0</v>
      </c>
      <c r="BE3" s="113">
        <f ca="1">(($BB3*$AS3*CV3)+($AU3*$C142)+($AV3*$C36)+($AX3*$AS3)+($AS3*$AY3))*CU3</f>
        <v>0</v>
      </c>
      <c r="BF3" s="114" t="str">
        <f t="shared" ref="BF3:BF34" ca="1" si="9">IF(BA3=0,"",(SUM(BD3:BE3)))</f>
        <v/>
      </c>
      <c r="BG3" s="195">
        <f ca="1">+AR3*BA3</f>
        <v>0</v>
      </c>
      <c r="BH3" s="64">
        <f t="shared" ref="BH3:BH34" ca="1" si="10">M3*$B$26</f>
        <v>0</v>
      </c>
      <c r="BI3" s="64">
        <f t="shared" ref="BI3:BI34" ca="1" si="11">N3*$B$26</f>
        <v>0</v>
      </c>
      <c r="BJ3" s="112"/>
      <c r="BK3" s="115">
        <f ca="1">(($BH3*$AR3*CV3)+($AU3*$B142)+($AV3*$B36)+($AW3*$AR3)+($AR3*$AY3))*CU3</f>
        <v>0</v>
      </c>
      <c r="BL3" s="115">
        <f ca="1">(($BI3*$AS3*CV3)+($AU3*$C142)+($AV3*$C36)+($AX3*$AS3)+($AS3*$AY3))*CU3</f>
        <v>0</v>
      </c>
      <c r="BM3" s="116" t="str">
        <f t="shared" ref="BM3:BM34" ca="1" si="12">IF(BH3=0,"",(SUM(BK3:BL3)))</f>
        <v/>
      </c>
      <c r="BN3" s="61"/>
      <c r="BO3" s="117">
        <f t="shared" ref="BO3:BO34" ca="1" si="13">K3*$B$26</f>
        <v>0</v>
      </c>
      <c r="BP3" s="117">
        <f t="shared" ref="BP3:BP34" ca="1" si="14">L3*$B$26</f>
        <v>0</v>
      </c>
      <c r="BQ3" s="112"/>
      <c r="BR3" s="118">
        <f ca="1">(($BO3*$AR3*CV3)+($AU3*$B142)+($AV3*$B36)+($AW3*$AR3)+($AR3*$AY3))*CU3</f>
        <v>0</v>
      </c>
      <c r="BS3" s="118">
        <f ca="1">(($BP3*$AS3*CV3)+($AU3*$C142)+($AV3*$C36)+($AX3*$AS3)+($AS3*$AY3))*CU3</f>
        <v>0</v>
      </c>
      <c r="BT3" s="119" t="str">
        <f t="shared" ref="BT3:BT34" ca="1" si="15">IF(BO3=0,"",(SUM(BR3:BS3)))</f>
        <v/>
      </c>
      <c r="BU3" s="61"/>
      <c r="BV3" s="120">
        <f t="shared" ref="BV3:BV34" ca="1" si="16">Q3*$B$26</f>
        <v>0</v>
      </c>
      <c r="BW3" s="120">
        <f t="shared" ref="BW3:BW34" ca="1" si="17">R3*$B$26</f>
        <v>0</v>
      </c>
      <c r="BX3" s="112"/>
      <c r="BY3" s="121">
        <f ca="1">(($BV3*$AR3*CV3)+($AU3*$B142)+($AV3*$B36)+($AR3*$AY3))*CU3</f>
        <v>0</v>
      </c>
      <c r="BZ3" s="121">
        <f ca="1">(($BW3*$AS3*CV3)+($AU3*$C142)+($AV3*$C36)+($AS3*$AY3))*CU3</f>
        <v>0</v>
      </c>
      <c r="CA3" s="122" t="str">
        <f t="shared" ref="CA3:CA34" ca="1" si="18">IF(BV3=0,"",(SUM(BY3:BZ3)))</f>
        <v/>
      </c>
      <c r="CB3" s="61"/>
      <c r="CC3" s="123">
        <f ca="1">U3*$CD$118</f>
        <v>0</v>
      </c>
      <c r="CD3" s="123">
        <f ca="1">V3*$CD$118</f>
        <v>0</v>
      </c>
      <c r="CE3" s="112"/>
      <c r="CF3" s="124">
        <f ca="1">(($CC3*$AR3*CV3)+($AU3*$B142)+($AV3*$B36)+($AR3*$DC3))*CU3</f>
        <v>0</v>
      </c>
      <c r="CG3" s="124">
        <f ca="1">(($CD3*$AS3*CV3)+($AU3*$C142)+($AV3*$C36)+($AS3*$DC3))*CU3</f>
        <v>0</v>
      </c>
      <c r="CH3" s="125" t="str">
        <f t="shared" ref="CH3:CH34" ca="1" si="19">IF(CC3=0,"",(SUM(CF3:CG3)))</f>
        <v/>
      </c>
      <c r="CI3" s="61"/>
      <c r="CJ3" s="126">
        <f t="shared" ref="CJ3:CJ34" ca="1" si="20">U3*$B$26</f>
        <v>0</v>
      </c>
      <c r="CK3" s="126">
        <f t="shared" ref="CK3:CK34" ca="1" si="21">V3*$B$26</f>
        <v>0</v>
      </c>
      <c r="CL3" s="112"/>
      <c r="CM3" s="127">
        <f ca="1">(($CJ3*$AR3*CV3)+($AU3*$B142)+($AV3*$B36)+($AR3*$AY3))*CU3</f>
        <v>0</v>
      </c>
      <c r="CN3" s="127">
        <f ca="1">(($CK3*$AS3*CV3)+($AU3*$C142)+($AV3*$C36)+($AS3*$AY3))*CU3</f>
        <v>0</v>
      </c>
      <c r="CO3" s="128" t="str">
        <f t="shared" ref="CO3:CO34" ca="1" si="22">IF(CJ3=0,"",(SUM(CM3:CN3)))</f>
        <v/>
      </c>
      <c r="CP3" s="61"/>
      <c r="CQ3" s="307">
        <v>0</v>
      </c>
      <c r="CR3" s="308">
        <v>0.18</v>
      </c>
      <c r="CS3" s="61">
        <f>+CR3*$CS$2</f>
        <v>0</v>
      </c>
      <c r="CT3" s="278">
        <f>ROUND(CR3-CS3,4)</f>
        <v>0.18</v>
      </c>
      <c r="CU3" s="61">
        <f>1-CS3</f>
        <v>1</v>
      </c>
      <c r="CV3" s="287">
        <f>+IF($C$13="NO",1,1.015)</f>
        <v>1</v>
      </c>
      <c r="CW3" s="309">
        <f t="shared" ref="CW3:CW34" si="23">+IF(p=1,IF(g=1,140.93,139.81),154.53)</f>
        <v>140.93</v>
      </c>
      <c r="CX3" s="309">
        <f t="shared" ref="CX3:CX34" si="24">+IF(p=1,IF(g=1,69.12,68.57),75.79)</f>
        <v>69.12</v>
      </c>
      <c r="CY3" s="300">
        <f t="shared" ref="CY3:CY34" si="25">+IF(p=1,IF(g=1,279.81,276.83),306.81)</f>
        <v>279.81</v>
      </c>
      <c r="CZ3" s="309">
        <f t="shared" ref="CZ3:CZ34" si="26">+IF(p=1,155.79,0)</f>
        <v>155.79</v>
      </c>
      <c r="DA3"/>
      <c r="DC3" s="544">
        <v>537.13</v>
      </c>
    </row>
    <row r="4" spans="1:107">
      <c r="A4" s="130" t="s">
        <v>346</v>
      </c>
      <c r="B4" s="130">
        <v>1</v>
      </c>
      <c r="C4" s="251" t="str">
        <f>+VLOOKUP(B4,DATOS!$A$4:$B$9,2,0)</f>
        <v>Nacional</v>
      </c>
      <c r="D4"/>
      <c r="E4" s="468" t="s">
        <v>509</v>
      </c>
      <c r="G4"/>
      <c r="H4"/>
      <c r="I4"/>
      <c r="J4" s="132">
        <v>1</v>
      </c>
      <c r="K4" s="36">
        <v>21667.99</v>
      </c>
      <c r="L4" s="36">
        <v>19772.04</v>
      </c>
      <c r="M4" s="36">
        <v>19233.72</v>
      </c>
      <c r="N4" s="36">
        <v>17550.77</v>
      </c>
      <c r="O4" s="36">
        <v>17029.86</v>
      </c>
      <c r="P4" s="36">
        <v>15539.74</v>
      </c>
      <c r="Q4" s="105">
        <f t="shared" si="0"/>
        <v>85781.38</v>
      </c>
      <c r="R4" s="105">
        <f t="shared" si="1"/>
        <v>70472.81</v>
      </c>
      <c r="S4" s="105">
        <f t="shared" si="2"/>
        <v>63856.94</v>
      </c>
      <c r="T4" s="105">
        <f t="shared" si="3"/>
        <v>52412.56</v>
      </c>
      <c r="U4" s="105">
        <f t="shared" si="4"/>
        <v>41362.28</v>
      </c>
      <c r="V4" s="105">
        <f t="shared" si="5"/>
        <v>37702.1</v>
      </c>
      <c r="W4" s="61"/>
      <c r="X4" s="106">
        <v>85781.38</v>
      </c>
      <c r="Y4" s="106">
        <v>70472.81</v>
      </c>
      <c r="Z4" s="105">
        <f t="shared" ref="Z4:Z67" si="27">X4*1.043</f>
        <v>89469.979340000005</v>
      </c>
      <c r="AA4" s="105">
        <f t="shared" ref="AA4:AA67" si="28">Y4*1.043</f>
        <v>73503.140829999989</v>
      </c>
      <c r="AB4" s="105">
        <f t="shared" ref="AB4:AB67" si="29">X4*1.12</f>
        <v>96075.145600000018</v>
      </c>
      <c r="AC4" s="105">
        <f t="shared" ref="AC4:AC67" si="30">Y4*1.12</f>
        <v>78929.547200000001</v>
      </c>
      <c r="AD4" s="107">
        <v>63856.94</v>
      </c>
      <c r="AE4" s="107">
        <v>52412.56</v>
      </c>
      <c r="AF4" s="105">
        <f t="shared" ref="AF4:AF67" si="31">AD4*1.043</f>
        <v>66602.788419999997</v>
      </c>
      <c r="AG4" s="105">
        <f t="shared" ref="AG4:AG67" si="32">AE4*1.043</f>
        <v>54666.300079999994</v>
      </c>
      <c r="AH4" s="105">
        <f t="shared" ref="AH4:AH67" si="33">AD4*1.12</f>
        <v>71519.772800000006</v>
      </c>
      <c r="AI4" s="105">
        <f t="shared" ref="AI4:AI67" si="34">AE4*1.12</f>
        <v>58702.067200000005</v>
      </c>
      <c r="AJ4" s="106">
        <v>41362.28</v>
      </c>
      <c r="AK4" s="106">
        <v>37702.1</v>
      </c>
      <c r="AL4" s="105">
        <f t="shared" ref="AL4:AL67" si="35">AJ4*1.043</f>
        <v>43140.858039999999</v>
      </c>
      <c r="AM4" s="105">
        <f t="shared" ref="AM4:AM67" si="36">AK4*1.043</f>
        <v>39323.290299999993</v>
      </c>
      <c r="AN4" s="105">
        <f t="shared" ref="AN4:AN67" si="37">AJ4*1.12</f>
        <v>46325.753600000004</v>
      </c>
      <c r="AO4" s="105">
        <f t="shared" ref="AO4:AO67" si="38">AK4*1.12</f>
        <v>42226.351999999999</v>
      </c>
      <c r="AP4" s="61"/>
      <c r="AQ4" s="108">
        <v>1</v>
      </c>
      <c r="AR4" s="109">
        <f ca="1">+RESUMEN!F4</f>
        <v>0</v>
      </c>
      <c r="AS4" s="109">
        <f ca="1">+RESUMEN!G4</f>
        <v>0</v>
      </c>
      <c r="AT4" s="110">
        <f t="shared" ca="1" si="6"/>
        <v>0</v>
      </c>
      <c r="AU4" s="111">
        <f t="shared" ref="AU4:AU67" si="39">+((IF($G$9="SI",$K108*$B$24,0))*(VLOOKUP($F$10,$L$107:$N$123,3,0)))*IF($F$20=1,1,$B$25)</f>
        <v>0</v>
      </c>
      <c r="AV4" s="111">
        <f t="shared" ref="AV4:AV67" si="40">((IF($G$12="SI",$K108*$B$24,0))*(VLOOKUP($F$13,$L$107:$N$123,3,0)))*IF($F$20=1,1,$B$25)</f>
        <v>0</v>
      </c>
      <c r="AW4" s="111">
        <f t="shared" ref="AW4:AW67" si="41">((IF($G$26="SI",$G108*$B$24,0))*(VLOOKUP($F$27,$F$95:$H$99,3,0)))*IF($F$20=1,1,$B$25)</f>
        <v>0</v>
      </c>
      <c r="AX4" s="111">
        <f t="shared" ref="AX4:AX67" si="42">((IF($G$26="SI",$H108*$B$24,0))*(VLOOKUP($F$27,$F$95:$H$99,3,0)))*IF($F$20=1,1,$B$25)</f>
        <v>0</v>
      </c>
      <c r="AY4" s="111">
        <f t="shared" ref="AY4:AY67" ca="1" si="43">SUM(CW4:CZ4)*IF($F$20=1,1,$B$25)*$B$24</f>
        <v>0</v>
      </c>
      <c r="AZ4" s="110"/>
      <c r="BA4" s="111">
        <f t="shared" ca="1" si="7"/>
        <v>0</v>
      </c>
      <c r="BB4" s="111">
        <f t="shared" ca="1" si="8"/>
        <v>0</v>
      </c>
      <c r="BC4" s="112"/>
      <c r="BD4" s="113">
        <f t="shared" ref="BD4:BD67" ca="1" si="44">(($BA4*$AR4*CV4)+($AU4*$B143)+($AV4*$B37)+($AW4*$AR4)+($AR4*$AY4))*CU4</f>
        <v>0</v>
      </c>
      <c r="BE4" s="113">
        <f t="shared" ref="BE4:BE20" ca="1" si="45">(($BB4*$AS4*CV4)+($AU4*$C143)+($AV4*$C37)+($AX4*$AS4)+($AS4*$AY4))*CU4</f>
        <v>0</v>
      </c>
      <c r="BF4" s="114" t="str">
        <f t="shared" ca="1" si="9"/>
        <v/>
      </c>
      <c r="BG4" s="61"/>
      <c r="BH4" s="64">
        <f t="shared" ca="1" si="10"/>
        <v>0</v>
      </c>
      <c r="BI4" s="64">
        <f t="shared" ca="1" si="11"/>
        <v>0</v>
      </c>
      <c r="BJ4" s="112"/>
      <c r="BK4" s="115">
        <f t="shared" ref="BK4:BK67" ca="1" si="46">(($BH4*$AR4*CV4)+($AU4*$B143)+($AV4*$B37)+($AW4*$AR4)+($AR4*$AY4))*CU4</f>
        <v>0</v>
      </c>
      <c r="BL4" s="115">
        <f t="shared" ref="BL4:BL20" ca="1" si="47">(($BI4*$AS4*CV4)+($AU4*$C143)+($AV4*$C37)+($AX4*$AS4)+($AS4*$AY4))*CU4</f>
        <v>0</v>
      </c>
      <c r="BM4" s="116" t="str">
        <f t="shared" ca="1" si="12"/>
        <v/>
      </c>
      <c r="BN4" s="61"/>
      <c r="BO4" s="117">
        <f t="shared" ca="1" si="13"/>
        <v>0</v>
      </c>
      <c r="BP4" s="117">
        <f t="shared" ca="1" si="14"/>
        <v>0</v>
      </c>
      <c r="BQ4" s="112"/>
      <c r="BR4" s="118">
        <f t="shared" ref="BR4:BR67" ca="1" si="48">(($BO4*$AR4*CV4)+($AU4*$B143)+($AV4*$B37)+($AW4*$AR4)+($AR4*$AY4))*CU4</f>
        <v>0</v>
      </c>
      <c r="BS4" s="118">
        <f t="shared" ref="BS4:BS20" ca="1" si="49">(($BP4*$AS4*CV4)+($AU4*$C143)+($AV4*$C37)+($AX4*$AS4)+($AS4*$AY4))*CU4</f>
        <v>0</v>
      </c>
      <c r="BT4" s="119" t="str">
        <f t="shared" ca="1" si="15"/>
        <v/>
      </c>
      <c r="BU4" s="61"/>
      <c r="BV4" s="120">
        <f t="shared" ca="1" si="16"/>
        <v>0</v>
      </c>
      <c r="BW4" s="120">
        <f t="shared" ca="1" si="17"/>
        <v>0</v>
      </c>
      <c r="BX4" s="112"/>
      <c r="BY4" s="121">
        <f t="shared" ref="BY4:BY67" ca="1" si="50">(($BV4*$AR4*CV4)+($AU4*$B143)+($AV4*$B37)+($AR4*$AY4))*CU4</f>
        <v>0</v>
      </c>
      <c r="BZ4" s="121">
        <f t="shared" ref="BZ4:BZ20" ca="1" si="51">(($BW4*$AS4*CV4)+($AU4*$C143)+($AV4*$C37)+($AS4*$AY4))*CU4</f>
        <v>0</v>
      </c>
      <c r="CA4" s="122" t="str">
        <f t="shared" ca="1" si="18"/>
        <v/>
      </c>
      <c r="CB4" s="61"/>
      <c r="CC4" s="123">
        <f t="shared" ref="CC4:CC67" ca="1" si="52">U4*$CD$118</f>
        <v>0</v>
      </c>
      <c r="CD4" s="123">
        <f t="shared" ref="CD4:CD67" ca="1" si="53">V4*$CD$118</f>
        <v>0</v>
      </c>
      <c r="CE4" s="112"/>
      <c r="CF4" s="124">
        <f t="shared" ref="CF4:CF67" ca="1" si="54">(($CC4*$AR4*CV4)+($AU4*$B143)+($AV4*$B37)+($AR4*$DC4))*CU4</f>
        <v>0</v>
      </c>
      <c r="CG4" s="124">
        <f t="shared" ref="CG4:CG20" ca="1" si="55">(($CD4*$AS4*CV4)+($AU4*$C143)+($AV4*$C37)+($AS4*$DC4))*CU4</f>
        <v>0</v>
      </c>
      <c r="CH4" s="125" t="str">
        <f t="shared" ca="1" si="19"/>
        <v/>
      </c>
      <c r="CI4" s="61"/>
      <c r="CJ4" s="126">
        <f t="shared" ca="1" si="20"/>
        <v>0</v>
      </c>
      <c r="CK4" s="126">
        <f t="shared" ca="1" si="21"/>
        <v>0</v>
      </c>
      <c r="CL4" s="112"/>
      <c r="CM4" s="127">
        <f t="shared" ref="CM4:CM67" ca="1" si="56">(($CJ4*$AR4*CV4)+($AU4*$B143)+($AV4*$B37)+($AR4*$AY4))*CU4</f>
        <v>0</v>
      </c>
      <c r="CN4" s="127">
        <f t="shared" ref="CN4:CN20" ca="1" si="57">(($CK4*$AS4*CV4)+($AU4*$C143)+($AV4*$C37)+($AS4*$AY4))*CU4</f>
        <v>0</v>
      </c>
      <c r="CO4" s="128" t="str">
        <f t="shared" ca="1" si="22"/>
        <v/>
      </c>
      <c r="CP4" s="61"/>
      <c r="CQ4" s="108">
        <v>1</v>
      </c>
      <c r="CR4" s="273">
        <v>0.18</v>
      </c>
      <c r="CS4" s="61">
        <f t="shared" ref="CS4:CS67" si="58">+CR4*$CS$2</f>
        <v>0</v>
      </c>
      <c r="CT4" s="278">
        <f t="shared" ref="CT4:CT67" si="59">ROUND(CR4-CS4,4)</f>
        <v>0.18</v>
      </c>
      <c r="CU4" s="61">
        <f t="shared" ref="CU4:CU67" si="60">1-CS4</f>
        <v>1</v>
      </c>
      <c r="CV4" s="287">
        <f t="shared" ref="CV4:CV62" si="61">+IF($C$13="NO",1,1.015)</f>
        <v>1</v>
      </c>
      <c r="CW4" s="309">
        <f t="shared" si="23"/>
        <v>140.93</v>
      </c>
      <c r="CX4" s="309">
        <f t="shared" si="24"/>
        <v>69.12</v>
      </c>
      <c r="CY4" s="300">
        <f t="shared" si="25"/>
        <v>279.81</v>
      </c>
      <c r="CZ4" s="309">
        <f t="shared" si="26"/>
        <v>155.79</v>
      </c>
      <c r="DA4"/>
      <c r="DC4" s="544">
        <v>537.13</v>
      </c>
    </row>
    <row r="5" spans="1:107" ht="16" thickBot="1">
      <c r="A5" s="130" t="s">
        <v>249</v>
      </c>
      <c r="B5" s="77">
        <v>26</v>
      </c>
      <c r="C5" s="251" t="str">
        <f>VLOOKUP(B5,DATOS!S3:Z51,3,0)</f>
        <v>D00</v>
      </c>
      <c r="D5" s="467" t="str">
        <f>VLOOKUP(B5,DATOS!S3:Z51,2,0)</f>
        <v>CDMX</v>
      </c>
      <c r="E5" s="469">
        <f>IF(p=2,0,VLOOKUP(B5,DATOS!$S$4:$AA$51,9,0))</f>
        <v>0</v>
      </c>
      <c r="F5"/>
      <c r="G5"/>
      <c r="H5"/>
      <c r="I5"/>
      <c r="J5" s="132">
        <v>2</v>
      </c>
      <c r="K5" s="36">
        <v>21667.99</v>
      </c>
      <c r="L5" s="36">
        <v>19576.16</v>
      </c>
      <c r="M5" s="36">
        <v>19233.72</v>
      </c>
      <c r="N5" s="36">
        <v>17376.89</v>
      </c>
      <c r="O5" s="36">
        <v>17029.86</v>
      </c>
      <c r="P5" s="36">
        <v>15385.79</v>
      </c>
      <c r="Q5" s="105">
        <f t="shared" si="0"/>
        <v>85781.38</v>
      </c>
      <c r="R5" s="105">
        <f t="shared" si="1"/>
        <v>70472.81</v>
      </c>
      <c r="S5" s="105">
        <f t="shared" si="2"/>
        <v>63856.94</v>
      </c>
      <c r="T5" s="105">
        <f t="shared" si="3"/>
        <v>52412.56</v>
      </c>
      <c r="U5" s="105">
        <f t="shared" si="4"/>
        <v>41362.28</v>
      </c>
      <c r="V5" s="105">
        <f t="shared" si="5"/>
        <v>37702.1</v>
      </c>
      <c r="W5" s="61"/>
      <c r="X5" s="106">
        <v>85781.38</v>
      </c>
      <c r="Y5" s="106">
        <v>70472.81</v>
      </c>
      <c r="Z5" s="105">
        <f t="shared" si="27"/>
        <v>89469.979340000005</v>
      </c>
      <c r="AA5" s="105">
        <f t="shared" si="28"/>
        <v>73503.140829999989</v>
      </c>
      <c r="AB5" s="105">
        <f t="shared" si="29"/>
        <v>96075.145600000018</v>
      </c>
      <c r="AC5" s="105">
        <f t="shared" si="30"/>
        <v>78929.547200000001</v>
      </c>
      <c r="AD5" s="107">
        <v>63856.94</v>
      </c>
      <c r="AE5" s="107">
        <v>52412.56</v>
      </c>
      <c r="AF5" s="105">
        <f t="shared" si="31"/>
        <v>66602.788419999997</v>
      </c>
      <c r="AG5" s="105">
        <f t="shared" si="32"/>
        <v>54666.300079999994</v>
      </c>
      <c r="AH5" s="105">
        <f t="shared" si="33"/>
        <v>71519.772800000006</v>
      </c>
      <c r="AI5" s="105">
        <f t="shared" si="34"/>
        <v>58702.067200000005</v>
      </c>
      <c r="AJ5" s="106">
        <v>41362.28</v>
      </c>
      <c r="AK5" s="106">
        <v>37702.1</v>
      </c>
      <c r="AL5" s="105">
        <f t="shared" si="35"/>
        <v>43140.858039999999</v>
      </c>
      <c r="AM5" s="105">
        <f t="shared" si="36"/>
        <v>39323.290299999993</v>
      </c>
      <c r="AN5" s="105">
        <f t="shared" si="37"/>
        <v>46325.753600000004</v>
      </c>
      <c r="AO5" s="105">
        <f t="shared" si="38"/>
        <v>42226.351999999999</v>
      </c>
      <c r="AP5" s="61"/>
      <c r="AQ5" s="108">
        <v>2</v>
      </c>
      <c r="AR5" s="109">
        <f ca="1">+RESUMEN!F5</f>
        <v>0</v>
      </c>
      <c r="AS5" s="109">
        <f ca="1">+RESUMEN!G5</f>
        <v>0</v>
      </c>
      <c r="AT5" s="110">
        <f t="shared" ca="1" si="6"/>
        <v>0</v>
      </c>
      <c r="AU5" s="111">
        <f t="shared" si="39"/>
        <v>0</v>
      </c>
      <c r="AV5" s="111">
        <f t="shared" si="40"/>
        <v>0</v>
      </c>
      <c r="AW5" s="111">
        <f t="shared" si="41"/>
        <v>0</v>
      </c>
      <c r="AX5" s="111">
        <f t="shared" si="42"/>
        <v>0</v>
      </c>
      <c r="AY5" s="111">
        <f t="shared" ca="1" si="43"/>
        <v>0</v>
      </c>
      <c r="AZ5" s="110"/>
      <c r="BA5" s="111">
        <f t="shared" ca="1" si="7"/>
        <v>0</v>
      </c>
      <c r="BB5" s="111">
        <f t="shared" ca="1" si="8"/>
        <v>0</v>
      </c>
      <c r="BC5" s="112"/>
      <c r="BD5" s="113">
        <f t="shared" ca="1" si="44"/>
        <v>0</v>
      </c>
      <c r="BE5" s="113">
        <f t="shared" ca="1" si="45"/>
        <v>0</v>
      </c>
      <c r="BF5" s="114" t="str">
        <f t="shared" ca="1" si="9"/>
        <v/>
      </c>
      <c r="BG5" s="61"/>
      <c r="BH5" s="64">
        <f t="shared" ca="1" si="10"/>
        <v>0</v>
      </c>
      <c r="BI5" s="64">
        <f t="shared" ca="1" si="11"/>
        <v>0</v>
      </c>
      <c r="BJ5" s="112"/>
      <c r="BK5" s="115">
        <f t="shared" ca="1" si="46"/>
        <v>0</v>
      </c>
      <c r="BL5" s="115">
        <f t="shared" ca="1" si="47"/>
        <v>0</v>
      </c>
      <c r="BM5" s="116" t="str">
        <f t="shared" ca="1" si="12"/>
        <v/>
      </c>
      <c r="BN5" s="61"/>
      <c r="BO5" s="117">
        <f t="shared" ca="1" si="13"/>
        <v>0</v>
      </c>
      <c r="BP5" s="117">
        <f t="shared" ca="1" si="14"/>
        <v>0</v>
      </c>
      <c r="BQ5" s="112"/>
      <c r="BR5" s="118">
        <f t="shared" ca="1" si="48"/>
        <v>0</v>
      </c>
      <c r="BS5" s="118">
        <f t="shared" ca="1" si="49"/>
        <v>0</v>
      </c>
      <c r="BT5" s="119" t="str">
        <f t="shared" ca="1" si="15"/>
        <v/>
      </c>
      <c r="BU5" s="61"/>
      <c r="BV5" s="120">
        <f t="shared" ca="1" si="16"/>
        <v>0</v>
      </c>
      <c r="BW5" s="120">
        <f t="shared" ca="1" si="17"/>
        <v>0</v>
      </c>
      <c r="BX5" s="112"/>
      <c r="BY5" s="121">
        <f t="shared" ca="1" si="50"/>
        <v>0</v>
      </c>
      <c r="BZ5" s="121">
        <f t="shared" ca="1" si="51"/>
        <v>0</v>
      </c>
      <c r="CA5" s="122" t="str">
        <f t="shared" ca="1" si="18"/>
        <v/>
      </c>
      <c r="CB5" s="61"/>
      <c r="CC5" s="123">
        <f t="shared" ca="1" si="52"/>
        <v>0</v>
      </c>
      <c r="CD5" s="123">
        <f t="shared" ca="1" si="53"/>
        <v>0</v>
      </c>
      <c r="CE5" s="112"/>
      <c r="CF5" s="124">
        <f t="shared" ca="1" si="54"/>
        <v>0</v>
      </c>
      <c r="CG5" s="124">
        <f t="shared" ca="1" si="55"/>
        <v>0</v>
      </c>
      <c r="CH5" s="125" t="str">
        <f t="shared" ca="1" si="19"/>
        <v/>
      </c>
      <c r="CI5" s="61"/>
      <c r="CJ5" s="126">
        <f t="shared" ca="1" si="20"/>
        <v>0</v>
      </c>
      <c r="CK5" s="126">
        <f t="shared" ca="1" si="21"/>
        <v>0</v>
      </c>
      <c r="CL5" s="112"/>
      <c r="CM5" s="127">
        <f t="shared" ca="1" si="56"/>
        <v>0</v>
      </c>
      <c r="CN5" s="127">
        <f t="shared" ca="1" si="57"/>
        <v>0</v>
      </c>
      <c r="CO5" s="128" t="str">
        <f t="shared" ca="1" si="22"/>
        <v/>
      </c>
      <c r="CP5" s="61"/>
      <c r="CQ5" s="108">
        <v>2</v>
      </c>
      <c r="CR5" s="273">
        <v>0.18</v>
      </c>
      <c r="CS5" s="61">
        <f t="shared" si="58"/>
        <v>0</v>
      </c>
      <c r="CT5" s="278">
        <f t="shared" si="59"/>
        <v>0.18</v>
      </c>
      <c r="CU5" s="61">
        <f t="shared" si="60"/>
        <v>1</v>
      </c>
      <c r="CV5" s="287">
        <f t="shared" si="61"/>
        <v>1</v>
      </c>
      <c r="CW5" s="309">
        <f t="shared" si="23"/>
        <v>140.93</v>
      </c>
      <c r="CX5" s="309">
        <f t="shared" si="24"/>
        <v>69.12</v>
      </c>
      <c r="CY5" s="300">
        <f t="shared" si="25"/>
        <v>279.81</v>
      </c>
      <c r="CZ5" s="309">
        <f t="shared" si="26"/>
        <v>155.79</v>
      </c>
      <c r="DA5"/>
      <c r="DC5" s="544">
        <v>537.13</v>
      </c>
    </row>
    <row r="6" spans="1:107">
      <c r="A6" s="130" t="s">
        <v>7</v>
      </c>
      <c r="B6" s="77">
        <v>61</v>
      </c>
      <c r="C6" s="252">
        <f>+VLOOKUP(B6,DATOS!$AB$4:$AE$100,2,0)</f>
        <v>6000</v>
      </c>
      <c r="D6" s="130" t="str">
        <f>+IF(B4&gt;=4," Dlls."," UMAM ")</f>
        <v xml:space="preserve"> UMAM </v>
      </c>
      <c r="E6"/>
      <c r="F6"/>
      <c r="G6"/>
      <c r="H6"/>
      <c r="I6"/>
      <c r="J6" s="132">
        <v>3</v>
      </c>
      <c r="K6" s="36">
        <v>21667.99</v>
      </c>
      <c r="L6" s="36">
        <v>19468.37</v>
      </c>
      <c r="M6" s="36">
        <v>19233.72</v>
      </c>
      <c r="N6" s="36">
        <v>17281.22</v>
      </c>
      <c r="O6" s="36">
        <v>17029.86</v>
      </c>
      <c r="P6" s="36">
        <v>15301.08</v>
      </c>
      <c r="Q6" s="105">
        <f t="shared" si="0"/>
        <v>85781.38</v>
      </c>
      <c r="R6" s="105">
        <f t="shared" si="1"/>
        <v>70472.81</v>
      </c>
      <c r="S6" s="105">
        <f t="shared" si="2"/>
        <v>63856.94</v>
      </c>
      <c r="T6" s="105">
        <f t="shared" si="3"/>
        <v>52412.56</v>
      </c>
      <c r="U6" s="105">
        <f t="shared" si="4"/>
        <v>41362.28</v>
      </c>
      <c r="V6" s="105">
        <f t="shared" si="5"/>
        <v>37702.1</v>
      </c>
      <c r="W6" s="61"/>
      <c r="X6" s="106">
        <v>85781.38</v>
      </c>
      <c r="Y6" s="106">
        <v>70472.81</v>
      </c>
      <c r="Z6" s="105">
        <f t="shared" si="27"/>
        <v>89469.979340000005</v>
      </c>
      <c r="AA6" s="105">
        <f t="shared" si="28"/>
        <v>73503.140829999989</v>
      </c>
      <c r="AB6" s="105">
        <f t="shared" si="29"/>
        <v>96075.145600000018</v>
      </c>
      <c r="AC6" s="105">
        <f t="shared" si="30"/>
        <v>78929.547200000001</v>
      </c>
      <c r="AD6" s="107">
        <v>63856.94</v>
      </c>
      <c r="AE6" s="107">
        <v>52412.56</v>
      </c>
      <c r="AF6" s="105">
        <f t="shared" si="31"/>
        <v>66602.788419999997</v>
      </c>
      <c r="AG6" s="105">
        <f t="shared" si="32"/>
        <v>54666.300079999994</v>
      </c>
      <c r="AH6" s="105">
        <f t="shared" si="33"/>
        <v>71519.772800000006</v>
      </c>
      <c r="AI6" s="105">
        <f t="shared" si="34"/>
        <v>58702.067200000005</v>
      </c>
      <c r="AJ6" s="106">
        <v>41362.28</v>
      </c>
      <c r="AK6" s="106">
        <v>37702.1</v>
      </c>
      <c r="AL6" s="105">
        <f t="shared" si="35"/>
        <v>43140.858039999999</v>
      </c>
      <c r="AM6" s="105">
        <f t="shared" si="36"/>
        <v>39323.290299999993</v>
      </c>
      <c r="AN6" s="105">
        <f t="shared" si="37"/>
        <v>46325.753600000004</v>
      </c>
      <c r="AO6" s="105">
        <f t="shared" si="38"/>
        <v>42226.351999999999</v>
      </c>
      <c r="AP6" s="61"/>
      <c r="AQ6" s="108">
        <v>3</v>
      </c>
      <c r="AR6" s="109">
        <f ca="1">+RESUMEN!F6</f>
        <v>0</v>
      </c>
      <c r="AS6" s="109">
        <f ca="1">+RESUMEN!G6</f>
        <v>0</v>
      </c>
      <c r="AT6" s="110">
        <f t="shared" ca="1" si="6"/>
        <v>0</v>
      </c>
      <c r="AU6" s="111">
        <f t="shared" si="39"/>
        <v>0</v>
      </c>
      <c r="AV6" s="111">
        <f t="shared" si="40"/>
        <v>0</v>
      </c>
      <c r="AW6" s="111">
        <f t="shared" si="41"/>
        <v>0</v>
      </c>
      <c r="AX6" s="111">
        <f t="shared" si="42"/>
        <v>0</v>
      </c>
      <c r="AY6" s="111">
        <f t="shared" ca="1" si="43"/>
        <v>0</v>
      </c>
      <c r="AZ6" s="110"/>
      <c r="BA6" s="111">
        <f t="shared" ca="1" si="7"/>
        <v>0</v>
      </c>
      <c r="BB6" s="111">
        <f t="shared" ca="1" si="8"/>
        <v>0</v>
      </c>
      <c r="BC6" s="112"/>
      <c r="BD6" s="113">
        <f t="shared" ca="1" si="44"/>
        <v>0</v>
      </c>
      <c r="BE6" s="113">
        <f t="shared" ca="1" si="45"/>
        <v>0</v>
      </c>
      <c r="BF6" s="114" t="str">
        <f t="shared" ca="1" si="9"/>
        <v/>
      </c>
      <c r="BG6" s="61"/>
      <c r="BH6" s="64">
        <f t="shared" ca="1" si="10"/>
        <v>0</v>
      </c>
      <c r="BI6" s="64">
        <f t="shared" ca="1" si="11"/>
        <v>0</v>
      </c>
      <c r="BJ6" s="112"/>
      <c r="BK6" s="115">
        <f t="shared" ca="1" si="46"/>
        <v>0</v>
      </c>
      <c r="BL6" s="115">
        <f t="shared" ca="1" si="47"/>
        <v>0</v>
      </c>
      <c r="BM6" s="116" t="str">
        <f t="shared" ca="1" si="12"/>
        <v/>
      </c>
      <c r="BN6" s="61"/>
      <c r="BO6" s="117">
        <f t="shared" ca="1" si="13"/>
        <v>0</v>
      </c>
      <c r="BP6" s="117">
        <f t="shared" ca="1" si="14"/>
        <v>0</v>
      </c>
      <c r="BQ6" s="112"/>
      <c r="BR6" s="118">
        <f t="shared" ca="1" si="48"/>
        <v>0</v>
      </c>
      <c r="BS6" s="118">
        <f t="shared" ca="1" si="49"/>
        <v>0</v>
      </c>
      <c r="BT6" s="119" t="str">
        <f t="shared" ca="1" si="15"/>
        <v/>
      </c>
      <c r="BU6" s="61"/>
      <c r="BV6" s="120">
        <f t="shared" ca="1" si="16"/>
        <v>0</v>
      </c>
      <c r="BW6" s="120">
        <f t="shared" ca="1" si="17"/>
        <v>0</v>
      </c>
      <c r="BX6" s="112"/>
      <c r="BY6" s="121">
        <f t="shared" ca="1" si="50"/>
        <v>0</v>
      </c>
      <c r="BZ6" s="121">
        <f t="shared" ca="1" si="51"/>
        <v>0</v>
      </c>
      <c r="CA6" s="122" t="str">
        <f t="shared" ca="1" si="18"/>
        <v/>
      </c>
      <c r="CB6" s="61"/>
      <c r="CC6" s="123">
        <f t="shared" ca="1" si="52"/>
        <v>0</v>
      </c>
      <c r="CD6" s="123">
        <f t="shared" ca="1" si="53"/>
        <v>0</v>
      </c>
      <c r="CE6" s="112"/>
      <c r="CF6" s="124">
        <f t="shared" ca="1" si="54"/>
        <v>0</v>
      </c>
      <c r="CG6" s="124">
        <f t="shared" ca="1" si="55"/>
        <v>0</v>
      </c>
      <c r="CH6" s="125" t="str">
        <f t="shared" ca="1" si="19"/>
        <v/>
      </c>
      <c r="CI6" s="61"/>
      <c r="CJ6" s="126">
        <f t="shared" ca="1" si="20"/>
        <v>0</v>
      </c>
      <c r="CK6" s="126">
        <f t="shared" ca="1" si="21"/>
        <v>0</v>
      </c>
      <c r="CL6" s="112"/>
      <c r="CM6" s="127">
        <f t="shared" ca="1" si="56"/>
        <v>0</v>
      </c>
      <c r="CN6" s="127">
        <f t="shared" ca="1" si="57"/>
        <v>0</v>
      </c>
      <c r="CO6" s="128" t="str">
        <f t="shared" ca="1" si="22"/>
        <v/>
      </c>
      <c r="CP6" s="61"/>
      <c r="CQ6" s="108">
        <v>3</v>
      </c>
      <c r="CR6" s="273">
        <v>0.18</v>
      </c>
      <c r="CS6" s="61">
        <f t="shared" si="58"/>
        <v>0</v>
      </c>
      <c r="CT6" s="278">
        <f t="shared" si="59"/>
        <v>0.18</v>
      </c>
      <c r="CU6" s="61">
        <f t="shared" si="60"/>
        <v>1</v>
      </c>
      <c r="CV6" s="287">
        <f t="shared" si="61"/>
        <v>1</v>
      </c>
      <c r="CW6" s="309">
        <f t="shared" si="23"/>
        <v>140.93</v>
      </c>
      <c r="CX6" s="309">
        <f t="shared" si="24"/>
        <v>69.12</v>
      </c>
      <c r="CY6" s="300">
        <f t="shared" si="25"/>
        <v>279.81</v>
      </c>
      <c r="CZ6" s="309">
        <f t="shared" si="26"/>
        <v>155.79</v>
      </c>
      <c r="DA6"/>
      <c r="DC6" s="544">
        <v>537.13</v>
      </c>
    </row>
    <row r="7" spans="1:107">
      <c r="A7" s="130" t="s">
        <v>8</v>
      </c>
      <c r="B7" s="281">
        <f>+'DATOS GENERALES'!C14</f>
        <v>7</v>
      </c>
      <c r="C7" s="252">
        <f>+'DATOS GENERALES'!C14</f>
        <v>7</v>
      </c>
      <c r="D7" s="130" t="str">
        <f>+IF(B4&gt;=4,"  Dlls."," UMAM")</f>
        <v xml:space="preserve"> UMAM</v>
      </c>
      <c r="E7" s="252">
        <f>+B7*2</f>
        <v>14</v>
      </c>
      <c r="F7"/>
      <c r="G7"/>
      <c r="H7"/>
      <c r="I7"/>
      <c r="J7" s="132">
        <v>4</v>
      </c>
      <c r="K7" s="36">
        <v>21667.99</v>
      </c>
      <c r="L7" s="36">
        <v>19286.86</v>
      </c>
      <c r="M7" s="36">
        <v>19233.72</v>
      </c>
      <c r="N7" s="36">
        <v>17120.099999999999</v>
      </c>
      <c r="O7" s="36">
        <v>17029.86</v>
      </c>
      <c r="P7" s="36">
        <v>15158.42</v>
      </c>
      <c r="Q7" s="105">
        <f t="shared" si="0"/>
        <v>85781.38</v>
      </c>
      <c r="R7" s="105">
        <f t="shared" si="1"/>
        <v>70472.81</v>
      </c>
      <c r="S7" s="105">
        <f t="shared" si="2"/>
        <v>63856.94</v>
      </c>
      <c r="T7" s="105">
        <f t="shared" si="3"/>
        <v>52412.56</v>
      </c>
      <c r="U7" s="105">
        <f t="shared" si="4"/>
        <v>41362.28</v>
      </c>
      <c r="V7" s="105">
        <f t="shared" si="5"/>
        <v>37702.1</v>
      </c>
      <c r="W7" s="61"/>
      <c r="X7" s="106">
        <v>85781.38</v>
      </c>
      <c r="Y7" s="106">
        <v>70472.81</v>
      </c>
      <c r="Z7" s="105">
        <f t="shared" si="27"/>
        <v>89469.979340000005</v>
      </c>
      <c r="AA7" s="105">
        <f t="shared" si="28"/>
        <v>73503.140829999989</v>
      </c>
      <c r="AB7" s="105">
        <f t="shared" si="29"/>
        <v>96075.145600000018</v>
      </c>
      <c r="AC7" s="105">
        <f t="shared" si="30"/>
        <v>78929.547200000001</v>
      </c>
      <c r="AD7" s="107">
        <v>63856.94</v>
      </c>
      <c r="AE7" s="107">
        <v>52412.56</v>
      </c>
      <c r="AF7" s="105">
        <f t="shared" si="31"/>
        <v>66602.788419999997</v>
      </c>
      <c r="AG7" s="105">
        <f t="shared" si="32"/>
        <v>54666.300079999994</v>
      </c>
      <c r="AH7" s="105">
        <f t="shared" si="33"/>
        <v>71519.772800000006</v>
      </c>
      <c r="AI7" s="105">
        <f t="shared" si="34"/>
        <v>58702.067200000005</v>
      </c>
      <c r="AJ7" s="106">
        <v>41362.28</v>
      </c>
      <c r="AK7" s="106">
        <v>37702.1</v>
      </c>
      <c r="AL7" s="105">
        <f t="shared" si="35"/>
        <v>43140.858039999999</v>
      </c>
      <c r="AM7" s="105">
        <f t="shared" si="36"/>
        <v>39323.290299999993</v>
      </c>
      <c r="AN7" s="105">
        <f t="shared" si="37"/>
        <v>46325.753600000004</v>
      </c>
      <c r="AO7" s="105">
        <f t="shared" si="38"/>
        <v>42226.351999999999</v>
      </c>
      <c r="AP7" s="61"/>
      <c r="AQ7" s="108">
        <v>4</v>
      </c>
      <c r="AR7" s="109">
        <f ca="1">+RESUMEN!F7</f>
        <v>0</v>
      </c>
      <c r="AS7" s="109">
        <f ca="1">+RESUMEN!G7</f>
        <v>0</v>
      </c>
      <c r="AT7" s="110">
        <f t="shared" ca="1" si="6"/>
        <v>0</v>
      </c>
      <c r="AU7" s="111">
        <f t="shared" si="39"/>
        <v>0</v>
      </c>
      <c r="AV7" s="111">
        <f t="shared" si="40"/>
        <v>0</v>
      </c>
      <c r="AW7" s="111">
        <f t="shared" si="41"/>
        <v>0</v>
      </c>
      <c r="AX7" s="111">
        <f t="shared" si="42"/>
        <v>0</v>
      </c>
      <c r="AY7" s="111">
        <f t="shared" ca="1" si="43"/>
        <v>0</v>
      </c>
      <c r="AZ7" s="110"/>
      <c r="BA7" s="111">
        <f t="shared" ca="1" si="7"/>
        <v>0</v>
      </c>
      <c r="BB7" s="111">
        <f t="shared" ca="1" si="8"/>
        <v>0</v>
      </c>
      <c r="BC7" s="112"/>
      <c r="BD7" s="113">
        <f t="shared" ca="1" si="44"/>
        <v>0</v>
      </c>
      <c r="BE7" s="113">
        <f t="shared" ca="1" si="45"/>
        <v>0</v>
      </c>
      <c r="BF7" s="114" t="str">
        <f t="shared" ca="1" si="9"/>
        <v/>
      </c>
      <c r="BG7" s="61"/>
      <c r="BH7" s="64">
        <f t="shared" ca="1" si="10"/>
        <v>0</v>
      </c>
      <c r="BI7" s="64">
        <f t="shared" ca="1" si="11"/>
        <v>0</v>
      </c>
      <c r="BJ7" s="112"/>
      <c r="BK7" s="115">
        <f t="shared" ca="1" si="46"/>
        <v>0</v>
      </c>
      <c r="BL7" s="115">
        <f t="shared" ca="1" si="47"/>
        <v>0</v>
      </c>
      <c r="BM7" s="116" t="str">
        <f t="shared" ca="1" si="12"/>
        <v/>
      </c>
      <c r="BN7" s="61"/>
      <c r="BO7" s="117">
        <f t="shared" ca="1" si="13"/>
        <v>0</v>
      </c>
      <c r="BP7" s="117">
        <f t="shared" ca="1" si="14"/>
        <v>0</v>
      </c>
      <c r="BQ7" s="112"/>
      <c r="BR7" s="118">
        <f t="shared" ca="1" si="48"/>
        <v>0</v>
      </c>
      <c r="BS7" s="118">
        <f t="shared" ca="1" si="49"/>
        <v>0</v>
      </c>
      <c r="BT7" s="119" t="str">
        <f t="shared" ca="1" si="15"/>
        <v/>
      </c>
      <c r="BU7" s="61"/>
      <c r="BV7" s="120">
        <f t="shared" ca="1" si="16"/>
        <v>0</v>
      </c>
      <c r="BW7" s="120">
        <f t="shared" ca="1" si="17"/>
        <v>0</v>
      </c>
      <c r="BX7" s="112"/>
      <c r="BY7" s="121">
        <f t="shared" ca="1" si="50"/>
        <v>0</v>
      </c>
      <c r="BZ7" s="121">
        <f t="shared" ca="1" si="51"/>
        <v>0</v>
      </c>
      <c r="CA7" s="122" t="str">
        <f t="shared" ca="1" si="18"/>
        <v/>
      </c>
      <c r="CB7" s="61"/>
      <c r="CC7" s="123">
        <f t="shared" ca="1" si="52"/>
        <v>0</v>
      </c>
      <c r="CD7" s="123">
        <f t="shared" ca="1" si="53"/>
        <v>0</v>
      </c>
      <c r="CE7" s="112"/>
      <c r="CF7" s="124">
        <f t="shared" ca="1" si="54"/>
        <v>0</v>
      </c>
      <c r="CG7" s="124">
        <f t="shared" ca="1" si="55"/>
        <v>0</v>
      </c>
      <c r="CH7" s="125" t="str">
        <f t="shared" ca="1" si="19"/>
        <v/>
      </c>
      <c r="CI7" s="61"/>
      <c r="CJ7" s="126">
        <f t="shared" ca="1" si="20"/>
        <v>0</v>
      </c>
      <c r="CK7" s="126">
        <f t="shared" ca="1" si="21"/>
        <v>0</v>
      </c>
      <c r="CL7" s="112"/>
      <c r="CM7" s="127">
        <f t="shared" ca="1" si="56"/>
        <v>0</v>
      </c>
      <c r="CN7" s="127">
        <f t="shared" ca="1" si="57"/>
        <v>0</v>
      </c>
      <c r="CO7" s="128" t="str">
        <f t="shared" ca="1" si="22"/>
        <v/>
      </c>
      <c r="CP7" s="61"/>
      <c r="CQ7" s="108">
        <v>4</v>
      </c>
      <c r="CR7" s="273">
        <v>0.18</v>
      </c>
      <c r="CS7" s="61">
        <f t="shared" si="58"/>
        <v>0</v>
      </c>
      <c r="CT7" s="278">
        <f t="shared" si="59"/>
        <v>0.18</v>
      </c>
      <c r="CU7" s="61">
        <f t="shared" si="60"/>
        <v>1</v>
      </c>
      <c r="CV7" s="287">
        <f t="shared" si="61"/>
        <v>1</v>
      </c>
      <c r="CW7" s="309">
        <f t="shared" si="23"/>
        <v>140.93</v>
      </c>
      <c r="CX7" s="309">
        <f t="shared" si="24"/>
        <v>69.12</v>
      </c>
      <c r="CY7" s="300">
        <f t="shared" si="25"/>
        <v>279.81</v>
      </c>
      <c r="CZ7" s="309">
        <f t="shared" si="26"/>
        <v>155.79</v>
      </c>
      <c r="DA7"/>
      <c r="DC7" s="544">
        <v>537.13</v>
      </c>
    </row>
    <row r="8" spans="1:107">
      <c r="A8" s="130" t="s">
        <v>9</v>
      </c>
      <c r="B8" s="130">
        <v>1</v>
      </c>
      <c r="C8" s="253">
        <f>IF(F18="si",0.1,VLOOKUP(B8,DATOS!AG4:AH12,2,0))</f>
        <v>0.1</v>
      </c>
      <c r="D8"/>
      <c r="E8"/>
      <c r="F8"/>
      <c r="G8"/>
      <c r="H8"/>
      <c r="I8"/>
      <c r="J8" s="132">
        <v>5</v>
      </c>
      <c r="K8" s="36">
        <v>21667.99</v>
      </c>
      <c r="L8" s="36">
        <v>18779.45</v>
      </c>
      <c r="M8" s="36">
        <v>19233.72</v>
      </c>
      <c r="N8" s="36">
        <v>16669.689999999999</v>
      </c>
      <c r="O8" s="36">
        <v>17029.86</v>
      </c>
      <c r="P8" s="36">
        <v>14759.62</v>
      </c>
      <c r="Q8" s="105">
        <f t="shared" si="0"/>
        <v>85781.38</v>
      </c>
      <c r="R8" s="105">
        <f t="shared" si="1"/>
        <v>70472.81</v>
      </c>
      <c r="S8" s="105">
        <f t="shared" si="2"/>
        <v>63856.94</v>
      </c>
      <c r="T8" s="105">
        <f t="shared" si="3"/>
        <v>52412.56</v>
      </c>
      <c r="U8" s="105">
        <f t="shared" si="4"/>
        <v>41362.28</v>
      </c>
      <c r="V8" s="105">
        <f t="shared" si="5"/>
        <v>37702.1</v>
      </c>
      <c r="W8" s="61"/>
      <c r="X8" s="106">
        <v>85781.38</v>
      </c>
      <c r="Y8" s="106">
        <v>70472.81</v>
      </c>
      <c r="Z8" s="105">
        <f t="shared" si="27"/>
        <v>89469.979340000005</v>
      </c>
      <c r="AA8" s="105">
        <f t="shared" si="28"/>
        <v>73503.140829999989</v>
      </c>
      <c r="AB8" s="105">
        <f t="shared" si="29"/>
        <v>96075.145600000018</v>
      </c>
      <c r="AC8" s="105">
        <f t="shared" si="30"/>
        <v>78929.547200000001</v>
      </c>
      <c r="AD8" s="107">
        <v>63856.94</v>
      </c>
      <c r="AE8" s="107">
        <v>52412.56</v>
      </c>
      <c r="AF8" s="105">
        <f t="shared" si="31"/>
        <v>66602.788419999997</v>
      </c>
      <c r="AG8" s="105">
        <f t="shared" si="32"/>
        <v>54666.300079999994</v>
      </c>
      <c r="AH8" s="105">
        <f t="shared" si="33"/>
        <v>71519.772800000006</v>
      </c>
      <c r="AI8" s="105">
        <f t="shared" si="34"/>
        <v>58702.067200000005</v>
      </c>
      <c r="AJ8" s="106">
        <v>41362.28</v>
      </c>
      <c r="AK8" s="106">
        <v>37702.1</v>
      </c>
      <c r="AL8" s="105">
        <f t="shared" si="35"/>
        <v>43140.858039999999</v>
      </c>
      <c r="AM8" s="105">
        <f t="shared" si="36"/>
        <v>39323.290299999993</v>
      </c>
      <c r="AN8" s="105">
        <f t="shared" si="37"/>
        <v>46325.753600000004</v>
      </c>
      <c r="AO8" s="105">
        <f t="shared" si="38"/>
        <v>42226.351999999999</v>
      </c>
      <c r="AP8" s="61"/>
      <c r="AQ8" s="108">
        <v>5</v>
      </c>
      <c r="AR8" s="109">
        <f ca="1">+RESUMEN!F8</f>
        <v>0</v>
      </c>
      <c r="AS8" s="109">
        <f ca="1">+RESUMEN!G8</f>
        <v>0</v>
      </c>
      <c r="AT8" s="110">
        <f t="shared" ca="1" si="6"/>
        <v>0</v>
      </c>
      <c r="AU8" s="111">
        <f t="shared" si="39"/>
        <v>0</v>
      </c>
      <c r="AV8" s="111">
        <f t="shared" si="40"/>
        <v>0</v>
      </c>
      <c r="AW8" s="111">
        <f t="shared" si="41"/>
        <v>0</v>
      </c>
      <c r="AX8" s="111">
        <f t="shared" si="42"/>
        <v>0</v>
      </c>
      <c r="AY8" s="111">
        <f t="shared" ca="1" si="43"/>
        <v>0</v>
      </c>
      <c r="AZ8" s="110"/>
      <c r="BA8" s="111">
        <f t="shared" ca="1" si="7"/>
        <v>0</v>
      </c>
      <c r="BB8" s="111">
        <f t="shared" ca="1" si="8"/>
        <v>0</v>
      </c>
      <c r="BC8" s="112"/>
      <c r="BD8" s="113">
        <f t="shared" ca="1" si="44"/>
        <v>0</v>
      </c>
      <c r="BE8" s="113">
        <f t="shared" ca="1" si="45"/>
        <v>0</v>
      </c>
      <c r="BF8" s="114" t="str">
        <f t="shared" ca="1" si="9"/>
        <v/>
      </c>
      <c r="BG8" s="61"/>
      <c r="BH8" s="64">
        <f t="shared" ca="1" si="10"/>
        <v>0</v>
      </c>
      <c r="BI8" s="64">
        <f t="shared" ca="1" si="11"/>
        <v>0</v>
      </c>
      <c r="BJ8" s="112"/>
      <c r="BK8" s="115">
        <f t="shared" ca="1" si="46"/>
        <v>0</v>
      </c>
      <c r="BL8" s="115">
        <f t="shared" ca="1" si="47"/>
        <v>0</v>
      </c>
      <c r="BM8" s="116" t="str">
        <f t="shared" ca="1" si="12"/>
        <v/>
      </c>
      <c r="BN8" s="61"/>
      <c r="BO8" s="117">
        <f t="shared" ca="1" si="13"/>
        <v>0</v>
      </c>
      <c r="BP8" s="117">
        <f t="shared" ca="1" si="14"/>
        <v>0</v>
      </c>
      <c r="BQ8" s="112"/>
      <c r="BR8" s="118">
        <f t="shared" ca="1" si="48"/>
        <v>0</v>
      </c>
      <c r="BS8" s="118">
        <f t="shared" ca="1" si="49"/>
        <v>0</v>
      </c>
      <c r="BT8" s="119" t="str">
        <f t="shared" ca="1" si="15"/>
        <v/>
      </c>
      <c r="BU8" s="61"/>
      <c r="BV8" s="120">
        <f t="shared" ca="1" si="16"/>
        <v>0</v>
      </c>
      <c r="BW8" s="120">
        <f t="shared" ca="1" si="17"/>
        <v>0</v>
      </c>
      <c r="BX8" s="112"/>
      <c r="BY8" s="121">
        <f t="shared" ca="1" si="50"/>
        <v>0</v>
      </c>
      <c r="BZ8" s="121">
        <f t="shared" ca="1" si="51"/>
        <v>0</v>
      </c>
      <c r="CA8" s="122" t="str">
        <f t="shared" ca="1" si="18"/>
        <v/>
      </c>
      <c r="CB8" s="61"/>
      <c r="CC8" s="123">
        <f t="shared" ca="1" si="52"/>
        <v>0</v>
      </c>
      <c r="CD8" s="123">
        <f t="shared" ca="1" si="53"/>
        <v>0</v>
      </c>
      <c r="CE8" s="112"/>
      <c r="CF8" s="124">
        <f t="shared" ca="1" si="54"/>
        <v>0</v>
      </c>
      <c r="CG8" s="124">
        <f t="shared" ca="1" si="55"/>
        <v>0</v>
      </c>
      <c r="CH8" s="125" t="str">
        <f t="shared" ca="1" si="19"/>
        <v/>
      </c>
      <c r="CI8" s="61"/>
      <c r="CJ8" s="126">
        <f t="shared" ca="1" si="20"/>
        <v>0</v>
      </c>
      <c r="CK8" s="126">
        <f t="shared" ca="1" si="21"/>
        <v>0</v>
      </c>
      <c r="CL8" s="112"/>
      <c r="CM8" s="127">
        <f t="shared" ca="1" si="56"/>
        <v>0</v>
      </c>
      <c r="CN8" s="127">
        <f t="shared" ca="1" si="57"/>
        <v>0</v>
      </c>
      <c r="CO8" s="128" t="str">
        <f t="shared" ca="1" si="22"/>
        <v/>
      </c>
      <c r="CP8" s="61"/>
      <c r="CQ8" s="108">
        <v>5</v>
      </c>
      <c r="CR8" s="273">
        <v>0.18</v>
      </c>
      <c r="CS8" s="61">
        <f t="shared" si="58"/>
        <v>0</v>
      </c>
      <c r="CT8" s="278">
        <f t="shared" si="59"/>
        <v>0.18</v>
      </c>
      <c r="CU8" s="61">
        <f t="shared" si="60"/>
        <v>1</v>
      </c>
      <c r="CV8" s="287">
        <f t="shared" si="61"/>
        <v>1</v>
      </c>
      <c r="CW8" s="309">
        <f t="shared" si="23"/>
        <v>140.93</v>
      </c>
      <c r="CX8" s="309">
        <f t="shared" si="24"/>
        <v>69.12</v>
      </c>
      <c r="CY8" s="300">
        <f t="shared" si="25"/>
        <v>279.81</v>
      </c>
      <c r="CZ8" s="309">
        <f t="shared" si="26"/>
        <v>155.79</v>
      </c>
      <c r="DA8"/>
      <c r="DC8" s="544">
        <v>537.13</v>
      </c>
    </row>
    <row r="9" spans="1:107">
      <c r="A9" s="130" t="s">
        <v>103</v>
      </c>
      <c r="B9" s="217">
        <v>4</v>
      </c>
      <c r="C9" s="251">
        <f>VLOOKUP(B9,DATOS!AK4:AM13,2,0)</f>
        <v>70000</v>
      </c>
      <c r="D9"/>
      <c r="E9" s="130" t="s">
        <v>320</v>
      </c>
      <c r="F9" s="130"/>
      <c r="G9" s="255" t="str">
        <f>+IF(OR(LEFT(F9)="F",F9=""),"NO","SI")</f>
        <v>NO</v>
      </c>
      <c r="H9"/>
      <c r="J9" s="132">
        <v>6</v>
      </c>
      <c r="K9" s="36">
        <v>20620.02</v>
      </c>
      <c r="L9" s="36">
        <v>18779.45</v>
      </c>
      <c r="M9" s="36">
        <v>18303.48</v>
      </c>
      <c r="N9" s="36">
        <v>16669.689999999999</v>
      </c>
      <c r="O9" s="36">
        <v>16206.21</v>
      </c>
      <c r="P9" s="36">
        <v>14759.62</v>
      </c>
      <c r="Q9" s="105">
        <f t="shared" si="0"/>
        <v>85781.38</v>
      </c>
      <c r="R9" s="105">
        <f t="shared" si="1"/>
        <v>70472.81</v>
      </c>
      <c r="S9" s="105">
        <f t="shared" si="2"/>
        <v>63856.94</v>
      </c>
      <c r="T9" s="105">
        <f t="shared" si="3"/>
        <v>52412.56</v>
      </c>
      <c r="U9" s="105">
        <f t="shared" si="4"/>
        <v>41362.28</v>
      </c>
      <c r="V9" s="105">
        <f t="shared" si="5"/>
        <v>37702.1</v>
      </c>
      <c r="W9" s="61"/>
      <c r="X9" s="106">
        <v>85781.38</v>
      </c>
      <c r="Y9" s="106">
        <v>70472.81</v>
      </c>
      <c r="Z9" s="105">
        <f t="shared" si="27"/>
        <v>89469.979340000005</v>
      </c>
      <c r="AA9" s="105">
        <f t="shared" si="28"/>
        <v>73503.140829999989</v>
      </c>
      <c r="AB9" s="105">
        <f t="shared" si="29"/>
        <v>96075.145600000018</v>
      </c>
      <c r="AC9" s="105">
        <f t="shared" si="30"/>
        <v>78929.547200000001</v>
      </c>
      <c r="AD9" s="107">
        <v>63856.94</v>
      </c>
      <c r="AE9" s="107">
        <v>52412.56</v>
      </c>
      <c r="AF9" s="105">
        <f t="shared" si="31"/>
        <v>66602.788419999997</v>
      </c>
      <c r="AG9" s="105">
        <f t="shared" si="32"/>
        <v>54666.300079999994</v>
      </c>
      <c r="AH9" s="105">
        <f t="shared" si="33"/>
        <v>71519.772800000006</v>
      </c>
      <c r="AI9" s="105">
        <f t="shared" si="34"/>
        <v>58702.067200000005</v>
      </c>
      <c r="AJ9" s="106">
        <v>41362.28</v>
      </c>
      <c r="AK9" s="106">
        <v>37702.1</v>
      </c>
      <c r="AL9" s="105">
        <f t="shared" si="35"/>
        <v>43140.858039999999</v>
      </c>
      <c r="AM9" s="105">
        <f t="shared" si="36"/>
        <v>39323.290299999993</v>
      </c>
      <c r="AN9" s="105">
        <f t="shared" si="37"/>
        <v>46325.753600000004</v>
      </c>
      <c r="AO9" s="105">
        <f t="shared" si="38"/>
        <v>42226.351999999999</v>
      </c>
      <c r="AP9" s="61"/>
      <c r="AQ9" s="108">
        <v>6</v>
      </c>
      <c r="AR9" s="109">
        <f ca="1">+RESUMEN!F9</f>
        <v>0</v>
      </c>
      <c r="AS9" s="109">
        <f ca="1">+RESUMEN!G9</f>
        <v>0</v>
      </c>
      <c r="AT9" s="110">
        <f t="shared" ca="1" si="6"/>
        <v>0</v>
      </c>
      <c r="AU9" s="111">
        <f t="shared" si="39"/>
        <v>0</v>
      </c>
      <c r="AV9" s="111">
        <f t="shared" si="40"/>
        <v>0</v>
      </c>
      <c r="AW9" s="111">
        <f t="shared" si="41"/>
        <v>0</v>
      </c>
      <c r="AX9" s="111">
        <f t="shared" si="42"/>
        <v>0</v>
      </c>
      <c r="AY9" s="111">
        <f t="shared" ca="1" si="43"/>
        <v>0</v>
      </c>
      <c r="AZ9" s="110"/>
      <c r="BA9" s="111">
        <f t="shared" ca="1" si="7"/>
        <v>0</v>
      </c>
      <c r="BB9" s="111">
        <f t="shared" ca="1" si="8"/>
        <v>0</v>
      </c>
      <c r="BC9" s="112"/>
      <c r="BD9" s="113">
        <f t="shared" ca="1" si="44"/>
        <v>0</v>
      </c>
      <c r="BE9" s="113">
        <f t="shared" ca="1" si="45"/>
        <v>0</v>
      </c>
      <c r="BF9" s="114" t="str">
        <f t="shared" ca="1" si="9"/>
        <v/>
      </c>
      <c r="BG9" s="61"/>
      <c r="BH9" s="64">
        <f t="shared" ca="1" si="10"/>
        <v>0</v>
      </c>
      <c r="BI9" s="64">
        <f t="shared" ca="1" si="11"/>
        <v>0</v>
      </c>
      <c r="BJ9" s="112"/>
      <c r="BK9" s="115">
        <f t="shared" ca="1" si="46"/>
        <v>0</v>
      </c>
      <c r="BL9" s="115">
        <f t="shared" ca="1" si="47"/>
        <v>0</v>
      </c>
      <c r="BM9" s="116" t="str">
        <f t="shared" ca="1" si="12"/>
        <v/>
      </c>
      <c r="BN9" s="61"/>
      <c r="BO9" s="117">
        <f t="shared" ca="1" si="13"/>
        <v>0</v>
      </c>
      <c r="BP9" s="117">
        <f t="shared" ca="1" si="14"/>
        <v>0</v>
      </c>
      <c r="BQ9" s="112"/>
      <c r="BR9" s="118">
        <f t="shared" ca="1" si="48"/>
        <v>0</v>
      </c>
      <c r="BS9" s="118">
        <f t="shared" ca="1" si="49"/>
        <v>0</v>
      </c>
      <c r="BT9" s="119" t="str">
        <f t="shared" ca="1" si="15"/>
        <v/>
      </c>
      <c r="BU9" s="61"/>
      <c r="BV9" s="120">
        <f t="shared" ca="1" si="16"/>
        <v>0</v>
      </c>
      <c r="BW9" s="120">
        <f t="shared" ca="1" si="17"/>
        <v>0</v>
      </c>
      <c r="BX9" s="112"/>
      <c r="BY9" s="121">
        <f t="shared" ca="1" si="50"/>
        <v>0</v>
      </c>
      <c r="BZ9" s="121">
        <f t="shared" ca="1" si="51"/>
        <v>0</v>
      </c>
      <c r="CA9" s="122" t="str">
        <f t="shared" ca="1" si="18"/>
        <v/>
      </c>
      <c r="CB9" s="61"/>
      <c r="CC9" s="123">
        <f t="shared" ca="1" si="52"/>
        <v>0</v>
      </c>
      <c r="CD9" s="123">
        <f t="shared" ca="1" si="53"/>
        <v>0</v>
      </c>
      <c r="CE9" s="112"/>
      <c r="CF9" s="124">
        <f t="shared" ca="1" si="54"/>
        <v>0</v>
      </c>
      <c r="CG9" s="124">
        <f t="shared" ca="1" si="55"/>
        <v>0</v>
      </c>
      <c r="CH9" s="125" t="str">
        <f t="shared" ca="1" si="19"/>
        <v/>
      </c>
      <c r="CI9" s="61"/>
      <c r="CJ9" s="126">
        <f t="shared" ca="1" si="20"/>
        <v>0</v>
      </c>
      <c r="CK9" s="126">
        <f t="shared" ca="1" si="21"/>
        <v>0</v>
      </c>
      <c r="CL9" s="112"/>
      <c r="CM9" s="127">
        <f t="shared" ca="1" si="56"/>
        <v>0</v>
      </c>
      <c r="CN9" s="127">
        <f t="shared" ca="1" si="57"/>
        <v>0</v>
      </c>
      <c r="CO9" s="128" t="str">
        <f t="shared" ca="1" si="22"/>
        <v/>
      </c>
      <c r="CP9" s="61"/>
      <c r="CQ9" s="108">
        <v>6</v>
      </c>
      <c r="CR9" s="273">
        <v>0.18</v>
      </c>
      <c r="CS9" s="61">
        <f t="shared" si="58"/>
        <v>0</v>
      </c>
      <c r="CT9" s="278">
        <f t="shared" si="59"/>
        <v>0.18</v>
      </c>
      <c r="CU9" s="61">
        <f t="shared" si="60"/>
        <v>1</v>
      </c>
      <c r="CV9" s="287">
        <f t="shared" si="61"/>
        <v>1</v>
      </c>
      <c r="CW9" s="309">
        <f t="shared" si="23"/>
        <v>140.93</v>
      </c>
      <c r="CX9" s="309">
        <f t="shared" si="24"/>
        <v>69.12</v>
      </c>
      <c r="CY9" s="300">
        <f t="shared" si="25"/>
        <v>279.81</v>
      </c>
      <c r="CZ9" s="309">
        <f t="shared" si="26"/>
        <v>155.79</v>
      </c>
      <c r="DA9"/>
      <c r="DC9" s="544">
        <v>537.13</v>
      </c>
    </row>
    <row r="10" spans="1:107">
      <c r="A10" s="130" t="s">
        <v>252</v>
      </c>
      <c r="B10" s="130">
        <v>1</v>
      </c>
      <c r="C10" s="254" t="str">
        <f>+VLOOKUP(B10,DATOS!$AV$4:$AW$7,2,0)</f>
        <v>Base</v>
      </c>
      <c r="D10"/>
      <c r="E10" s="130" t="s">
        <v>349</v>
      </c>
      <c r="F10" s="250">
        <v>1</v>
      </c>
      <c r="G10" s="255">
        <f>VALUE(VLOOKUP(F10,L107:M123,2,0))</f>
        <v>20000</v>
      </c>
      <c r="H10" s="130" t="s">
        <v>350</v>
      </c>
      <c r="J10" s="132">
        <v>7</v>
      </c>
      <c r="K10" s="36">
        <v>19678.82</v>
      </c>
      <c r="L10" s="36">
        <v>18779.45</v>
      </c>
      <c r="M10" s="36">
        <v>17468.02</v>
      </c>
      <c r="N10" s="36">
        <v>16669.689999999999</v>
      </c>
      <c r="O10" s="36">
        <v>15466.48</v>
      </c>
      <c r="P10" s="36">
        <v>14759.62</v>
      </c>
      <c r="Q10" s="105">
        <f t="shared" si="0"/>
        <v>85781.38</v>
      </c>
      <c r="R10" s="105">
        <f t="shared" si="1"/>
        <v>70472.81</v>
      </c>
      <c r="S10" s="105">
        <f t="shared" si="2"/>
        <v>63856.94</v>
      </c>
      <c r="T10" s="105">
        <f t="shared" si="3"/>
        <v>52412.56</v>
      </c>
      <c r="U10" s="105">
        <f t="shared" si="4"/>
        <v>41362.28</v>
      </c>
      <c r="V10" s="105">
        <f t="shared" si="5"/>
        <v>37702.1</v>
      </c>
      <c r="W10" s="61"/>
      <c r="X10" s="106">
        <v>85781.38</v>
      </c>
      <c r="Y10" s="106">
        <v>70472.81</v>
      </c>
      <c r="Z10" s="105">
        <f t="shared" si="27"/>
        <v>89469.979340000005</v>
      </c>
      <c r="AA10" s="105">
        <f t="shared" si="28"/>
        <v>73503.140829999989</v>
      </c>
      <c r="AB10" s="105">
        <f t="shared" si="29"/>
        <v>96075.145600000018</v>
      </c>
      <c r="AC10" s="105">
        <f t="shared" si="30"/>
        <v>78929.547200000001</v>
      </c>
      <c r="AD10" s="107">
        <v>63856.94</v>
      </c>
      <c r="AE10" s="107">
        <v>52412.56</v>
      </c>
      <c r="AF10" s="105">
        <f t="shared" si="31"/>
        <v>66602.788419999997</v>
      </c>
      <c r="AG10" s="105">
        <f t="shared" si="32"/>
        <v>54666.300079999994</v>
      </c>
      <c r="AH10" s="105">
        <f t="shared" si="33"/>
        <v>71519.772800000006</v>
      </c>
      <c r="AI10" s="105">
        <f t="shared" si="34"/>
        <v>58702.067200000005</v>
      </c>
      <c r="AJ10" s="106">
        <v>41362.28</v>
      </c>
      <c r="AK10" s="106">
        <v>37702.1</v>
      </c>
      <c r="AL10" s="105">
        <f t="shared" si="35"/>
        <v>43140.858039999999</v>
      </c>
      <c r="AM10" s="105">
        <f t="shared" si="36"/>
        <v>39323.290299999993</v>
      </c>
      <c r="AN10" s="105">
        <f t="shared" si="37"/>
        <v>46325.753600000004</v>
      </c>
      <c r="AO10" s="105">
        <f t="shared" si="38"/>
        <v>42226.351999999999</v>
      </c>
      <c r="AP10" s="61"/>
      <c r="AQ10" s="108">
        <v>7</v>
      </c>
      <c r="AR10" s="109">
        <f ca="1">+RESUMEN!F10</f>
        <v>0</v>
      </c>
      <c r="AS10" s="109">
        <f ca="1">+RESUMEN!G10</f>
        <v>0</v>
      </c>
      <c r="AT10" s="110">
        <f t="shared" ca="1" si="6"/>
        <v>0</v>
      </c>
      <c r="AU10" s="111">
        <f t="shared" si="39"/>
        <v>0</v>
      </c>
      <c r="AV10" s="111">
        <f t="shared" si="40"/>
        <v>0</v>
      </c>
      <c r="AW10" s="111">
        <f t="shared" si="41"/>
        <v>0</v>
      </c>
      <c r="AX10" s="111">
        <f t="shared" si="42"/>
        <v>0</v>
      </c>
      <c r="AY10" s="111">
        <f t="shared" ca="1" si="43"/>
        <v>0</v>
      </c>
      <c r="AZ10" s="110"/>
      <c r="BA10" s="111">
        <f t="shared" ca="1" si="7"/>
        <v>0</v>
      </c>
      <c r="BB10" s="111">
        <f t="shared" ca="1" si="8"/>
        <v>0</v>
      </c>
      <c r="BC10" s="112"/>
      <c r="BD10" s="113">
        <f t="shared" ca="1" si="44"/>
        <v>0</v>
      </c>
      <c r="BE10" s="113">
        <f t="shared" ca="1" si="45"/>
        <v>0</v>
      </c>
      <c r="BF10" s="114" t="str">
        <f t="shared" ca="1" si="9"/>
        <v/>
      </c>
      <c r="BG10" s="61"/>
      <c r="BH10" s="64">
        <f t="shared" ca="1" si="10"/>
        <v>0</v>
      </c>
      <c r="BI10" s="64">
        <f t="shared" ca="1" si="11"/>
        <v>0</v>
      </c>
      <c r="BJ10" s="112"/>
      <c r="BK10" s="115">
        <f t="shared" ca="1" si="46"/>
        <v>0</v>
      </c>
      <c r="BL10" s="115">
        <f t="shared" ca="1" si="47"/>
        <v>0</v>
      </c>
      <c r="BM10" s="116" t="str">
        <f t="shared" ca="1" si="12"/>
        <v/>
      </c>
      <c r="BN10" s="61"/>
      <c r="BO10" s="117">
        <f t="shared" ca="1" si="13"/>
        <v>0</v>
      </c>
      <c r="BP10" s="117">
        <f t="shared" ca="1" si="14"/>
        <v>0</v>
      </c>
      <c r="BQ10" s="112"/>
      <c r="BR10" s="118">
        <f t="shared" ca="1" si="48"/>
        <v>0</v>
      </c>
      <c r="BS10" s="118">
        <f t="shared" ca="1" si="49"/>
        <v>0</v>
      </c>
      <c r="BT10" s="119" t="str">
        <f t="shared" ca="1" si="15"/>
        <v/>
      </c>
      <c r="BU10" s="61"/>
      <c r="BV10" s="120">
        <f t="shared" ca="1" si="16"/>
        <v>0</v>
      </c>
      <c r="BW10" s="120">
        <f t="shared" ca="1" si="17"/>
        <v>0</v>
      </c>
      <c r="BX10" s="112"/>
      <c r="BY10" s="121">
        <f t="shared" ca="1" si="50"/>
        <v>0</v>
      </c>
      <c r="BZ10" s="121">
        <f t="shared" ca="1" si="51"/>
        <v>0</v>
      </c>
      <c r="CA10" s="122" t="str">
        <f t="shared" ca="1" si="18"/>
        <v/>
      </c>
      <c r="CB10" s="61"/>
      <c r="CC10" s="123">
        <f t="shared" ca="1" si="52"/>
        <v>0</v>
      </c>
      <c r="CD10" s="123">
        <f t="shared" ca="1" si="53"/>
        <v>0</v>
      </c>
      <c r="CE10" s="112"/>
      <c r="CF10" s="124">
        <f t="shared" ca="1" si="54"/>
        <v>0</v>
      </c>
      <c r="CG10" s="124">
        <f t="shared" ca="1" si="55"/>
        <v>0</v>
      </c>
      <c r="CH10" s="125" t="str">
        <f t="shared" ca="1" si="19"/>
        <v/>
      </c>
      <c r="CI10" s="61"/>
      <c r="CJ10" s="126">
        <f t="shared" ca="1" si="20"/>
        <v>0</v>
      </c>
      <c r="CK10" s="126">
        <f t="shared" ca="1" si="21"/>
        <v>0</v>
      </c>
      <c r="CL10" s="112"/>
      <c r="CM10" s="127">
        <f t="shared" ca="1" si="56"/>
        <v>0</v>
      </c>
      <c r="CN10" s="127">
        <f t="shared" ca="1" si="57"/>
        <v>0</v>
      </c>
      <c r="CO10" s="128" t="str">
        <f t="shared" ca="1" si="22"/>
        <v/>
      </c>
      <c r="CP10" s="61"/>
      <c r="CQ10" s="108">
        <v>7</v>
      </c>
      <c r="CR10" s="273">
        <v>0.18</v>
      </c>
      <c r="CS10" s="61">
        <f t="shared" si="58"/>
        <v>0</v>
      </c>
      <c r="CT10" s="278">
        <f t="shared" si="59"/>
        <v>0.18</v>
      </c>
      <c r="CU10" s="61">
        <f t="shared" si="60"/>
        <v>1</v>
      </c>
      <c r="CV10" s="287">
        <f t="shared" si="61"/>
        <v>1</v>
      </c>
      <c r="CW10" s="309">
        <f t="shared" si="23"/>
        <v>140.93</v>
      </c>
      <c r="CX10" s="309">
        <f t="shared" si="24"/>
        <v>69.12</v>
      </c>
      <c r="CY10" s="300">
        <f t="shared" si="25"/>
        <v>279.81</v>
      </c>
      <c r="CZ10" s="309">
        <f t="shared" si="26"/>
        <v>155.79</v>
      </c>
      <c r="DA10"/>
      <c r="DC10" s="544">
        <v>537.13</v>
      </c>
    </row>
    <row r="11" spans="1:107">
      <c r="A11" s="130" t="s">
        <v>10</v>
      </c>
      <c r="B11" s="130"/>
      <c r="C11" s="254" t="str">
        <f>VLOOKUP(B5,DATOS!S3:Z51,4,0)</f>
        <v>C</v>
      </c>
      <c r="D11"/>
      <c r="E11"/>
      <c r="F11"/>
      <c r="G11"/>
      <c r="H11"/>
      <c r="J11" s="132">
        <v>8</v>
      </c>
      <c r="K11" s="36">
        <v>18779.55</v>
      </c>
      <c r="L11" s="36">
        <v>18779.45</v>
      </c>
      <c r="M11" s="36">
        <v>16669.78</v>
      </c>
      <c r="N11" s="36">
        <v>16669.689999999999</v>
      </c>
      <c r="O11" s="36">
        <v>14759.7</v>
      </c>
      <c r="P11" s="36">
        <v>14759.62</v>
      </c>
      <c r="Q11" s="105">
        <f t="shared" si="0"/>
        <v>85781.38</v>
      </c>
      <c r="R11" s="105">
        <f t="shared" si="1"/>
        <v>64857.86</v>
      </c>
      <c r="S11" s="105">
        <f t="shared" si="2"/>
        <v>63856.94</v>
      </c>
      <c r="T11" s="105">
        <f t="shared" si="3"/>
        <v>49796.81</v>
      </c>
      <c r="U11" s="105">
        <f t="shared" si="4"/>
        <v>41362.28</v>
      </c>
      <c r="V11" s="105">
        <f t="shared" si="5"/>
        <v>36578.57</v>
      </c>
      <c r="W11" s="61"/>
      <c r="X11" s="106">
        <v>85781.38</v>
      </c>
      <c r="Y11" s="106">
        <v>64857.86</v>
      </c>
      <c r="Z11" s="105">
        <f t="shared" si="27"/>
        <v>89469.979340000005</v>
      </c>
      <c r="AA11" s="105">
        <f t="shared" si="28"/>
        <v>67646.74798</v>
      </c>
      <c r="AB11" s="105">
        <f t="shared" si="29"/>
        <v>96075.145600000018</v>
      </c>
      <c r="AC11" s="105">
        <f t="shared" si="30"/>
        <v>72640.803200000009</v>
      </c>
      <c r="AD11" s="107">
        <v>63856.94</v>
      </c>
      <c r="AE11" s="107">
        <v>49796.81</v>
      </c>
      <c r="AF11" s="105">
        <f t="shared" si="31"/>
        <v>66602.788419999997</v>
      </c>
      <c r="AG11" s="105">
        <f t="shared" si="32"/>
        <v>51938.072829999997</v>
      </c>
      <c r="AH11" s="105">
        <f t="shared" si="33"/>
        <v>71519.772800000006</v>
      </c>
      <c r="AI11" s="105">
        <f t="shared" si="34"/>
        <v>55772.427200000006</v>
      </c>
      <c r="AJ11" s="106">
        <v>41362.28</v>
      </c>
      <c r="AK11" s="106">
        <v>36578.57</v>
      </c>
      <c r="AL11" s="105">
        <f t="shared" si="35"/>
        <v>43140.858039999999</v>
      </c>
      <c r="AM11" s="105">
        <f t="shared" si="36"/>
        <v>38151.448509999995</v>
      </c>
      <c r="AN11" s="105">
        <f t="shared" si="37"/>
        <v>46325.753600000004</v>
      </c>
      <c r="AO11" s="105">
        <f t="shared" si="38"/>
        <v>40967.998400000004</v>
      </c>
      <c r="AP11" s="61"/>
      <c r="AQ11" s="108">
        <v>8</v>
      </c>
      <c r="AR11" s="109">
        <f ca="1">+RESUMEN!F11</f>
        <v>0</v>
      </c>
      <c r="AS11" s="109">
        <f ca="1">+RESUMEN!G11</f>
        <v>0</v>
      </c>
      <c r="AT11" s="110">
        <f t="shared" ca="1" si="6"/>
        <v>0</v>
      </c>
      <c r="AU11" s="111">
        <f t="shared" si="39"/>
        <v>0</v>
      </c>
      <c r="AV11" s="111">
        <f t="shared" si="40"/>
        <v>0</v>
      </c>
      <c r="AW11" s="111">
        <f t="shared" si="41"/>
        <v>0</v>
      </c>
      <c r="AX11" s="111">
        <f t="shared" si="42"/>
        <v>0</v>
      </c>
      <c r="AY11" s="111">
        <f t="shared" ca="1" si="43"/>
        <v>0</v>
      </c>
      <c r="AZ11" s="110"/>
      <c r="BA11" s="111">
        <f t="shared" ca="1" si="7"/>
        <v>0</v>
      </c>
      <c r="BB11" s="111">
        <f t="shared" ca="1" si="8"/>
        <v>0</v>
      </c>
      <c r="BC11" s="112"/>
      <c r="BD11" s="113">
        <f t="shared" ca="1" si="44"/>
        <v>0</v>
      </c>
      <c r="BE11" s="113">
        <f t="shared" ca="1" si="45"/>
        <v>0</v>
      </c>
      <c r="BF11" s="114" t="str">
        <f t="shared" ca="1" si="9"/>
        <v/>
      </c>
      <c r="BG11" s="61"/>
      <c r="BH11" s="64">
        <f t="shared" ca="1" si="10"/>
        <v>0</v>
      </c>
      <c r="BI11" s="64">
        <f t="shared" ca="1" si="11"/>
        <v>0</v>
      </c>
      <c r="BJ11" s="112"/>
      <c r="BK11" s="115">
        <f t="shared" ca="1" si="46"/>
        <v>0</v>
      </c>
      <c r="BL11" s="115">
        <f t="shared" ca="1" si="47"/>
        <v>0</v>
      </c>
      <c r="BM11" s="116" t="str">
        <f t="shared" ca="1" si="12"/>
        <v/>
      </c>
      <c r="BN11" s="61"/>
      <c r="BO11" s="117">
        <f t="shared" ca="1" si="13"/>
        <v>0</v>
      </c>
      <c r="BP11" s="117">
        <f t="shared" ca="1" si="14"/>
        <v>0</v>
      </c>
      <c r="BQ11" s="112"/>
      <c r="BR11" s="118">
        <f t="shared" ca="1" si="48"/>
        <v>0</v>
      </c>
      <c r="BS11" s="118">
        <f t="shared" ca="1" si="49"/>
        <v>0</v>
      </c>
      <c r="BT11" s="119" t="str">
        <f t="shared" ca="1" si="15"/>
        <v/>
      </c>
      <c r="BU11" s="61"/>
      <c r="BV11" s="120">
        <f t="shared" ca="1" si="16"/>
        <v>0</v>
      </c>
      <c r="BW11" s="120">
        <f t="shared" ca="1" si="17"/>
        <v>0</v>
      </c>
      <c r="BX11" s="112"/>
      <c r="BY11" s="121">
        <f t="shared" ca="1" si="50"/>
        <v>0</v>
      </c>
      <c r="BZ11" s="121">
        <f t="shared" ca="1" si="51"/>
        <v>0</v>
      </c>
      <c r="CA11" s="122" t="str">
        <f t="shared" ca="1" si="18"/>
        <v/>
      </c>
      <c r="CB11" s="61"/>
      <c r="CC11" s="123">
        <f t="shared" ca="1" si="52"/>
        <v>0</v>
      </c>
      <c r="CD11" s="123">
        <f t="shared" ca="1" si="53"/>
        <v>0</v>
      </c>
      <c r="CE11" s="112"/>
      <c r="CF11" s="124">
        <f t="shared" ca="1" si="54"/>
        <v>0</v>
      </c>
      <c r="CG11" s="124">
        <f t="shared" ca="1" si="55"/>
        <v>0</v>
      </c>
      <c r="CH11" s="125" t="str">
        <f t="shared" ca="1" si="19"/>
        <v/>
      </c>
      <c r="CI11" s="61"/>
      <c r="CJ11" s="126">
        <f t="shared" ca="1" si="20"/>
        <v>0</v>
      </c>
      <c r="CK11" s="126">
        <f t="shared" ca="1" si="21"/>
        <v>0</v>
      </c>
      <c r="CL11" s="112"/>
      <c r="CM11" s="127">
        <f t="shared" ca="1" si="56"/>
        <v>0</v>
      </c>
      <c r="CN11" s="127">
        <f t="shared" ca="1" si="57"/>
        <v>0</v>
      </c>
      <c r="CO11" s="128" t="str">
        <f t="shared" ca="1" si="22"/>
        <v/>
      </c>
      <c r="CP11" s="61"/>
      <c r="CQ11" s="108">
        <v>8</v>
      </c>
      <c r="CR11" s="273">
        <v>0.18</v>
      </c>
      <c r="CS11" s="61">
        <f t="shared" si="58"/>
        <v>0</v>
      </c>
      <c r="CT11" s="278">
        <f t="shared" si="59"/>
        <v>0.18</v>
      </c>
      <c r="CU11" s="61">
        <f t="shared" si="60"/>
        <v>1</v>
      </c>
      <c r="CV11" s="287">
        <f t="shared" si="61"/>
        <v>1</v>
      </c>
      <c r="CW11" s="309">
        <f t="shared" si="23"/>
        <v>140.93</v>
      </c>
      <c r="CX11" s="309">
        <f t="shared" si="24"/>
        <v>69.12</v>
      </c>
      <c r="CY11" s="300">
        <f t="shared" si="25"/>
        <v>279.81</v>
      </c>
      <c r="CZ11" s="309">
        <f t="shared" si="26"/>
        <v>155.79</v>
      </c>
      <c r="DA11"/>
      <c r="DC11" s="544">
        <v>537.13</v>
      </c>
    </row>
    <row r="12" spans="1:107">
      <c r="A12" s="130" t="s">
        <v>58</v>
      </c>
      <c r="B12" s="61"/>
      <c r="C12" s="255" t="str">
        <f>+IF(F18="SI","Excluida","Amparada")</f>
        <v>Amparada</v>
      </c>
      <c r="E12" s="130" t="s">
        <v>351</v>
      </c>
      <c r="F12" s="130"/>
      <c r="G12" s="129" t="str">
        <f>+IF(OR(LEFT(F12)="F",F12=""),"NO","SI")</f>
        <v>NO</v>
      </c>
      <c r="H12" s="130"/>
      <c r="J12" s="132">
        <v>9</v>
      </c>
      <c r="K12" s="36">
        <v>18722.830000000002</v>
      </c>
      <c r="L12" s="36">
        <v>18779.45</v>
      </c>
      <c r="M12" s="36">
        <v>16619.43</v>
      </c>
      <c r="N12" s="36">
        <v>16669.689999999999</v>
      </c>
      <c r="O12" s="36">
        <v>14715.12</v>
      </c>
      <c r="P12" s="36">
        <v>14759.62</v>
      </c>
      <c r="Q12" s="105">
        <f t="shared" si="0"/>
        <v>85781.38</v>
      </c>
      <c r="R12" s="105">
        <f t="shared" si="1"/>
        <v>64115.01</v>
      </c>
      <c r="S12" s="105">
        <f t="shared" si="2"/>
        <v>63856.94</v>
      </c>
      <c r="T12" s="105">
        <f t="shared" si="3"/>
        <v>47721.95</v>
      </c>
      <c r="U12" s="105">
        <f t="shared" si="4"/>
        <v>41362.28</v>
      </c>
      <c r="V12" s="105">
        <f t="shared" si="5"/>
        <v>36225.39</v>
      </c>
      <c r="W12" s="61"/>
      <c r="X12" s="106">
        <v>85781.38</v>
      </c>
      <c r="Y12" s="106">
        <v>64115.01</v>
      </c>
      <c r="Z12" s="105">
        <f t="shared" si="27"/>
        <v>89469.979340000005</v>
      </c>
      <c r="AA12" s="105">
        <f t="shared" si="28"/>
        <v>66871.955430000002</v>
      </c>
      <c r="AB12" s="105">
        <f t="shared" si="29"/>
        <v>96075.145600000018</v>
      </c>
      <c r="AC12" s="105">
        <f t="shared" si="30"/>
        <v>71808.811200000011</v>
      </c>
      <c r="AD12" s="107">
        <v>63856.94</v>
      </c>
      <c r="AE12" s="107">
        <v>47721.95</v>
      </c>
      <c r="AF12" s="105">
        <f t="shared" si="31"/>
        <v>66602.788419999997</v>
      </c>
      <c r="AG12" s="105">
        <f t="shared" si="32"/>
        <v>49773.993849999992</v>
      </c>
      <c r="AH12" s="105">
        <f t="shared" si="33"/>
        <v>71519.772800000006</v>
      </c>
      <c r="AI12" s="105">
        <f t="shared" si="34"/>
        <v>53448.584000000003</v>
      </c>
      <c r="AJ12" s="106">
        <v>41362.28</v>
      </c>
      <c r="AK12" s="106">
        <v>36225.39</v>
      </c>
      <c r="AL12" s="105">
        <f t="shared" si="35"/>
        <v>43140.858039999999</v>
      </c>
      <c r="AM12" s="105">
        <f t="shared" si="36"/>
        <v>37783.081769999997</v>
      </c>
      <c r="AN12" s="105">
        <f t="shared" si="37"/>
        <v>46325.753600000004</v>
      </c>
      <c r="AO12" s="105">
        <f t="shared" si="38"/>
        <v>40572.436800000003</v>
      </c>
      <c r="AP12" s="61"/>
      <c r="AQ12" s="108">
        <v>9</v>
      </c>
      <c r="AR12" s="109">
        <f ca="1">+RESUMEN!F12</f>
        <v>0</v>
      </c>
      <c r="AS12" s="109">
        <f ca="1">+RESUMEN!G12</f>
        <v>0</v>
      </c>
      <c r="AT12" s="110">
        <f t="shared" ca="1" si="6"/>
        <v>0</v>
      </c>
      <c r="AU12" s="111">
        <f t="shared" si="39"/>
        <v>0</v>
      </c>
      <c r="AV12" s="111">
        <f t="shared" si="40"/>
        <v>0</v>
      </c>
      <c r="AW12" s="111">
        <f t="shared" si="41"/>
        <v>0</v>
      </c>
      <c r="AX12" s="111">
        <f t="shared" si="42"/>
        <v>0</v>
      </c>
      <c r="AY12" s="111">
        <f t="shared" ca="1" si="43"/>
        <v>0</v>
      </c>
      <c r="AZ12" s="110"/>
      <c r="BA12" s="111">
        <f t="shared" ca="1" si="7"/>
        <v>0</v>
      </c>
      <c r="BB12" s="111">
        <f t="shared" ca="1" si="8"/>
        <v>0</v>
      </c>
      <c r="BC12" s="112"/>
      <c r="BD12" s="113">
        <f t="shared" ca="1" si="44"/>
        <v>0</v>
      </c>
      <c r="BE12" s="113">
        <f t="shared" ca="1" si="45"/>
        <v>0</v>
      </c>
      <c r="BF12" s="114" t="str">
        <f t="shared" ca="1" si="9"/>
        <v/>
      </c>
      <c r="BG12" s="61"/>
      <c r="BH12" s="64">
        <f t="shared" ca="1" si="10"/>
        <v>0</v>
      </c>
      <c r="BI12" s="64">
        <f t="shared" ca="1" si="11"/>
        <v>0</v>
      </c>
      <c r="BJ12" s="112"/>
      <c r="BK12" s="115">
        <f t="shared" ca="1" si="46"/>
        <v>0</v>
      </c>
      <c r="BL12" s="115">
        <f t="shared" ca="1" si="47"/>
        <v>0</v>
      </c>
      <c r="BM12" s="116" t="str">
        <f t="shared" ca="1" si="12"/>
        <v/>
      </c>
      <c r="BN12" s="61"/>
      <c r="BO12" s="117">
        <f t="shared" ca="1" si="13"/>
        <v>0</v>
      </c>
      <c r="BP12" s="117">
        <f t="shared" ca="1" si="14"/>
        <v>0</v>
      </c>
      <c r="BQ12" s="112"/>
      <c r="BR12" s="118">
        <f t="shared" ca="1" si="48"/>
        <v>0</v>
      </c>
      <c r="BS12" s="118">
        <f t="shared" ca="1" si="49"/>
        <v>0</v>
      </c>
      <c r="BT12" s="119" t="str">
        <f t="shared" ca="1" si="15"/>
        <v/>
      </c>
      <c r="BU12" s="61"/>
      <c r="BV12" s="120">
        <f t="shared" ca="1" si="16"/>
        <v>0</v>
      </c>
      <c r="BW12" s="120">
        <f t="shared" ca="1" si="17"/>
        <v>0</v>
      </c>
      <c r="BX12" s="112"/>
      <c r="BY12" s="121">
        <f t="shared" ca="1" si="50"/>
        <v>0</v>
      </c>
      <c r="BZ12" s="121">
        <f t="shared" ca="1" si="51"/>
        <v>0</v>
      </c>
      <c r="CA12" s="122" t="str">
        <f t="shared" ca="1" si="18"/>
        <v/>
      </c>
      <c r="CB12" s="61"/>
      <c r="CC12" s="123">
        <f t="shared" ca="1" si="52"/>
        <v>0</v>
      </c>
      <c r="CD12" s="123">
        <f t="shared" ca="1" si="53"/>
        <v>0</v>
      </c>
      <c r="CE12" s="112"/>
      <c r="CF12" s="124">
        <f t="shared" ca="1" si="54"/>
        <v>0</v>
      </c>
      <c r="CG12" s="124">
        <f t="shared" ca="1" si="55"/>
        <v>0</v>
      </c>
      <c r="CH12" s="125" t="str">
        <f t="shared" ca="1" si="19"/>
        <v/>
      </c>
      <c r="CI12" s="61"/>
      <c r="CJ12" s="126">
        <f t="shared" ca="1" si="20"/>
        <v>0</v>
      </c>
      <c r="CK12" s="126">
        <f t="shared" ca="1" si="21"/>
        <v>0</v>
      </c>
      <c r="CL12" s="112"/>
      <c r="CM12" s="127">
        <f t="shared" ca="1" si="56"/>
        <v>0</v>
      </c>
      <c r="CN12" s="127">
        <f t="shared" ca="1" si="57"/>
        <v>0</v>
      </c>
      <c r="CO12" s="128" t="str">
        <f t="shared" ca="1" si="22"/>
        <v/>
      </c>
      <c r="CP12" s="61"/>
      <c r="CQ12" s="108">
        <v>9</v>
      </c>
      <c r="CR12" s="273">
        <v>0.18</v>
      </c>
      <c r="CS12" s="61">
        <f t="shared" si="58"/>
        <v>0</v>
      </c>
      <c r="CT12" s="278">
        <f t="shared" si="59"/>
        <v>0.18</v>
      </c>
      <c r="CU12" s="61">
        <f t="shared" si="60"/>
        <v>1</v>
      </c>
      <c r="CV12" s="287">
        <f t="shared" si="61"/>
        <v>1</v>
      </c>
      <c r="CW12" s="309">
        <f t="shared" si="23"/>
        <v>140.93</v>
      </c>
      <c r="CX12" s="309">
        <f t="shared" si="24"/>
        <v>69.12</v>
      </c>
      <c r="CY12" s="300">
        <f t="shared" si="25"/>
        <v>279.81</v>
      </c>
      <c r="CZ12" s="309">
        <f t="shared" si="26"/>
        <v>155.79</v>
      </c>
      <c r="DA12"/>
      <c r="DC12" s="544">
        <v>537.13</v>
      </c>
    </row>
    <row r="13" spans="1:107">
      <c r="A13" s="130" t="s">
        <v>14</v>
      </c>
      <c r="B13" s="130"/>
      <c r="C13" s="255" t="str">
        <f>+IF(OR(LEFT(B13)="F",B13=""),"NO","SI")</f>
        <v>NO</v>
      </c>
      <c r="E13" s="130" t="s">
        <v>352</v>
      </c>
      <c r="F13" s="250">
        <v>1</v>
      </c>
      <c r="G13" s="129">
        <f>VALUE(VLOOKUP(F13,L107:M123,2,0))</f>
        <v>20000</v>
      </c>
      <c r="H13" s="130" t="s">
        <v>350</v>
      </c>
      <c r="J13" s="132">
        <v>10</v>
      </c>
      <c r="K13" s="36">
        <v>18041.55</v>
      </c>
      <c r="L13" s="36">
        <v>18779.45</v>
      </c>
      <c r="M13" s="36">
        <v>16014.69</v>
      </c>
      <c r="N13" s="36">
        <v>16669.689999999999</v>
      </c>
      <c r="O13" s="36">
        <v>14179.68</v>
      </c>
      <c r="P13" s="36">
        <v>14759.62</v>
      </c>
      <c r="Q13" s="105">
        <f t="shared" si="0"/>
        <v>85781.38</v>
      </c>
      <c r="R13" s="105">
        <f t="shared" si="1"/>
        <v>57938.57</v>
      </c>
      <c r="S13" s="105">
        <f t="shared" si="2"/>
        <v>63856.94</v>
      </c>
      <c r="T13" s="105">
        <f t="shared" si="3"/>
        <v>40898.699999999997</v>
      </c>
      <c r="U13" s="105">
        <f t="shared" si="4"/>
        <v>41362.28</v>
      </c>
      <c r="V13" s="105">
        <f t="shared" si="5"/>
        <v>28186.89</v>
      </c>
      <c r="W13" s="61"/>
      <c r="X13" s="106">
        <v>85781.38</v>
      </c>
      <c r="Y13" s="106">
        <v>57938.57</v>
      </c>
      <c r="Z13" s="105">
        <f t="shared" si="27"/>
        <v>89469.979340000005</v>
      </c>
      <c r="AA13" s="105">
        <f t="shared" si="28"/>
        <v>60429.928509999998</v>
      </c>
      <c r="AB13" s="105">
        <f t="shared" si="29"/>
        <v>96075.145600000018</v>
      </c>
      <c r="AC13" s="105">
        <f t="shared" si="30"/>
        <v>64891.198400000008</v>
      </c>
      <c r="AD13" s="107">
        <v>63856.94</v>
      </c>
      <c r="AE13" s="107">
        <v>40898.699999999997</v>
      </c>
      <c r="AF13" s="105">
        <f t="shared" si="31"/>
        <v>66602.788419999997</v>
      </c>
      <c r="AG13" s="105">
        <f t="shared" si="32"/>
        <v>42657.344099999995</v>
      </c>
      <c r="AH13" s="105">
        <f t="shared" si="33"/>
        <v>71519.772800000006</v>
      </c>
      <c r="AI13" s="105">
        <f t="shared" si="34"/>
        <v>45806.544000000002</v>
      </c>
      <c r="AJ13" s="106">
        <v>41362.28</v>
      </c>
      <c r="AK13" s="106">
        <v>28186.89</v>
      </c>
      <c r="AL13" s="105">
        <f t="shared" si="35"/>
        <v>43140.858039999999</v>
      </c>
      <c r="AM13" s="105">
        <f t="shared" si="36"/>
        <v>29398.926269999996</v>
      </c>
      <c r="AN13" s="105">
        <f t="shared" si="37"/>
        <v>46325.753600000004</v>
      </c>
      <c r="AO13" s="105">
        <f t="shared" si="38"/>
        <v>31569.316800000004</v>
      </c>
      <c r="AP13" s="61"/>
      <c r="AQ13" s="108">
        <v>10</v>
      </c>
      <c r="AR13" s="109">
        <f ca="1">+RESUMEN!F13</f>
        <v>0</v>
      </c>
      <c r="AS13" s="109">
        <f ca="1">+RESUMEN!G13</f>
        <v>0</v>
      </c>
      <c r="AT13" s="110">
        <f t="shared" ca="1" si="6"/>
        <v>0</v>
      </c>
      <c r="AU13" s="111">
        <f t="shared" si="39"/>
        <v>0</v>
      </c>
      <c r="AV13" s="111">
        <f t="shared" si="40"/>
        <v>0</v>
      </c>
      <c r="AW13" s="111">
        <f t="shared" si="41"/>
        <v>0</v>
      </c>
      <c r="AX13" s="111">
        <f t="shared" si="42"/>
        <v>0</v>
      </c>
      <c r="AY13" s="111">
        <f t="shared" ca="1" si="43"/>
        <v>0</v>
      </c>
      <c r="AZ13" s="110"/>
      <c r="BA13" s="111">
        <f t="shared" ca="1" si="7"/>
        <v>0</v>
      </c>
      <c r="BB13" s="111">
        <f t="shared" ca="1" si="8"/>
        <v>0</v>
      </c>
      <c r="BC13" s="112"/>
      <c r="BD13" s="113">
        <f t="shared" ca="1" si="44"/>
        <v>0</v>
      </c>
      <c r="BE13" s="113">
        <f t="shared" ca="1" si="45"/>
        <v>0</v>
      </c>
      <c r="BF13" s="114" t="str">
        <f t="shared" ca="1" si="9"/>
        <v/>
      </c>
      <c r="BG13" s="61"/>
      <c r="BH13" s="64">
        <f t="shared" ca="1" si="10"/>
        <v>0</v>
      </c>
      <c r="BI13" s="64">
        <f t="shared" ca="1" si="11"/>
        <v>0</v>
      </c>
      <c r="BJ13" s="112"/>
      <c r="BK13" s="115">
        <f t="shared" ca="1" si="46"/>
        <v>0</v>
      </c>
      <c r="BL13" s="115">
        <f t="shared" ca="1" si="47"/>
        <v>0</v>
      </c>
      <c r="BM13" s="116" t="str">
        <f t="shared" ca="1" si="12"/>
        <v/>
      </c>
      <c r="BN13" s="61"/>
      <c r="BO13" s="117">
        <f t="shared" ca="1" si="13"/>
        <v>0</v>
      </c>
      <c r="BP13" s="117">
        <f t="shared" ca="1" si="14"/>
        <v>0</v>
      </c>
      <c r="BQ13" s="112"/>
      <c r="BR13" s="118">
        <f t="shared" ca="1" si="48"/>
        <v>0</v>
      </c>
      <c r="BS13" s="118">
        <f t="shared" ca="1" si="49"/>
        <v>0</v>
      </c>
      <c r="BT13" s="119" t="str">
        <f t="shared" ca="1" si="15"/>
        <v/>
      </c>
      <c r="BU13" s="61"/>
      <c r="BV13" s="120">
        <f t="shared" ca="1" si="16"/>
        <v>0</v>
      </c>
      <c r="BW13" s="120">
        <f t="shared" ca="1" si="17"/>
        <v>0</v>
      </c>
      <c r="BX13" s="112"/>
      <c r="BY13" s="121">
        <f t="shared" ca="1" si="50"/>
        <v>0</v>
      </c>
      <c r="BZ13" s="121">
        <f t="shared" ca="1" si="51"/>
        <v>0</v>
      </c>
      <c r="CA13" s="122" t="str">
        <f t="shared" ca="1" si="18"/>
        <v/>
      </c>
      <c r="CB13" s="61"/>
      <c r="CC13" s="123">
        <f t="shared" ca="1" si="52"/>
        <v>0</v>
      </c>
      <c r="CD13" s="123">
        <f t="shared" ca="1" si="53"/>
        <v>0</v>
      </c>
      <c r="CE13" s="112"/>
      <c r="CF13" s="124">
        <f t="shared" ca="1" si="54"/>
        <v>0</v>
      </c>
      <c r="CG13" s="124">
        <f t="shared" ca="1" si="55"/>
        <v>0</v>
      </c>
      <c r="CH13" s="125" t="str">
        <f t="shared" ca="1" si="19"/>
        <v/>
      </c>
      <c r="CI13" s="61"/>
      <c r="CJ13" s="126">
        <f t="shared" ca="1" si="20"/>
        <v>0</v>
      </c>
      <c r="CK13" s="126">
        <f t="shared" ca="1" si="21"/>
        <v>0</v>
      </c>
      <c r="CL13" s="112"/>
      <c r="CM13" s="127">
        <f t="shared" ca="1" si="56"/>
        <v>0</v>
      </c>
      <c r="CN13" s="127">
        <f t="shared" ca="1" si="57"/>
        <v>0</v>
      </c>
      <c r="CO13" s="128" t="str">
        <f t="shared" ca="1" si="22"/>
        <v/>
      </c>
      <c r="CP13" s="61"/>
      <c r="CQ13" s="108">
        <v>10</v>
      </c>
      <c r="CR13" s="273">
        <v>0.18</v>
      </c>
      <c r="CS13" s="61">
        <f t="shared" si="58"/>
        <v>0</v>
      </c>
      <c r="CT13" s="278">
        <f t="shared" si="59"/>
        <v>0.18</v>
      </c>
      <c r="CU13" s="61">
        <f t="shared" si="60"/>
        <v>1</v>
      </c>
      <c r="CV13" s="287">
        <f t="shared" si="61"/>
        <v>1</v>
      </c>
      <c r="CW13" s="309">
        <f t="shared" si="23"/>
        <v>140.93</v>
      </c>
      <c r="CX13" s="309">
        <f t="shared" si="24"/>
        <v>69.12</v>
      </c>
      <c r="CY13" s="300">
        <f t="shared" si="25"/>
        <v>279.81</v>
      </c>
      <c r="CZ13" s="309">
        <f t="shared" si="26"/>
        <v>155.79</v>
      </c>
      <c r="DA13"/>
      <c r="DC13" s="544">
        <v>537.13</v>
      </c>
    </row>
    <row r="14" spans="1:107">
      <c r="A14" s="130" t="s">
        <v>35</v>
      </c>
      <c r="B14" s="257">
        <v>0.18</v>
      </c>
      <c r="C14" s="258">
        <f>+B14-(IF(F20=1,0,'DATOS GENERALES'!#REF!))</f>
        <v>0.18</v>
      </c>
      <c r="D14"/>
      <c r="E14"/>
      <c r="F14"/>
      <c r="G14"/>
      <c r="H14"/>
      <c r="I14"/>
      <c r="J14" s="132">
        <v>11</v>
      </c>
      <c r="K14" s="36">
        <v>15879.29</v>
      </c>
      <c r="L14" s="36">
        <v>18779.45</v>
      </c>
      <c r="M14" s="36">
        <v>14095.35</v>
      </c>
      <c r="N14" s="36">
        <v>16669.689999999999</v>
      </c>
      <c r="O14" s="36">
        <v>12480.25</v>
      </c>
      <c r="P14" s="36">
        <v>14759.62</v>
      </c>
      <c r="Q14" s="105">
        <f t="shared" si="0"/>
        <v>85781.38</v>
      </c>
      <c r="R14" s="105">
        <f t="shared" si="1"/>
        <v>54967.19</v>
      </c>
      <c r="S14" s="105">
        <f t="shared" si="2"/>
        <v>63856.94</v>
      </c>
      <c r="T14" s="105">
        <f t="shared" si="3"/>
        <v>36966.199999999997</v>
      </c>
      <c r="U14" s="105">
        <f t="shared" si="4"/>
        <v>41362.28</v>
      </c>
      <c r="V14" s="105">
        <f t="shared" si="5"/>
        <v>25170.39</v>
      </c>
      <c r="W14" s="61"/>
      <c r="X14" s="106">
        <v>85781.38</v>
      </c>
      <c r="Y14" s="106">
        <v>54967.19</v>
      </c>
      <c r="Z14" s="105">
        <f t="shared" si="27"/>
        <v>89469.979340000005</v>
      </c>
      <c r="AA14" s="105">
        <f t="shared" si="28"/>
        <v>57330.779170000002</v>
      </c>
      <c r="AB14" s="105">
        <f t="shared" si="29"/>
        <v>96075.145600000018</v>
      </c>
      <c r="AC14" s="105">
        <f t="shared" si="30"/>
        <v>61563.252800000009</v>
      </c>
      <c r="AD14" s="107">
        <v>63856.94</v>
      </c>
      <c r="AE14" s="107">
        <v>36966.199999999997</v>
      </c>
      <c r="AF14" s="105">
        <f t="shared" si="31"/>
        <v>66602.788419999997</v>
      </c>
      <c r="AG14" s="105">
        <f t="shared" si="32"/>
        <v>38555.746599999991</v>
      </c>
      <c r="AH14" s="105">
        <f t="shared" si="33"/>
        <v>71519.772800000006</v>
      </c>
      <c r="AI14" s="105">
        <f t="shared" si="34"/>
        <v>41402.144</v>
      </c>
      <c r="AJ14" s="106">
        <v>41362.28</v>
      </c>
      <c r="AK14" s="106">
        <v>25170.39</v>
      </c>
      <c r="AL14" s="105">
        <f t="shared" si="35"/>
        <v>43140.858039999999</v>
      </c>
      <c r="AM14" s="105">
        <f t="shared" si="36"/>
        <v>26252.716769999999</v>
      </c>
      <c r="AN14" s="105">
        <f t="shared" si="37"/>
        <v>46325.753600000004</v>
      </c>
      <c r="AO14" s="105">
        <f t="shared" si="38"/>
        <v>28190.836800000001</v>
      </c>
      <c r="AP14" s="61"/>
      <c r="AQ14" s="108">
        <v>11</v>
      </c>
      <c r="AR14" s="109">
        <f ca="1">+RESUMEN!F14</f>
        <v>0</v>
      </c>
      <c r="AS14" s="109">
        <f ca="1">+RESUMEN!G14</f>
        <v>0</v>
      </c>
      <c r="AT14" s="110">
        <f t="shared" ca="1" si="6"/>
        <v>0</v>
      </c>
      <c r="AU14" s="111">
        <f t="shared" si="39"/>
        <v>0</v>
      </c>
      <c r="AV14" s="111">
        <f t="shared" si="40"/>
        <v>0</v>
      </c>
      <c r="AW14" s="111">
        <f t="shared" si="41"/>
        <v>0</v>
      </c>
      <c r="AX14" s="111">
        <f t="shared" si="42"/>
        <v>0</v>
      </c>
      <c r="AY14" s="111">
        <f t="shared" ca="1" si="43"/>
        <v>0</v>
      </c>
      <c r="AZ14" s="110"/>
      <c r="BA14" s="111">
        <f t="shared" ca="1" si="7"/>
        <v>0</v>
      </c>
      <c r="BB14" s="111">
        <f t="shared" ca="1" si="8"/>
        <v>0</v>
      </c>
      <c r="BC14" s="112"/>
      <c r="BD14" s="113">
        <f t="shared" ca="1" si="44"/>
        <v>0</v>
      </c>
      <c r="BE14" s="113">
        <f t="shared" ca="1" si="45"/>
        <v>0</v>
      </c>
      <c r="BF14" s="114" t="str">
        <f t="shared" ca="1" si="9"/>
        <v/>
      </c>
      <c r="BG14" s="61"/>
      <c r="BH14" s="64">
        <f t="shared" ca="1" si="10"/>
        <v>0</v>
      </c>
      <c r="BI14" s="64">
        <f t="shared" ca="1" si="11"/>
        <v>0</v>
      </c>
      <c r="BJ14" s="112"/>
      <c r="BK14" s="115">
        <f t="shared" ca="1" si="46"/>
        <v>0</v>
      </c>
      <c r="BL14" s="115">
        <f t="shared" ca="1" si="47"/>
        <v>0</v>
      </c>
      <c r="BM14" s="116" t="str">
        <f t="shared" ca="1" si="12"/>
        <v/>
      </c>
      <c r="BN14" s="61"/>
      <c r="BO14" s="117">
        <f t="shared" ca="1" si="13"/>
        <v>0</v>
      </c>
      <c r="BP14" s="117">
        <f t="shared" ca="1" si="14"/>
        <v>0</v>
      </c>
      <c r="BQ14" s="112"/>
      <c r="BR14" s="118">
        <f t="shared" ca="1" si="48"/>
        <v>0</v>
      </c>
      <c r="BS14" s="118">
        <f t="shared" ca="1" si="49"/>
        <v>0</v>
      </c>
      <c r="BT14" s="119" t="str">
        <f t="shared" ca="1" si="15"/>
        <v/>
      </c>
      <c r="BU14" s="61"/>
      <c r="BV14" s="120">
        <f t="shared" ca="1" si="16"/>
        <v>0</v>
      </c>
      <c r="BW14" s="120">
        <f t="shared" ca="1" si="17"/>
        <v>0</v>
      </c>
      <c r="BX14" s="112"/>
      <c r="BY14" s="121">
        <f t="shared" ca="1" si="50"/>
        <v>0</v>
      </c>
      <c r="BZ14" s="121">
        <f t="shared" ca="1" si="51"/>
        <v>0</v>
      </c>
      <c r="CA14" s="122" t="str">
        <f t="shared" ca="1" si="18"/>
        <v/>
      </c>
      <c r="CB14" s="61"/>
      <c r="CC14" s="123">
        <f t="shared" ca="1" si="52"/>
        <v>0</v>
      </c>
      <c r="CD14" s="123">
        <f t="shared" ca="1" si="53"/>
        <v>0</v>
      </c>
      <c r="CE14" s="112"/>
      <c r="CF14" s="124">
        <f t="shared" ca="1" si="54"/>
        <v>0</v>
      </c>
      <c r="CG14" s="124">
        <f t="shared" ca="1" si="55"/>
        <v>0</v>
      </c>
      <c r="CH14" s="125" t="str">
        <f t="shared" ca="1" si="19"/>
        <v/>
      </c>
      <c r="CI14" s="61"/>
      <c r="CJ14" s="126">
        <f t="shared" ca="1" si="20"/>
        <v>0</v>
      </c>
      <c r="CK14" s="126">
        <f t="shared" ca="1" si="21"/>
        <v>0</v>
      </c>
      <c r="CL14" s="112"/>
      <c r="CM14" s="127">
        <f t="shared" ca="1" si="56"/>
        <v>0</v>
      </c>
      <c r="CN14" s="127">
        <f t="shared" ca="1" si="57"/>
        <v>0</v>
      </c>
      <c r="CO14" s="128" t="str">
        <f t="shared" ca="1" si="22"/>
        <v/>
      </c>
      <c r="CP14" s="61"/>
      <c r="CQ14" s="108">
        <v>11</v>
      </c>
      <c r="CR14" s="273">
        <v>0.18</v>
      </c>
      <c r="CS14" s="61">
        <f t="shared" si="58"/>
        <v>0</v>
      </c>
      <c r="CT14" s="278">
        <f t="shared" si="59"/>
        <v>0.18</v>
      </c>
      <c r="CU14" s="61">
        <f t="shared" si="60"/>
        <v>1</v>
      </c>
      <c r="CV14" s="287">
        <f t="shared" si="61"/>
        <v>1</v>
      </c>
      <c r="CW14" s="309">
        <f t="shared" si="23"/>
        <v>140.93</v>
      </c>
      <c r="CX14" s="309">
        <f t="shared" si="24"/>
        <v>69.12</v>
      </c>
      <c r="CY14" s="300">
        <f t="shared" si="25"/>
        <v>279.81</v>
      </c>
      <c r="CZ14" s="309">
        <f t="shared" si="26"/>
        <v>155.79</v>
      </c>
      <c r="DA14"/>
      <c r="DC14" s="544">
        <v>537.13</v>
      </c>
    </row>
    <row r="15" spans="1:107">
      <c r="A15" s="130" t="s">
        <v>358</v>
      </c>
      <c r="B15" s="247">
        <v>1</v>
      </c>
      <c r="C15" s="258">
        <f>+B15-'DATOS GENERALES'!G16</f>
        <v>1</v>
      </c>
      <c r="D15"/>
      <c r="E15" s="130" t="s">
        <v>359</v>
      </c>
      <c r="F15"/>
      <c r="G15"/>
      <c r="H15"/>
      <c r="I15"/>
      <c r="J15" s="132">
        <v>12</v>
      </c>
      <c r="K15" s="36">
        <v>16041.58</v>
      </c>
      <c r="L15" s="36">
        <v>18980.900000000001</v>
      </c>
      <c r="M15" s="36">
        <v>14239.4</v>
      </c>
      <c r="N15" s="36">
        <v>16848.509999999998</v>
      </c>
      <c r="O15" s="36">
        <v>12607.8</v>
      </c>
      <c r="P15" s="36">
        <v>14917.95</v>
      </c>
      <c r="Q15" s="105">
        <f t="shared" si="0"/>
        <v>85781.38</v>
      </c>
      <c r="R15" s="105">
        <f t="shared" si="1"/>
        <v>55200.1</v>
      </c>
      <c r="S15" s="105">
        <f t="shared" si="2"/>
        <v>63856.94</v>
      </c>
      <c r="T15" s="105">
        <f t="shared" si="3"/>
        <v>37145.480000000003</v>
      </c>
      <c r="U15" s="105">
        <f t="shared" si="4"/>
        <v>41362.28</v>
      </c>
      <c r="V15" s="105">
        <f t="shared" si="5"/>
        <v>25420.65</v>
      </c>
      <c r="W15" s="61"/>
      <c r="X15" s="106">
        <v>85781.38</v>
      </c>
      <c r="Y15" s="106">
        <v>55200.1</v>
      </c>
      <c r="Z15" s="105">
        <f t="shared" si="27"/>
        <v>89469.979340000005</v>
      </c>
      <c r="AA15" s="105">
        <f t="shared" si="28"/>
        <v>57573.704299999998</v>
      </c>
      <c r="AB15" s="105">
        <f t="shared" si="29"/>
        <v>96075.145600000018</v>
      </c>
      <c r="AC15" s="105">
        <f t="shared" si="30"/>
        <v>61824.112000000001</v>
      </c>
      <c r="AD15" s="107">
        <v>63856.94</v>
      </c>
      <c r="AE15" s="107">
        <v>37145.480000000003</v>
      </c>
      <c r="AF15" s="105">
        <f t="shared" si="31"/>
        <v>66602.788419999997</v>
      </c>
      <c r="AG15" s="105">
        <f t="shared" si="32"/>
        <v>38742.735639999999</v>
      </c>
      <c r="AH15" s="105">
        <f t="shared" si="33"/>
        <v>71519.772800000006</v>
      </c>
      <c r="AI15" s="105">
        <f t="shared" si="34"/>
        <v>41602.937600000005</v>
      </c>
      <c r="AJ15" s="106">
        <v>41362.28</v>
      </c>
      <c r="AK15" s="106">
        <v>25420.65</v>
      </c>
      <c r="AL15" s="105">
        <f t="shared" si="35"/>
        <v>43140.858039999999</v>
      </c>
      <c r="AM15" s="105">
        <f t="shared" si="36"/>
        <v>26513.737949999999</v>
      </c>
      <c r="AN15" s="105">
        <f t="shared" si="37"/>
        <v>46325.753600000004</v>
      </c>
      <c r="AO15" s="105">
        <f t="shared" si="38"/>
        <v>28471.128000000004</v>
      </c>
      <c r="AP15" s="61"/>
      <c r="AQ15" s="108">
        <v>12</v>
      </c>
      <c r="AR15" s="109">
        <f ca="1">+RESUMEN!F15</f>
        <v>0</v>
      </c>
      <c r="AS15" s="109">
        <f ca="1">+RESUMEN!G15</f>
        <v>0</v>
      </c>
      <c r="AT15" s="110">
        <f t="shared" ca="1" si="6"/>
        <v>0</v>
      </c>
      <c r="AU15" s="111">
        <f t="shared" si="39"/>
        <v>0</v>
      </c>
      <c r="AV15" s="111">
        <f t="shared" si="40"/>
        <v>0</v>
      </c>
      <c r="AW15" s="111">
        <f t="shared" si="41"/>
        <v>0</v>
      </c>
      <c r="AX15" s="111">
        <f t="shared" si="42"/>
        <v>0</v>
      </c>
      <c r="AY15" s="111">
        <f t="shared" ca="1" si="43"/>
        <v>0</v>
      </c>
      <c r="AZ15" s="110"/>
      <c r="BA15" s="111">
        <f t="shared" ca="1" si="7"/>
        <v>0</v>
      </c>
      <c r="BB15" s="111">
        <f t="shared" ca="1" si="8"/>
        <v>0</v>
      </c>
      <c r="BC15" s="112"/>
      <c r="BD15" s="113">
        <f t="shared" ca="1" si="44"/>
        <v>0</v>
      </c>
      <c r="BE15" s="113">
        <f t="shared" ca="1" si="45"/>
        <v>0</v>
      </c>
      <c r="BF15" s="114" t="str">
        <f t="shared" ca="1" si="9"/>
        <v/>
      </c>
      <c r="BG15" s="61"/>
      <c r="BH15" s="64">
        <f t="shared" ca="1" si="10"/>
        <v>0</v>
      </c>
      <c r="BI15" s="64">
        <f t="shared" ca="1" si="11"/>
        <v>0</v>
      </c>
      <c r="BJ15" s="112"/>
      <c r="BK15" s="115">
        <f t="shared" ca="1" si="46"/>
        <v>0</v>
      </c>
      <c r="BL15" s="115">
        <f t="shared" ca="1" si="47"/>
        <v>0</v>
      </c>
      <c r="BM15" s="116" t="str">
        <f t="shared" ca="1" si="12"/>
        <v/>
      </c>
      <c r="BN15" s="61"/>
      <c r="BO15" s="117">
        <f t="shared" ca="1" si="13"/>
        <v>0</v>
      </c>
      <c r="BP15" s="117">
        <f t="shared" ca="1" si="14"/>
        <v>0</v>
      </c>
      <c r="BQ15" s="112"/>
      <c r="BR15" s="118">
        <f t="shared" ca="1" si="48"/>
        <v>0</v>
      </c>
      <c r="BS15" s="118">
        <f t="shared" ca="1" si="49"/>
        <v>0</v>
      </c>
      <c r="BT15" s="119" t="str">
        <f t="shared" ca="1" si="15"/>
        <v/>
      </c>
      <c r="BU15" s="194"/>
      <c r="BV15" s="120">
        <f t="shared" ca="1" si="16"/>
        <v>0</v>
      </c>
      <c r="BW15" s="120">
        <f t="shared" ca="1" si="17"/>
        <v>0</v>
      </c>
      <c r="BX15" s="112"/>
      <c r="BY15" s="121">
        <f t="shared" ca="1" si="50"/>
        <v>0</v>
      </c>
      <c r="BZ15" s="121">
        <f t="shared" ca="1" si="51"/>
        <v>0</v>
      </c>
      <c r="CA15" s="122" t="str">
        <f t="shared" ca="1" si="18"/>
        <v/>
      </c>
      <c r="CB15" s="61"/>
      <c r="CC15" s="123">
        <f t="shared" ca="1" si="52"/>
        <v>0</v>
      </c>
      <c r="CD15" s="123">
        <f t="shared" ca="1" si="53"/>
        <v>0</v>
      </c>
      <c r="CE15" s="112"/>
      <c r="CF15" s="124">
        <f t="shared" ca="1" si="54"/>
        <v>0</v>
      </c>
      <c r="CG15" s="124">
        <f t="shared" ca="1" si="55"/>
        <v>0</v>
      </c>
      <c r="CH15" s="125" t="str">
        <f t="shared" ca="1" si="19"/>
        <v/>
      </c>
      <c r="CI15" s="61"/>
      <c r="CJ15" s="126">
        <f t="shared" ca="1" si="20"/>
        <v>0</v>
      </c>
      <c r="CK15" s="126">
        <f t="shared" ca="1" si="21"/>
        <v>0</v>
      </c>
      <c r="CL15" s="112"/>
      <c r="CM15" s="127">
        <f t="shared" ca="1" si="56"/>
        <v>0</v>
      </c>
      <c r="CN15" s="127">
        <f t="shared" ca="1" si="57"/>
        <v>0</v>
      </c>
      <c r="CO15" s="128" t="str">
        <f t="shared" ca="1" si="22"/>
        <v/>
      </c>
      <c r="CP15" s="61"/>
      <c r="CQ15" s="108">
        <v>12</v>
      </c>
      <c r="CR15" s="273">
        <v>0.18</v>
      </c>
      <c r="CS15" s="61">
        <f t="shared" si="58"/>
        <v>0</v>
      </c>
      <c r="CT15" s="278">
        <f t="shared" si="59"/>
        <v>0.18</v>
      </c>
      <c r="CU15" s="61">
        <f t="shared" si="60"/>
        <v>1</v>
      </c>
      <c r="CV15" s="287">
        <f t="shared" si="61"/>
        <v>1</v>
      </c>
      <c r="CW15" s="309">
        <f t="shared" si="23"/>
        <v>140.93</v>
      </c>
      <c r="CX15" s="309">
        <f t="shared" si="24"/>
        <v>69.12</v>
      </c>
      <c r="CY15" s="300">
        <f t="shared" si="25"/>
        <v>279.81</v>
      </c>
      <c r="CZ15" s="309">
        <f t="shared" si="26"/>
        <v>155.79</v>
      </c>
      <c r="DA15"/>
      <c r="DC15" s="544">
        <v>537.13</v>
      </c>
    </row>
    <row r="16" spans="1:107">
      <c r="A16"/>
      <c r="B16"/>
      <c r="C16"/>
      <c r="D16" s="61"/>
      <c r="E16" s="130" t="s">
        <v>360</v>
      </c>
      <c r="F16" s="250">
        <v>1</v>
      </c>
      <c r="G16" s="129">
        <f>VALUE(VLOOKUP(F16,MATERNIDAD,IF(B4&gt;=4,4,B4+1),0))</f>
        <v>0</v>
      </c>
      <c r="H16" s="130" t="s">
        <v>350</v>
      </c>
      <c r="I16" s="61"/>
      <c r="J16" s="132">
        <v>13</v>
      </c>
      <c r="K16" s="36">
        <v>15153.57</v>
      </c>
      <c r="L16" s="36">
        <v>19413.560000000001</v>
      </c>
      <c r="M16" s="36">
        <v>13451.15</v>
      </c>
      <c r="N16" s="36">
        <v>17232.560000000001</v>
      </c>
      <c r="O16" s="36">
        <v>11909.88</v>
      </c>
      <c r="P16" s="36">
        <v>15258</v>
      </c>
      <c r="Q16" s="105">
        <f t="shared" si="0"/>
        <v>85781.38</v>
      </c>
      <c r="R16" s="105">
        <f t="shared" si="1"/>
        <v>55282.81</v>
      </c>
      <c r="S16" s="105">
        <f t="shared" si="2"/>
        <v>63856.94</v>
      </c>
      <c r="T16" s="105">
        <f t="shared" si="3"/>
        <v>37325.64</v>
      </c>
      <c r="U16" s="105">
        <f t="shared" si="4"/>
        <v>41362.28</v>
      </c>
      <c r="V16" s="105">
        <f t="shared" si="5"/>
        <v>26667.51</v>
      </c>
      <c r="W16" s="61"/>
      <c r="X16" s="106">
        <v>85781.38</v>
      </c>
      <c r="Y16" s="106">
        <v>55282.81</v>
      </c>
      <c r="Z16" s="105">
        <f t="shared" si="27"/>
        <v>89469.979340000005</v>
      </c>
      <c r="AA16" s="105">
        <f t="shared" si="28"/>
        <v>57659.970829999991</v>
      </c>
      <c r="AB16" s="105">
        <f t="shared" si="29"/>
        <v>96075.145600000018</v>
      </c>
      <c r="AC16" s="105">
        <f t="shared" si="30"/>
        <v>61916.747200000005</v>
      </c>
      <c r="AD16" s="107">
        <v>63856.94</v>
      </c>
      <c r="AE16" s="107">
        <v>37325.64</v>
      </c>
      <c r="AF16" s="105">
        <f t="shared" si="31"/>
        <v>66602.788419999997</v>
      </c>
      <c r="AG16" s="105">
        <f t="shared" si="32"/>
        <v>38930.642519999994</v>
      </c>
      <c r="AH16" s="105">
        <f t="shared" si="33"/>
        <v>71519.772800000006</v>
      </c>
      <c r="AI16" s="105">
        <f t="shared" si="34"/>
        <v>41804.716800000002</v>
      </c>
      <c r="AJ16" s="106">
        <v>41362.28</v>
      </c>
      <c r="AK16" s="106">
        <v>26667.51</v>
      </c>
      <c r="AL16" s="105">
        <f t="shared" si="35"/>
        <v>43140.858039999999</v>
      </c>
      <c r="AM16" s="105">
        <f t="shared" si="36"/>
        <v>27814.212929999998</v>
      </c>
      <c r="AN16" s="105">
        <f t="shared" si="37"/>
        <v>46325.753600000004</v>
      </c>
      <c r="AO16" s="105">
        <f t="shared" si="38"/>
        <v>29867.611199999999</v>
      </c>
      <c r="AP16" s="61"/>
      <c r="AQ16" s="108">
        <v>13</v>
      </c>
      <c r="AR16" s="109">
        <f ca="1">+RESUMEN!F16</f>
        <v>0</v>
      </c>
      <c r="AS16" s="109">
        <f ca="1">+RESUMEN!G16</f>
        <v>0</v>
      </c>
      <c r="AT16" s="110">
        <f t="shared" ca="1" si="6"/>
        <v>0</v>
      </c>
      <c r="AU16" s="111">
        <f t="shared" si="39"/>
        <v>0</v>
      </c>
      <c r="AV16" s="111">
        <f t="shared" si="40"/>
        <v>0</v>
      </c>
      <c r="AW16" s="111">
        <f t="shared" si="41"/>
        <v>0</v>
      </c>
      <c r="AX16" s="111">
        <f t="shared" si="42"/>
        <v>0</v>
      </c>
      <c r="AY16" s="111">
        <f t="shared" ca="1" si="43"/>
        <v>0</v>
      </c>
      <c r="AZ16" s="110"/>
      <c r="BA16" s="111">
        <f t="shared" ca="1" si="7"/>
        <v>0</v>
      </c>
      <c r="BB16" s="111">
        <f t="shared" ca="1" si="8"/>
        <v>0</v>
      </c>
      <c r="BC16" s="112"/>
      <c r="BD16" s="113">
        <f t="shared" ca="1" si="44"/>
        <v>0</v>
      </c>
      <c r="BE16" s="113">
        <f t="shared" ca="1" si="45"/>
        <v>0</v>
      </c>
      <c r="BF16" s="114" t="str">
        <f t="shared" ca="1" si="9"/>
        <v/>
      </c>
      <c r="BG16" s="61"/>
      <c r="BH16" s="64">
        <f t="shared" ca="1" si="10"/>
        <v>0</v>
      </c>
      <c r="BI16" s="64">
        <f t="shared" ca="1" si="11"/>
        <v>0</v>
      </c>
      <c r="BJ16" s="112"/>
      <c r="BK16" s="115">
        <f t="shared" ca="1" si="46"/>
        <v>0</v>
      </c>
      <c r="BL16" s="115">
        <f t="shared" ca="1" si="47"/>
        <v>0</v>
      </c>
      <c r="BM16" s="116" t="str">
        <f t="shared" ca="1" si="12"/>
        <v/>
      </c>
      <c r="BN16" s="61"/>
      <c r="BO16" s="117">
        <f t="shared" ca="1" si="13"/>
        <v>0</v>
      </c>
      <c r="BP16" s="117">
        <f t="shared" ca="1" si="14"/>
        <v>0</v>
      </c>
      <c r="BQ16" s="112"/>
      <c r="BR16" s="118">
        <f t="shared" ca="1" si="48"/>
        <v>0</v>
      </c>
      <c r="BS16" s="118">
        <f t="shared" ca="1" si="49"/>
        <v>0</v>
      </c>
      <c r="BT16" s="119" t="str">
        <f t="shared" ca="1" si="15"/>
        <v/>
      </c>
      <c r="BU16" s="195"/>
      <c r="BV16" s="120">
        <f t="shared" ca="1" si="16"/>
        <v>0</v>
      </c>
      <c r="BW16" s="120">
        <f t="shared" ca="1" si="17"/>
        <v>0</v>
      </c>
      <c r="BX16" s="112"/>
      <c r="BY16" s="121">
        <f t="shared" ca="1" si="50"/>
        <v>0</v>
      </c>
      <c r="BZ16" s="121">
        <f t="shared" ca="1" si="51"/>
        <v>0</v>
      </c>
      <c r="CA16" s="122" t="str">
        <f t="shared" ca="1" si="18"/>
        <v/>
      </c>
      <c r="CB16" s="61"/>
      <c r="CC16" s="123">
        <f t="shared" ca="1" si="52"/>
        <v>0</v>
      </c>
      <c r="CD16" s="123">
        <f t="shared" ca="1" si="53"/>
        <v>0</v>
      </c>
      <c r="CE16" s="112"/>
      <c r="CF16" s="124">
        <f t="shared" ca="1" si="54"/>
        <v>0</v>
      </c>
      <c r="CG16" s="124">
        <f t="shared" ca="1" si="55"/>
        <v>0</v>
      </c>
      <c r="CH16" s="125" t="str">
        <f t="shared" ca="1" si="19"/>
        <v/>
      </c>
      <c r="CI16" s="61"/>
      <c r="CJ16" s="126">
        <f t="shared" ca="1" si="20"/>
        <v>0</v>
      </c>
      <c r="CK16" s="126">
        <f t="shared" ca="1" si="21"/>
        <v>0</v>
      </c>
      <c r="CL16" s="112"/>
      <c r="CM16" s="127">
        <f t="shared" ca="1" si="56"/>
        <v>0</v>
      </c>
      <c r="CN16" s="127">
        <f t="shared" ca="1" si="57"/>
        <v>0</v>
      </c>
      <c r="CO16" s="128" t="str">
        <f t="shared" ca="1" si="22"/>
        <v/>
      </c>
      <c r="CP16" s="61"/>
      <c r="CQ16" s="108">
        <v>13</v>
      </c>
      <c r="CR16" s="273">
        <v>0.18</v>
      </c>
      <c r="CS16" s="61">
        <f t="shared" si="58"/>
        <v>0</v>
      </c>
      <c r="CT16" s="278">
        <f t="shared" si="59"/>
        <v>0.18</v>
      </c>
      <c r="CU16" s="61">
        <f t="shared" si="60"/>
        <v>1</v>
      </c>
      <c r="CV16" s="287">
        <f t="shared" si="61"/>
        <v>1</v>
      </c>
      <c r="CW16" s="309">
        <f t="shared" si="23"/>
        <v>140.93</v>
      </c>
      <c r="CX16" s="309">
        <f t="shared" si="24"/>
        <v>69.12</v>
      </c>
      <c r="CY16" s="300">
        <f t="shared" si="25"/>
        <v>279.81</v>
      </c>
      <c r="CZ16" s="309">
        <f t="shared" si="26"/>
        <v>155.79</v>
      </c>
      <c r="DA16"/>
      <c r="DC16" s="544">
        <v>537.13</v>
      </c>
    </row>
    <row r="17" spans="1:107">
      <c r="A17" s="130" t="s">
        <v>47</v>
      </c>
      <c r="B17" s="259">
        <f>+VLOOKUP(B5,DATOS!S4:Z51,IF(F18="no",5,7),0)/100</f>
        <v>0.85</v>
      </c>
      <c r="C17" s="259">
        <f>+VLOOKUP(B5,DATOS!S4:Z51,IF(F18="no",6,7),0)/100</f>
        <v>1</v>
      </c>
      <c r="D17"/>
      <c r="G17"/>
      <c r="H17"/>
      <c r="I17"/>
      <c r="J17" s="132">
        <v>14</v>
      </c>
      <c r="K17" s="36">
        <v>16378.66</v>
      </c>
      <c r="L17" s="36">
        <v>19541.330000000002</v>
      </c>
      <c r="M17" s="36">
        <v>14538.61</v>
      </c>
      <c r="N17" s="36">
        <v>17345.98</v>
      </c>
      <c r="O17" s="36">
        <v>12872.73</v>
      </c>
      <c r="P17" s="36">
        <v>15358.42</v>
      </c>
      <c r="Q17" s="105">
        <f t="shared" si="0"/>
        <v>85781.38</v>
      </c>
      <c r="R17" s="105">
        <f t="shared" si="1"/>
        <v>56935.9</v>
      </c>
      <c r="S17" s="105">
        <f t="shared" si="2"/>
        <v>63856.94</v>
      </c>
      <c r="T17" s="105">
        <f t="shared" si="3"/>
        <v>37506.67</v>
      </c>
      <c r="U17" s="105">
        <f t="shared" si="4"/>
        <v>41362.28</v>
      </c>
      <c r="V17" s="105">
        <f t="shared" si="5"/>
        <v>26667.51</v>
      </c>
      <c r="W17" s="61"/>
      <c r="X17" s="106">
        <v>85781.38</v>
      </c>
      <c r="Y17" s="106">
        <v>56935.9</v>
      </c>
      <c r="Z17" s="105">
        <f t="shared" si="27"/>
        <v>89469.979340000005</v>
      </c>
      <c r="AA17" s="105">
        <f t="shared" si="28"/>
        <v>59384.143700000001</v>
      </c>
      <c r="AB17" s="105">
        <f t="shared" si="29"/>
        <v>96075.145600000018</v>
      </c>
      <c r="AC17" s="105">
        <f t="shared" si="30"/>
        <v>63768.208000000006</v>
      </c>
      <c r="AD17" s="107">
        <v>63856.94</v>
      </c>
      <c r="AE17" s="107">
        <v>37506.67</v>
      </c>
      <c r="AF17" s="105">
        <f t="shared" si="31"/>
        <v>66602.788419999997</v>
      </c>
      <c r="AG17" s="105">
        <f t="shared" si="32"/>
        <v>39119.456809999996</v>
      </c>
      <c r="AH17" s="105">
        <f t="shared" si="33"/>
        <v>71519.772800000006</v>
      </c>
      <c r="AI17" s="105">
        <f t="shared" si="34"/>
        <v>42007.470400000006</v>
      </c>
      <c r="AJ17" s="106">
        <v>41362.28</v>
      </c>
      <c r="AK17" s="106">
        <v>26667.51</v>
      </c>
      <c r="AL17" s="105">
        <f t="shared" si="35"/>
        <v>43140.858039999999</v>
      </c>
      <c r="AM17" s="105">
        <f t="shared" si="36"/>
        <v>27814.212929999998</v>
      </c>
      <c r="AN17" s="105">
        <f t="shared" si="37"/>
        <v>46325.753600000004</v>
      </c>
      <c r="AO17" s="105">
        <f t="shared" si="38"/>
        <v>29867.611199999999</v>
      </c>
      <c r="AP17" s="61"/>
      <c r="AQ17" s="108">
        <v>14</v>
      </c>
      <c r="AR17" s="109">
        <f ca="1">+RESUMEN!F17</f>
        <v>0</v>
      </c>
      <c r="AS17" s="109">
        <f ca="1">+RESUMEN!G17</f>
        <v>0</v>
      </c>
      <c r="AT17" s="110">
        <f t="shared" ca="1" si="6"/>
        <v>0</v>
      </c>
      <c r="AU17" s="111">
        <f t="shared" si="39"/>
        <v>0</v>
      </c>
      <c r="AV17" s="111">
        <f t="shared" si="40"/>
        <v>0</v>
      </c>
      <c r="AW17" s="111">
        <f t="shared" si="41"/>
        <v>0</v>
      </c>
      <c r="AX17" s="111">
        <f t="shared" si="42"/>
        <v>0</v>
      </c>
      <c r="AY17" s="111">
        <f t="shared" ca="1" si="43"/>
        <v>0</v>
      </c>
      <c r="AZ17" s="110"/>
      <c r="BA17" s="111">
        <f t="shared" ca="1" si="7"/>
        <v>0</v>
      </c>
      <c r="BB17" s="111">
        <f t="shared" ca="1" si="8"/>
        <v>0</v>
      </c>
      <c r="BC17" s="112"/>
      <c r="BD17" s="113">
        <f t="shared" ca="1" si="44"/>
        <v>0</v>
      </c>
      <c r="BE17" s="113">
        <f t="shared" ca="1" si="45"/>
        <v>0</v>
      </c>
      <c r="BF17" s="114" t="str">
        <f t="shared" ca="1" si="9"/>
        <v/>
      </c>
      <c r="BG17" s="61"/>
      <c r="BH17" s="64">
        <f t="shared" ca="1" si="10"/>
        <v>0</v>
      </c>
      <c r="BI17" s="64">
        <f t="shared" ca="1" si="11"/>
        <v>0</v>
      </c>
      <c r="BJ17" s="112"/>
      <c r="BK17" s="115">
        <f t="shared" ca="1" si="46"/>
        <v>0</v>
      </c>
      <c r="BL17" s="115">
        <f t="shared" ca="1" si="47"/>
        <v>0</v>
      </c>
      <c r="BM17" s="116" t="str">
        <f t="shared" ca="1" si="12"/>
        <v/>
      </c>
      <c r="BN17" s="61"/>
      <c r="BO17" s="117">
        <f t="shared" ca="1" si="13"/>
        <v>0</v>
      </c>
      <c r="BP17" s="117">
        <f t="shared" ca="1" si="14"/>
        <v>0</v>
      </c>
      <c r="BQ17" s="112"/>
      <c r="BR17" s="118">
        <f t="shared" ca="1" si="48"/>
        <v>0</v>
      </c>
      <c r="BS17" s="118">
        <f t="shared" ca="1" si="49"/>
        <v>0</v>
      </c>
      <c r="BT17" s="119" t="str">
        <f t="shared" ca="1" si="15"/>
        <v/>
      </c>
      <c r="BU17" s="170"/>
      <c r="BV17" s="120">
        <f t="shared" ca="1" si="16"/>
        <v>0</v>
      </c>
      <c r="BW17" s="120">
        <f t="shared" ca="1" si="17"/>
        <v>0</v>
      </c>
      <c r="BX17" s="112"/>
      <c r="BY17" s="121">
        <f t="shared" ca="1" si="50"/>
        <v>0</v>
      </c>
      <c r="BZ17" s="121">
        <f t="shared" ca="1" si="51"/>
        <v>0</v>
      </c>
      <c r="CA17" s="122" t="str">
        <f t="shared" ca="1" si="18"/>
        <v/>
      </c>
      <c r="CB17" s="61"/>
      <c r="CC17" s="123">
        <f t="shared" ca="1" si="52"/>
        <v>0</v>
      </c>
      <c r="CD17" s="123">
        <f t="shared" ca="1" si="53"/>
        <v>0</v>
      </c>
      <c r="CE17" s="112"/>
      <c r="CF17" s="124">
        <f t="shared" ca="1" si="54"/>
        <v>0</v>
      </c>
      <c r="CG17" s="124">
        <f t="shared" ca="1" si="55"/>
        <v>0</v>
      </c>
      <c r="CH17" s="125" t="str">
        <f t="shared" ca="1" si="19"/>
        <v/>
      </c>
      <c r="CI17" s="61"/>
      <c r="CJ17" s="126">
        <f t="shared" ca="1" si="20"/>
        <v>0</v>
      </c>
      <c r="CK17" s="126">
        <f t="shared" ca="1" si="21"/>
        <v>0</v>
      </c>
      <c r="CL17" s="112"/>
      <c r="CM17" s="127">
        <f t="shared" ca="1" si="56"/>
        <v>0</v>
      </c>
      <c r="CN17" s="127">
        <f t="shared" ca="1" si="57"/>
        <v>0</v>
      </c>
      <c r="CO17" s="128" t="str">
        <f t="shared" ca="1" si="22"/>
        <v/>
      </c>
      <c r="CP17" s="61"/>
      <c r="CQ17" s="108">
        <v>14</v>
      </c>
      <c r="CR17" s="273">
        <v>0.18</v>
      </c>
      <c r="CS17" s="61">
        <f t="shared" si="58"/>
        <v>0</v>
      </c>
      <c r="CT17" s="278">
        <f t="shared" si="59"/>
        <v>0.18</v>
      </c>
      <c r="CU17" s="61">
        <f t="shared" si="60"/>
        <v>1</v>
      </c>
      <c r="CV17" s="287">
        <f t="shared" si="61"/>
        <v>1</v>
      </c>
      <c r="CW17" s="309">
        <f t="shared" si="23"/>
        <v>140.93</v>
      </c>
      <c r="CX17" s="309">
        <f t="shared" si="24"/>
        <v>69.12</v>
      </c>
      <c r="CY17" s="300">
        <f t="shared" si="25"/>
        <v>279.81</v>
      </c>
      <c r="CZ17" s="309">
        <f t="shared" si="26"/>
        <v>155.79</v>
      </c>
      <c r="DA17"/>
      <c r="DC17" s="544">
        <v>537.13</v>
      </c>
    </row>
    <row r="18" spans="1:107">
      <c r="A18" s="130" t="s">
        <v>252</v>
      </c>
      <c r="B18" s="260">
        <f>+VLOOKUP(B10,DATOS!AV4:AZ7,(IF(F18="si",5,4)),0)</f>
        <v>1</v>
      </c>
      <c r="C18" s="260">
        <f>+VLOOKUP(B10,DATOS!AV4:AZ7,(IF(F18="si",5,4)),0)</f>
        <v>1</v>
      </c>
      <c r="E18" s="256" t="s">
        <v>353</v>
      </c>
      <c r="F18" s="252" t="str">
        <f>+IF(p=2,"SI","NO")</f>
        <v>NO</v>
      </c>
      <c r="G18"/>
      <c r="H18" s="131"/>
      <c r="I18" s="61"/>
      <c r="J18" s="132">
        <v>15</v>
      </c>
      <c r="K18" s="36">
        <v>16043.46</v>
      </c>
      <c r="L18" s="36">
        <v>19544.02</v>
      </c>
      <c r="M18" s="36">
        <v>14241.08</v>
      </c>
      <c r="N18" s="36">
        <v>17348.37</v>
      </c>
      <c r="O18" s="36">
        <v>12609.29</v>
      </c>
      <c r="P18" s="36">
        <v>15360.53</v>
      </c>
      <c r="Q18" s="105">
        <f t="shared" si="0"/>
        <v>85781.38</v>
      </c>
      <c r="R18" s="105">
        <f t="shared" si="1"/>
        <v>58315.23</v>
      </c>
      <c r="S18" s="105">
        <f t="shared" si="2"/>
        <v>63856.94</v>
      </c>
      <c r="T18" s="105">
        <f t="shared" si="3"/>
        <v>37521.480000000003</v>
      </c>
      <c r="U18" s="105">
        <f t="shared" si="4"/>
        <v>41362.28</v>
      </c>
      <c r="V18" s="105">
        <f t="shared" si="5"/>
        <v>27438.25</v>
      </c>
      <c r="W18" s="61"/>
      <c r="X18" s="106">
        <v>85781.38</v>
      </c>
      <c r="Y18" s="106">
        <v>58315.23</v>
      </c>
      <c r="Z18" s="105">
        <f t="shared" si="27"/>
        <v>89469.979340000005</v>
      </c>
      <c r="AA18" s="105">
        <f t="shared" si="28"/>
        <v>60822.784890000003</v>
      </c>
      <c r="AB18" s="105">
        <f t="shared" si="29"/>
        <v>96075.145600000018</v>
      </c>
      <c r="AC18" s="105">
        <f t="shared" si="30"/>
        <v>65313.057600000007</v>
      </c>
      <c r="AD18" s="107">
        <v>63856.94</v>
      </c>
      <c r="AE18" s="107">
        <v>37521.480000000003</v>
      </c>
      <c r="AF18" s="105">
        <f t="shared" si="31"/>
        <v>66602.788419999997</v>
      </c>
      <c r="AG18" s="105">
        <f t="shared" si="32"/>
        <v>39134.903640000004</v>
      </c>
      <c r="AH18" s="105">
        <f t="shared" si="33"/>
        <v>71519.772800000006</v>
      </c>
      <c r="AI18" s="105">
        <f t="shared" si="34"/>
        <v>42024.057600000007</v>
      </c>
      <c r="AJ18" s="106">
        <v>41362.28</v>
      </c>
      <c r="AK18" s="106">
        <v>27438.25</v>
      </c>
      <c r="AL18" s="105">
        <f t="shared" si="35"/>
        <v>43140.858039999999</v>
      </c>
      <c r="AM18" s="105">
        <f t="shared" si="36"/>
        <v>28618.094749999997</v>
      </c>
      <c r="AN18" s="105">
        <f t="shared" si="37"/>
        <v>46325.753600000004</v>
      </c>
      <c r="AO18" s="105">
        <f t="shared" si="38"/>
        <v>30730.840000000004</v>
      </c>
      <c r="AP18" s="61"/>
      <c r="AQ18" s="108">
        <v>15</v>
      </c>
      <c r="AR18" s="109">
        <f ca="1">+RESUMEN!F18</f>
        <v>0</v>
      </c>
      <c r="AS18" s="109">
        <f ca="1">+RESUMEN!G18</f>
        <v>0</v>
      </c>
      <c r="AT18" s="110">
        <f t="shared" ca="1" si="6"/>
        <v>0</v>
      </c>
      <c r="AU18" s="111">
        <f t="shared" si="39"/>
        <v>0</v>
      </c>
      <c r="AV18" s="111">
        <f t="shared" si="40"/>
        <v>0</v>
      </c>
      <c r="AW18" s="111">
        <f t="shared" si="41"/>
        <v>0</v>
      </c>
      <c r="AX18" s="111">
        <f t="shared" si="42"/>
        <v>0</v>
      </c>
      <c r="AY18" s="111">
        <f t="shared" ca="1" si="43"/>
        <v>0</v>
      </c>
      <c r="AZ18" s="110"/>
      <c r="BA18" s="111">
        <f t="shared" ca="1" si="7"/>
        <v>0</v>
      </c>
      <c r="BB18" s="111">
        <f t="shared" ca="1" si="8"/>
        <v>0</v>
      </c>
      <c r="BC18" s="112"/>
      <c r="BD18" s="113">
        <f t="shared" ca="1" si="44"/>
        <v>0</v>
      </c>
      <c r="BE18" s="113">
        <f t="shared" ca="1" si="45"/>
        <v>0</v>
      </c>
      <c r="BF18" s="114" t="str">
        <f t="shared" ca="1" si="9"/>
        <v/>
      </c>
      <c r="BG18" s="61"/>
      <c r="BH18" s="64">
        <f t="shared" ca="1" si="10"/>
        <v>0</v>
      </c>
      <c r="BI18" s="64">
        <f t="shared" ca="1" si="11"/>
        <v>0</v>
      </c>
      <c r="BJ18" s="112"/>
      <c r="BK18" s="115">
        <f t="shared" ca="1" si="46"/>
        <v>0</v>
      </c>
      <c r="BL18" s="115">
        <f t="shared" ca="1" si="47"/>
        <v>0</v>
      </c>
      <c r="BM18" s="116" t="str">
        <f t="shared" ca="1" si="12"/>
        <v/>
      </c>
      <c r="BN18" s="61"/>
      <c r="BO18" s="117">
        <f t="shared" ca="1" si="13"/>
        <v>0</v>
      </c>
      <c r="BP18" s="117">
        <f t="shared" ca="1" si="14"/>
        <v>0</v>
      </c>
      <c r="BQ18" s="112"/>
      <c r="BR18" s="118">
        <f t="shared" ca="1" si="48"/>
        <v>0</v>
      </c>
      <c r="BS18" s="118">
        <f t="shared" ca="1" si="49"/>
        <v>0</v>
      </c>
      <c r="BT18" s="119" t="str">
        <f t="shared" ca="1" si="15"/>
        <v/>
      </c>
      <c r="BU18" s="61"/>
      <c r="BV18" s="120">
        <f t="shared" ca="1" si="16"/>
        <v>0</v>
      </c>
      <c r="BW18" s="120">
        <f t="shared" ca="1" si="17"/>
        <v>0</v>
      </c>
      <c r="BX18" s="112"/>
      <c r="BY18" s="121">
        <f t="shared" ca="1" si="50"/>
        <v>0</v>
      </c>
      <c r="BZ18" s="121">
        <f t="shared" ca="1" si="51"/>
        <v>0</v>
      </c>
      <c r="CA18" s="122" t="str">
        <f t="shared" ca="1" si="18"/>
        <v/>
      </c>
      <c r="CB18" s="61"/>
      <c r="CC18" s="123">
        <f t="shared" ca="1" si="52"/>
        <v>0</v>
      </c>
      <c r="CD18" s="123">
        <f t="shared" ca="1" si="53"/>
        <v>0</v>
      </c>
      <c r="CE18" s="112"/>
      <c r="CF18" s="124">
        <f t="shared" ca="1" si="54"/>
        <v>0</v>
      </c>
      <c r="CG18" s="124">
        <f t="shared" ca="1" si="55"/>
        <v>0</v>
      </c>
      <c r="CH18" s="125" t="str">
        <f t="shared" ca="1" si="19"/>
        <v/>
      </c>
      <c r="CI18" s="61"/>
      <c r="CJ18" s="126">
        <f t="shared" ca="1" si="20"/>
        <v>0</v>
      </c>
      <c r="CK18" s="126">
        <f t="shared" ca="1" si="21"/>
        <v>0</v>
      </c>
      <c r="CL18" s="112"/>
      <c r="CM18" s="127">
        <f t="shared" ca="1" si="56"/>
        <v>0</v>
      </c>
      <c r="CN18" s="127">
        <f t="shared" ca="1" si="57"/>
        <v>0</v>
      </c>
      <c r="CO18" s="128" t="str">
        <f t="shared" ca="1" si="22"/>
        <v/>
      </c>
      <c r="CP18" s="61"/>
      <c r="CQ18" s="108">
        <v>15</v>
      </c>
      <c r="CR18" s="273">
        <v>0.18</v>
      </c>
      <c r="CS18" s="61">
        <f t="shared" si="58"/>
        <v>0</v>
      </c>
      <c r="CT18" s="278">
        <f t="shared" si="59"/>
        <v>0.18</v>
      </c>
      <c r="CU18" s="61">
        <f t="shared" si="60"/>
        <v>1</v>
      </c>
      <c r="CV18" s="287">
        <f t="shared" si="61"/>
        <v>1</v>
      </c>
      <c r="CW18" s="309">
        <f t="shared" si="23"/>
        <v>140.93</v>
      </c>
      <c r="CX18" s="309">
        <f t="shared" si="24"/>
        <v>69.12</v>
      </c>
      <c r="CY18" s="300">
        <f t="shared" si="25"/>
        <v>279.81</v>
      </c>
      <c r="CZ18" s="309">
        <f t="shared" si="26"/>
        <v>155.79</v>
      </c>
      <c r="DA18"/>
      <c r="DC18" s="544">
        <v>537.13</v>
      </c>
    </row>
    <row r="19" spans="1:107">
      <c r="A19" s="130" t="s">
        <v>85</v>
      </c>
      <c r="B19" s="260">
        <f>+VLOOKUP(B6,suma,4,0)</f>
        <v>1.2575000000000001</v>
      </c>
      <c r="C19" s="260">
        <f>+VLOOKUP(B6,suma,4,0)</f>
        <v>1.2575000000000001</v>
      </c>
      <c r="D19"/>
      <c r="E19"/>
      <c r="F19"/>
      <c r="G19"/>
      <c r="H19" s="131"/>
      <c r="I19" s="61"/>
      <c r="J19" s="132">
        <v>16</v>
      </c>
      <c r="K19" s="36">
        <v>15859.01</v>
      </c>
      <c r="L19" s="36">
        <v>19790.919999999998</v>
      </c>
      <c r="M19" s="36">
        <v>14077.35</v>
      </c>
      <c r="N19" s="36">
        <v>17567.53</v>
      </c>
      <c r="O19" s="36">
        <v>12464.32</v>
      </c>
      <c r="P19" s="36">
        <v>15554.58</v>
      </c>
      <c r="Q19" s="105">
        <f t="shared" si="0"/>
        <v>85781.38</v>
      </c>
      <c r="R19" s="105">
        <f t="shared" si="1"/>
        <v>59703.27</v>
      </c>
      <c r="S19" s="105">
        <f t="shared" si="2"/>
        <v>63856.94</v>
      </c>
      <c r="T19" s="105">
        <f t="shared" si="3"/>
        <v>37536.300000000003</v>
      </c>
      <c r="U19" s="105">
        <f t="shared" si="4"/>
        <v>41362.28</v>
      </c>
      <c r="V19" s="105">
        <f t="shared" si="5"/>
        <v>28290.959999999999</v>
      </c>
      <c r="W19" s="61"/>
      <c r="X19" s="106">
        <v>85781.38</v>
      </c>
      <c r="Y19" s="106">
        <v>59703.27</v>
      </c>
      <c r="Z19" s="105">
        <f t="shared" si="27"/>
        <v>89469.979340000005</v>
      </c>
      <c r="AA19" s="105">
        <f t="shared" si="28"/>
        <v>62270.51060999999</v>
      </c>
      <c r="AB19" s="105">
        <f t="shared" si="29"/>
        <v>96075.145600000018</v>
      </c>
      <c r="AC19" s="105">
        <f t="shared" si="30"/>
        <v>66867.662400000001</v>
      </c>
      <c r="AD19" s="107">
        <v>63856.94</v>
      </c>
      <c r="AE19" s="107">
        <v>37536.300000000003</v>
      </c>
      <c r="AF19" s="105">
        <f t="shared" si="31"/>
        <v>66602.788419999997</v>
      </c>
      <c r="AG19" s="105">
        <f t="shared" si="32"/>
        <v>39150.3609</v>
      </c>
      <c r="AH19" s="105">
        <f t="shared" si="33"/>
        <v>71519.772800000006</v>
      </c>
      <c r="AI19" s="105">
        <f t="shared" si="34"/>
        <v>42040.65600000001</v>
      </c>
      <c r="AJ19" s="106">
        <v>41362.28</v>
      </c>
      <c r="AK19" s="106">
        <v>28290.959999999999</v>
      </c>
      <c r="AL19" s="105">
        <f t="shared" si="35"/>
        <v>43140.858039999999</v>
      </c>
      <c r="AM19" s="105">
        <f t="shared" si="36"/>
        <v>29507.471279999998</v>
      </c>
      <c r="AN19" s="105">
        <f t="shared" si="37"/>
        <v>46325.753600000004</v>
      </c>
      <c r="AO19" s="105">
        <f t="shared" si="38"/>
        <v>31685.875200000002</v>
      </c>
      <c r="AP19" s="61"/>
      <c r="AQ19" s="108">
        <v>16</v>
      </c>
      <c r="AR19" s="109">
        <f ca="1">+RESUMEN!F19</f>
        <v>0</v>
      </c>
      <c r="AS19" s="109">
        <f ca="1">+RESUMEN!G19</f>
        <v>0</v>
      </c>
      <c r="AT19" s="110">
        <f t="shared" ca="1" si="6"/>
        <v>0</v>
      </c>
      <c r="AU19" s="111">
        <f t="shared" si="39"/>
        <v>0</v>
      </c>
      <c r="AV19" s="111">
        <f t="shared" si="40"/>
        <v>0</v>
      </c>
      <c r="AW19" s="111">
        <f t="shared" si="41"/>
        <v>0</v>
      </c>
      <c r="AX19" s="111">
        <f t="shared" si="42"/>
        <v>0</v>
      </c>
      <c r="AY19" s="111">
        <f t="shared" ca="1" si="43"/>
        <v>0</v>
      </c>
      <c r="AZ19" s="110"/>
      <c r="BA19" s="111">
        <f t="shared" ca="1" si="7"/>
        <v>0</v>
      </c>
      <c r="BB19" s="111">
        <f t="shared" ca="1" si="8"/>
        <v>0</v>
      </c>
      <c r="BC19" s="112"/>
      <c r="BD19" s="113">
        <f t="shared" ca="1" si="44"/>
        <v>0</v>
      </c>
      <c r="BE19" s="113">
        <f t="shared" ca="1" si="45"/>
        <v>0</v>
      </c>
      <c r="BF19" s="114" t="str">
        <f t="shared" ca="1" si="9"/>
        <v/>
      </c>
      <c r="BG19" s="61"/>
      <c r="BH19" s="64">
        <f t="shared" ca="1" si="10"/>
        <v>0</v>
      </c>
      <c r="BI19" s="64">
        <f t="shared" ca="1" si="11"/>
        <v>0</v>
      </c>
      <c r="BJ19" s="112"/>
      <c r="BK19" s="115">
        <f t="shared" ca="1" si="46"/>
        <v>0</v>
      </c>
      <c r="BL19" s="115">
        <f t="shared" ca="1" si="47"/>
        <v>0</v>
      </c>
      <c r="BM19" s="116" t="str">
        <f t="shared" ca="1" si="12"/>
        <v/>
      </c>
      <c r="BN19" s="61"/>
      <c r="BO19" s="117">
        <f t="shared" ca="1" si="13"/>
        <v>0</v>
      </c>
      <c r="BP19" s="117">
        <f t="shared" ca="1" si="14"/>
        <v>0</v>
      </c>
      <c r="BQ19" s="112"/>
      <c r="BR19" s="118">
        <f t="shared" ca="1" si="48"/>
        <v>0</v>
      </c>
      <c r="BS19" s="118">
        <f t="shared" ca="1" si="49"/>
        <v>0</v>
      </c>
      <c r="BT19" s="119" t="str">
        <f t="shared" ca="1" si="15"/>
        <v/>
      </c>
      <c r="BU19" s="61"/>
      <c r="BV19" s="120">
        <f t="shared" ca="1" si="16"/>
        <v>0</v>
      </c>
      <c r="BW19" s="120">
        <f t="shared" ca="1" si="17"/>
        <v>0</v>
      </c>
      <c r="BX19" s="112"/>
      <c r="BY19" s="121">
        <f t="shared" ca="1" si="50"/>
        <v>0</v>
      </c>
      <c r="BZ19" s="121">
        <f t="shared" ca="1" si="51"/>
        <v>0</v>
      </c>
      <c r="CA19" s="122" t="str">
        <f t="shared" ca="1" si="18"/>
        <v/>
      </c>
      <c r="CB19" s="61"/>
      <c r="CC19" s="123">
        <f t="shared" ca="1" si="52"/>
        <v>0</v>
      </c>
      <c r="CD19" s="123">
        <f t="shared" ca="1" si="53"/>
        <v>0</v>
      </c>
      <c r="CE19" s="112"/>
      <c r="CF19" s="124">
        <f t="shared" ca="1" si="54"/>
        <v>0</v>
      </c>
      <c r="CG19" s="124">
        <f t="shared" ca="1" si="55"/>
        <v>0</v>
      </c>
      <c r="CH19" s="125" t="str">
        <f t="shared" ca="1" si="19"/>
        <v/>
      </c>
      <c r="CI19" s="61"/>
      <c r="CJ19" s="126">
        <f t="shared" ca="1" si="20"/>
        <v>0</v>
      </c>
      <c r="CK19" s="126">
        <f t="shared" ca="1" si="21"/>
        <v>0</v>
      </c>
      <c r="CL19" s="112"/>
      <c r="CM19" s="127">
        <f t="shared" ca="1" si="56"/>
        <v>0</v>
      </c>
      <c r="CN19" s="127">
        <f t="shared" ca="1" si="57"/>
        <v>0</v>
      </c>
      <c r="CO19" s="128" t="str">
        <f t="shared" ca="1" si="22"/>
        <v/>
      </c>
      <c r="CP19" s="61"/>
      <c r="CQ19" s="108">
        <v>16</v>
      </c>
      <c r="CR19" s="273">
        <v>0.18</v>
      </c>
      <c r="CS19" s="61">
        <f t="shared" si="58"/>
        <v>0</v>
      </c>
      <c r="CT19" s="278">
        <f t="shared" si="59"/>
        <v>0.18</v>
      </c>
      <c r="CU19" s="61">
        <f t="shared" si="60"/>
        <v>1</v>
      </c>
      <c r="CV19" s="287">
        <f t="shared" si="61"/>
        <v>1</v>
      </c>
      <c r="CW19" s="309">
        <f t="shared" si="23"/>
        <v>140.93</v>
      </c>
      <c r="CX19" s="309">
        <f t="shared" si="24"/>
        <v>69.12</v>
      </c>
      <c r="CY19" s="300">
        <f t="shared" si="25"/>
        <v>279.81</v>
      </c>
      <c r="CZ19" s="309">
        <f t="shared" si="26"/>
        <v>155.79</v>
      </c>
      <c r="DA19"/>
      <c r="DC19" s="544">
        <v>537.13</v>
      </c>
    </row>
    <row r="20" spans="1:107">
      <c r="A20" s="130" t="s">
        <v>86</v>
      </c>
      <c r="B20" s="260">
        <f>+IF(p=1,IF(OR(C7&lt;1,C7&gt;50),0,(VLOOKUP(C7,DATOS!$N$4:$P$56,2,0))),IF(OR(C7&lt;500,C7&gt;5000),0,(VLOOKUP(C7,DATOS!$N$4:$P$66,2,0))))</f>
        <v>0.91269999999999996</v>
      </c>
      <c r="C20" s="260">
        <f>+IF(p=1,IF(OR(C7&lt;1,C7&gt;50),0,(VLOOKUP(C7,DATOS!$N$4:$P$56,2,0))),IF(OR(C7&lt;500,C7&gt;5000),0,(VLOOKUP(C7,DATOS!$N$4:$P$66,2,0))))</f>
        <v>0.91269999999999996</v>
      </c>
      <c r="D20"/>
      <c r="E20" s="256" t="s">
        <v>374</v>
      </c>
      <c r="F20" s="252">
        <v>1</v>
      </c>
      <c r="G20" s="252" t="s">
        <v>433</v>
      </c>
      <c r="H20" s="131"/>
      <c r="I20" s="61"/>
      <c r="J20" s="132">
        <v>17</v>
      </c>
      <c r="K20" s="36">
        <v>15773.63</v>
      </c>
      <c r="L20" s="36">
        <v>20045.810000000001</v>
      </c>
      <c r="M20" s="36">
        <v>14001.56</v>
      </c>
      <c r="N20" s="36">
        <v>17793.79</v>
      </c>
      <c r="O20" s="36">
        <v>12397.22</v>
      </c>
      <c r="P20" s="36">
        <v>15754.92</v>
      </c>
      <c r="Q20" s="105">
        <f t="shared" si="0"/>
        <v>85781.38</v>
      </c>
      <c r="R20" s="105">
        <f t="shared" si="1"/>
        <v>61365.09</v>
      </c>
      <c r="S20" s="105">
        <f t="shared" si="2"/>
        <v>63856.94</v>
      </c>
      <c r="T20" s="105">
        <f t="shared" si="3"/>
        <v>39254.050000000003</v>
      </c>
      <c r="U20" s="105">
        <f t="shared" si="4"/>
        <v>41362.28</v>
      </c>
      <c r="V20" s="105">
        <f t="shared" si="5"/>
        <v>29164.59</v>
      </c>
      <c r="W20" s="61"/>
      <c r="X20" s="106">
        <v>85781.38</v>
      </c>
      <c r="Y20" s="106">
        <v>61365.09</v>
      </c>
      <c r="Z20" s="105">
        <f t="shared" si="27"/>
        <v>89469.979340000005</v>
      </c>
      <c r="AA20" s="105">
        <f t="shared" si="28"/>
        <v>64003.788869999989</v>
      </c>
      <c r="AB20" s="105">
        <f t="shared" si="29"/>
        <v>96075.145600000018</v>
      </c>
      <c r="AC20" s="105">
        <f t="shared" si="30"/>
        <v>68728.900800000003</v>
      </c>
      <c r="AD20" s="107">
        <v>63856.94</v>
      </c>
      <c r="AE20" s="107">
        <v>39254.050000000003</v>
      </c>
      <c r="AF20" s="105">
        <f t="shared" si="31"/>
        <v>66602.788419999997</v>
      </c>
      <c r="AG20" s="105">
        <f t="shared" si="32"/>
        <v>40941.974150000002</v>
      </c>
      <c r="AH20" s="105">
        <f t="shared" si="33"/>
        <v>71519.772800000006</v>
      </c>
      <c r="AI20" s="105">
        <f t="shared" si="34"/>
        <v>43964.536000000007</v>
      </c>
      <c r="AJ20" s="106">
        <v>41362.28</v>
      </c>
      <c r="AK20" s="106">
        <v>29164.59</v>
      </c>
      <c r="AL20" s="105">
        <f t="shared" si="35"/>
        <v>43140.858039999999</v>
      </c>
      <c r="AM20" s="105">
        <f t="shared" si="36"/>
        <v>30418.667369999999</v>
      </c>
      <c r="AN20" s="105">
        <f t="shared" si="37"/>
        <v>46325.753600000004</v>
      </c>
      <c r="AO20" s="105">
        <f t="shared" si="38"/>
        <v>32664.340800000002</v>
      </c>
      <c r="AP20" s="61"/>
      <c r="AQ20" s="108">
        <v>17</v>
      </c>
      <c r="AR20" s="109">
        <f ca="1">+RESUMEN!F20</f>
        <v>0</v>
      </c>
      <c r="AS20" s="109">
        <f ca="1">+RESUMEN!G20</f>
        <v>0</v>
      </c>
      <c r="AT20" s="110">
        <f t="shared" ca="1" si="6"/>
        <v>0</v>
      </c>
      <c r="AU20" s="111">
        <f t="shared" si="39"/>
        <v>0</v>
      </c>
      <c r="AV20" s="111">
        <f t="shared" si="40"/>
        <v>0</v>
      </c>
      <c r="AW20" s="111">
        <f t="shared" si="41"/>
        <v>0</v>
      </c>
      <c r="AX20" s="111">
        <f t="shared" si="42"/>
        <v>0</v>
      </c>
      <c r="AY20" s="111">
        <f t="shared" ca="1" si="43"/>
        <v>0</v>
      </c>
      <c r="AZ20" s="110"/>
      <c r="BA20" s="111">
        <f t="shared" ca="1" si="7"/>
        <v>0</v>
      </c>
      <c r="BB20" s="111">
        <f t="shared" ca="1" si="8"/>
        <v>0</v>
      </c>
      <c r="BC20" s="112"/>
      <c r="BD20" s="113">
        <f t="shared" ca="1" si="44"/>
        <v>0</v>
      </c>
      <c r="BE20" s="113">
        <f t="shared" ca="1" si="45"/>
        <v>0</v>
      </c>
      <c r="BF20" s="114" t="str">
        <f t="shared" ca="1" si="9"/>
        <v/>
      </c>
      <c r="BG20" s="61"/>
      <c r="BH20" s="64">
        <f t="shared" ca="1" si="10"/>
        <v>0</v>
      </c>
      <c r="BI20" s="64">
        <f t="shared" ca="1" si="11"/>
        <v>0</v>
      </c>
      <c r="BJ20" s="112"/>
      <c r="BK20" s="115">
        <f t="shared" ca="1" si="46"/>
        <v>0</v>
      </c>
      <c r="BL20" s="115">
        <f t="shared" ca="1" si="47"/>
        <v>0</v>
      </c>
      <c r="BM20" s="116" t="str">
        <f t="shared" ca="1" si="12"/>
        <v/>
      </c>
      <c r="BN20" s="61"/>
      <c r="BO20" s="117">
        <f t="shared" ca="1" si="13"/>
        <v>0</v>
      </c>
      <c r="BP20" s="117">
        <f t="shared" ca="1" si="14"/>
        <v>0</v>
      </c>
      <c r="BQ20" s="112"/>
      <c r="BR20" s="118">
        <f t="shared" ca="1" si="48"/>
        <v>0</v>
      </c>
      <c r="BS20" s="118">
        <f t="shared" ca="1" si="49"/>
        <v>0</v>
      </c>
      <c r="BT20" s="119" t="str">
        <f t="shared" ca="1" si="15"/>
        <v/>
      </c>
      <c r="BU20" s="61"/>
      <c r="BV20" s="120">
        <f t="shared" ca="1" si="16"/>
        <v>0</v>
      </c>
      <c r="BW20" s="120">
        <f t="shared" ca="1" si="17"/>
        <v>0</v>
      </c>
      <c r="BX20" s="112"/>
      <c r="BY20" s="121">
        <f t="shared" ca="1" si="50"/>
        <v>0</v>
      </c>
      <c r="BZ20" s="121">
        <f t="shared" ca="1" si="51"/>
        <v>0</v>
      </c>
      <c r="CA20" s="122" t="str">
        <f t="shared" ca="1" si="18"/>
        <v/>
      </c>
      <c r="CB20" s="61"/>
      <c r="CC20" s="123">
        <f t="shared" ca="1" si="52"/>
        <v>0</v>
      </c>
      <c r="CD20" s="123">
        <f t="shared" ca="1" si="53"/>
        <v>0</v>
      </c>
      <c r="CE20" s="112"/>
      <c r="CF20" s="124">
        <f t="shared" ca="1" si="54"/>
        <v>0</v>
      </c>
      <c r="CG20" s="124">
        <f t="shared" ca="1" si="55"/>
        <v>0</v>
      </c>
      <c r="CH20" s="125" t="str">
        <f t="shared" ca="1" si="19"/>
        <v/>
      </c>
      <c r="CI20" s="61"/>
      <c r="CJ20" s="126">
        <f t="shared" ca="1" si="20"/>
        <v>0</v>
      </c>
      <c r="CK20" s="126">
        <f t="shared" ca="1" si="21"/>
        <v>0</v>
      </c>
      <c r="CL20" s="112"/>
      <c r="CM20" s="127">
        <f t="shared" ca="1" si="56"/>
        <v>0</v>
      </c>
      <c r="CN20" s="127">
        <f t="shared" ca="1" si="57"/>
        <v>0</v>
      </c>
      <c r="CO20" s="128" t="str">
        <f t="shared" ca="1" si="22"/>
        <v/>
      </c>
      <c r="CP20" s="61"/>
      <c r="CQ20" s="108">
        <v>17</v>
      </c>
      <c r="CR20" s="273">
        <v>0.18</v>
      </c>
      <c r="CS20" s="61">
        <f t="shared" si="58"/>
        <v>0</v>
      </c>
      <c r="CT20" s="278">
        <f t="shared" si="59"/>
        <v>0.18</v>
      </c>
      <c r="CU20" s="61">
        <f t="shared" si="60"/>
        <v>1</v>
      </c>
      <c r="CV20" s="287">
        <f t="shared" si="61"/>
        <v>1</v>
      </c>
      <c r="CW20" s="309">
        <f t="shared" si="23"/>
        <v>140.93</v>
      </c>
      <c r="CX20" s="309">
        <f t="shared" si="24"/>
        <v>69.12</v>
      </c>
      <c r="CY20" s="300">
        <f t="shared" si="25"/>
        <v>279.81</v>
      </c>
      <c r="CZ20" s="309">
        <f t="shared" si="26"/>
        <v>155.79</v>
      </c>
      <c r="DA20"/>
      <c r="DC20" s="544">
        <v>537.13</v>
      </c>
    </row>
    <row r="21" spans="1:107">
      <c r="A21" s="130" t="s">
        <v>59</v>
      </c>
      <c r="B21" s="260">
        <f>+VLOOKUP(B8,DATOS!$E$3:$L$93,3,0)</f>
        <v>1</v>
      </c>
      <c r="C21" s="260">
        <f>+VLOOKUP(B8,DATOS!$E$3:$L$93,3,0)</f>
        <v>1</v>
      </c>
      <c r="D21"/>
      <c r="E21" s="256" t="s">
        <v>375</v>
      </c>
      <c r="F21" s="337">
        <f>+IF(F20=1,1,1.048)</f>
        <v>1</v>
      </c>
      <c r="G21" s="301">
        <f>+IF(F20=1,1,1.05042)</f>
        <v>1</v>
      </c>
      <c r="H21" s="131"/>
      <c r="I21" s="61"/>
      <c r="J21" s="132">
        <v>18</v>
      </c>
      <c r="K21" s="36">
        <v>16028.96</v>
      </c>
      <c r="L21" s="36">
        <v>20801.45</v>
      </c>
      <c r="M21" s="36">
        <v>14228.2</v>
      </c>
      <c r="N21" s="36">
        <v>18464.53</v>
      </c>
      <c r="O21" s="36">
        <v>12597.89</v>
      </c>
      <c r="P21" s="36">
        <v>16348.8</v>
      </c>
      <c r="Q21" s="105">
        <f t="shared" si="0"/>
        <v>85781.38</v>
      </c>
      <c r="R21" s="105">
        <f t="shared" si="1"/>
        <v>63162.91</v>
      </c>
      <c r="S21" s="105">
        <f t="shared" si="2"/>
        <v>63856.94</v>
      </c>
      <c r="T21" s="105">
        <f t="shared" si="3"/>
        <v>40406.69</v>
      </c>
      <c r="U21" s="105">
        <f t="shared" si="4"/>
        <v>41362.28</v>
      </c>
      <c r="V21" s="105">
        <f t="shared" si="5"/>
        <v>30177.74</v>
      </c>
      <c r="W21" s="61"/>
      <c r="X21" s="106">
        <v>85781.38</v>
      </c>
      <c r="Y21" s="106">
        <v>63162.91</v>
      </c>
      <c r="Z21" s="105">
        <f t="shared" si="27"/>
        <v>89469.979340000005</v>
      </c>
      <c r="AA21" s="105">
        <f t="shared" si="28"/>
        <v>65878.915129999994</v>
      </c>
      <c r="AB21" s="105">
        <f t="shared" si="29"/>
        <v>96075.145600000018</v>
      </c>
      <c r="AC21" s="105">
        <f t="shared" si="30"/>
        <v>70742.459200000012</v>
      </c>
      <c r="AD21" s="107">
        <v>63856.94</v>
      </c>
      <c r="AE21" s="107">
        <v>40406.69</v>
      </c>
      <c r="AF21" s="105">
        <f t="shared" si="31"/>
        <v>66602.788419999997</v>
      </c>
      <c r="AG21" s="105">
        <f t="shared" si="32"/>
        <v>42144.177669999997</v>
      </c>
      <c r="AH21" s="105">
        <f t="shared" si="33"/>
        <v>71519.772800000006</v>
      </c>
      <c r="AI21" s="105">
        <f t="shared" si="34"/>
        <v>45255.492800000007</v>
      </c>
      <c r="AJ21" s="106">
        <v>41362.28</v>
      </c>
      <c r="AK21" s="106">
        <v>30177.74</v>
      </c>
      <c r="AL21" s="105">
        <f t="shared" si="35"/>
        <v>43140.858039999999</v>
      </c>
      <c r="AM21" s="105">
        <f t="shared" si="36"/>
        <v>31475.382819999999</v>
      </c>
      <c r="AN21" s="105">
        <f t="shared" si="37"/>
        <v>46325.753600000004</v>
      </c>
      <c r="AO21" s="105">
        <f t="shared" si="38"/>
        <v>33799.068800000008</v>
      </c>
      <c r="AP21" s="61"/>
      <c r="AQ21" s="108">
        <v>18</v>
      </c>
      <c r="AR21" s="109">
        <f ca="1">+RESUMEN!F21</f>
        <v>0</v>
      </c>
      <c r="AS21" s="109">
        <f ca="1">+RESUMEN!G21</f>
        <v>0</v>
      </c>
      <c r="AT21" s="110">
        <f t="shared" ca="1" si="6"/>
        <v>0</v>
      </c>
      <c r="AU21" s="111">
        <f t="shared" si="39"/>
        <v>0</v>
      </c>
      <c r="AV21" s="111">
        <f t="shared" si="40"/>
        <v>0</v>
      </c>
      <c r="AW21" s="111">
        <f t="shared" si="41"/>
        <v>0</v>
      </c>
      <c r="AX21" s="111">
        <f t="shared" si="42"/>
        <v>0</v>
      </c>
      <c r="AY21" s="111">
        <f t="shared" ca="1" si="43"/>
        <v>0</v>
      </c>
      <c r="AZ21" s="110"/>
      <c r="BA21" s="111">
        <f t="shared" ca="1" si="7"/>
        <v>0</v>
      </c>
      <c r="BB21" s="111">
        <f t="shared" ca="1" si="8"/>
        <v>0</v>
      </c>
      <c r="BC21" s="111">
        <f ca="1">+T106*$BC$1*$B$24*IF($F$20=1,1,$B$25)</f>
        <v>0</v>
      </c>
      <c r="BD21" s="113">
        <f t="shared" ca="1" si="44"/>
        <v>0</v>
      </c>
      <c r="BE21" s="113">
        <f ca="1">(($BB21*$AS21*CV21)+($AU21*$C160)+($AV21*$C54)+($AX21*$AS21)+($AS21*$AY21)+(G54*BC21))*CU21</f>
        <v>0</v>
      </c>
      <c r="BF21" s="114" t="str">
        <f t="shared" ca="1" si="9"/>
        <v/>
      </c>
      <c r="BG21" s="61"/>
      <c r="BH21" s="64">
        <f t="shared" ca="1" si="10"/>
        <v>0</v>
      </c>
      <c r="BI21" s="64">
        <f t="shared" ca="1" si="11"/>
        <v>0</v>
      </c>
      <c r="BJ21" s="64">
        <f ca="1">+S106*$BJ$1*$B$24*IF($F$20=1,1,$B$25)</f>
        <v>0</v>
      </c>
      <c r="BK21" s="115">
        <f ca="1">(($BH21*$AR21*CV21)+($AU21*$B160)+($AV21*$B54)+($AW21*$AR21)+($AR21*$AY21))*CU21</f>
        <v>0</v>
      </c>
      <c r="BL21" s="115">
        <f ca="1">(($BI21*$AS21*CV21)+($AU21*$C160)+($AV21*$C54)+($AX21*$AS21)+($AS21*$AY21)+(BJ21*G54))*CU21</f>
        <v>0</v>
      </c>
      <c r="BM21" s="116" t="str">
        <f t="shared" ca="1" si="12"/>
        <v/>
      </c>
      <c r="BN21" s="61"/>
      <c r="BO21" s="117">
        <f t="shared" ca="1" si="13"/>
        <v>0</v>
      </c>
      <c r="BP21" s="117">
        <f t="shared" ca="1" si="14"/>
        <v>0</v>
      </c>
      <c r="BQ21" s="117">
        <f ca="1">+R106*$BQ$1*$B$24*IF($F$20=1,1,$B$25)</f>
        <v>0</v>
      </c>
      <c r="BR21" s="118">
        <f t="shared" ca="1" si="48"/>
        <v>0</v>
      </c>
      <c r="BS21" s="118">
        <f ca="1">(($BP21*$AS21*CV21)+($AU21*$C160)+($AV21*$C54)+($AX21*$AS21)+($AS21*$AY21)+(BQ21*G54))*CU21</f>
        <v>0</v>
      </c>
      <c r="BT21" s="119" t="str">
        <f t="shared" ca="1" si="15"/>
        <v/>
      </c>
      <c r="BU21" s="194"/>
      <c r="BV21" s="120">
        <f t="shared" ca="1" si="16"/>
        <v>0</v>
      </c>
      <c r="BW21" s="120">
        <f t="shared" ca="1" si="17"/>
        <v>0</v>
      </c>
      <c r="BX21" s="120">
        <f ca="1">+U106*$BX$1*$B$24*IF($F$20=1,1,$B$25)</f>
        <v>0</v>
      </c>
      <c r="BY21" s="121">
        <f t="shared" ca="1" si="50"/>
        <v>0</v>
      </c>
      <c r="BZ21" s="121">
        <f ca="1">(($BW21*$AS21*CV21)+($AU21*$C160)+($AV21*$C54)+($AS21*$AY21)+(BX21*G54))*CU21</f>
        <v>0</v>
      </c>
      <c r="CA21" s="122" t="str">
        <f t="shared" ca="1" si="18"/>
        <v/>
      </c>
      <c r="CB21" s="61"/>
      <c r="CC21" s="123">
        <f t="shared" ca="1" si="52"/>
        <v>0</v>
      </c>
      <c r="CD21" s="123">
        <f t="shared" ca="1" si="53"/>
        <v>0</v>
      </c>
      <c r="CE21" s="123">
        <f ca="1">+U106*$CE$1*$B$24*IF($F$20=1,1,$B$25)</f>
        <v>0</v>
      </c>
      <c r="CF21" s="124">
        <f t="shared" ca="1" si="54"/>
        <v>0</v>
      </c>
      <c r="CG21" s="124">
        <f ca="1">(($CD21*$AS21*CV21)+($AU21*$C160)+($AV21*$C54)+($AS21*$DC21)+(CE21*G54))*CU21</f>
        <v>0</v>
      </c>
      <c r="CH21" s="125" t="str">
        <f t="shared" ca="1" si="19"/>
        <v/>
      </c>
      <c r="CI21" s="61"/>
      <c r="CJ21" s="126">
        <f t="shared" ca="1" si="20"/>
        <v>0</v>
      </c>
      <c r="CK21" s="126">
        <f t="shared" ca="1" si="21"/>
        <v>0</v>
      </c>
      <c r="CL21" s="126">
        <f ca="1">+U106*$CL$1*$B$24*IF($F$20=1,1,$B$25)</f>
        <v>0</v>
      </c>
      <c r="CM21" s="127">
        <f t="shared" ca="1" si="56"/>
        <v>0</v>
      </c>
      <c r="CN21" s="127">
        <f ca="1">(($CK21*$AS21*CV21)+($AU21*$C160)+($AV21*$C54)+($AS21*$AY21)+(CL21*G54))*CU21</f>
        <v>0</v>
      </c>
      <c r="CO21" s="128" t="str">
        <f t="shared" ca="1" si="22"/>
        <v/>
      </c>
      <c r="CP21" s="61"/>
      <c r="CQ21" s="108">
        <v>18</v>
      </c>
      <c r="CR21" s="273">
        <v>0.18</v>
      </c>
      <c r="CS21" s="61">
        <f t="shared" si="58"/>
        <v>0</v>
      </c>
      <c r="CT21" s="278">
        <f t="shared" si="59"/>
        <v>0.18</v>
      </c>
      <c r="CU21" s="61">
        <f t="shared" si="60"/>
        <v>1</v>
      </c>
      <c r="CV21" s="287">
        <f t="shared" si="61"/>
        <v>1</v>
      </c>
      <c r="CW21" s="309">
        <f t="shared" si="23"/>
        <v>140.93</v>
      </c>
      <c r="CX21" s="309">
        <f t="shared" si="24"/>
        <v>69.12</v>
      </c>
      <c r="CY21" s="300">
        <f t="shared" si="25"/>
        <v>279.81</v>
      </c>
      <c r="CZ21" s="309">
        <f t="shared" si="26"/>
        <v>155.79</v>
      </c>
      <c r="DA21"/>
      <c r="DC21" s="544">
        <v>537.13</v>
      </c>
    </row>
    <row r="22" spans="1:107">
      <c r="A22" s="130" t="s">
        <v>354</v>
      </c>
      <c r="B22" s="260">
        <f>ROUND(VLOOKUP(B8&amp;B9,DATOS!I3:L93,3,0),4)</f>
        <v>1.0159</v>
      </c>
      <c r="C22" s="260">
        <f>ROUND(VLOOKUP(B8&amp;B9,DATOS!I3:L93,3,0),4)</f>
        <v>1.0159</v>
      </c>
      <c r="D22"/>
      <c r="E22" s="256" t="s">
        <v>376</v>
      </c>
      <c r="F22" s="337">
        <f>+IF(F20=1,1,1.096)</f>
        <v>1</v>
      </c>
      <c r="G22" s="301">
        <f>+IF(F20=1,1,1.1008399)</f>
        <v>1</v>
      </c>
      <c r="H22" s="60"/>
      <c r="I22" s="60"/>
      <c r="J22" s="132">
        <v>19</v>
      </c>
      <c r="K22" s="36">
        <v>17727.599999999999</v>
      </c>
      <c r="L22" s="36">
        <v>20807.54</v>
      </c>
      <c r="M22" s="36">
        <v>15736.01</v>
      </c>
      <c r="N22" s="36">
        <v>18469.939999999999</v>
      </c>
      <c r="O22" s="36">
        <v>13932.92</v>
      </c>
      <c r="P22" s="36">
        <v>16353.59</v>
      </c>
      <c r="Q22" s="105">
        <f t="shared" si="0"/>
        <v>85781.38</v>
      </c>
      <c r="R22" s="105">
        <f t="shared" si="1"/>
        <v>65187.43</v>
      </c>
      <c r="S22" s="105">
        <f t="shared" si="2"/>
        <v>63856.94</v>
      </c>
      <c r="T22" s="105">
        <f t="shared" si="3"/>
        <v>41458.18</v>
      </c>
      <c r="U22" s="105">
        <f t="shared" si="4"/>
        <v>41362.28</v>
      </c>
      <c r="V22" s="105">
        <f t="shared" si="5"/>
        <v>30751.49</v>
      </c>
      <c r="W22" s="61"/>
      <c r="X22" s="106">
        <v>85781.38</v>
      </c>
      <c r="Y22" s="106">
        <v>65187.43</v>
      </c>
      <c r="Z22" s="105">
        <f t="shared" si="27"/>
        <v>89469.979340000005</v>
      </c>
      <c r="AA22" s="105">
        <f t="shared" si="28"/>
        <v>67990.489489999993</v>
      </c>
      <c r="AB22" s="105">
        <f t="shared" si="29"/>
        <v>96075.145600000018</v>
      </c>
      <c r="AC22" s="105">
        <f t="shared" si="30"/>
        <v>73009.921600000001</v>
      </c>
      <c r="AD22" s="107">
        <v>63856.94</v>
      </c>
      <c r="AE22" s="107">
        <v>41458.18</v>
      </c>
      <c r="AF22" s="105">
        <f t="shared" si="31"/>
        <v>66602.788419999997</v>
      </c>
      <c r="AG22" s="105">
        <f t="shared" si="32"/>
        <v>43240.881739999997</v>
      </c>
      <c r="AH22" s="105">
        <f t="shared" si="33"/>
        <v>71519.772800000006</v>
      </c>
      <c r="AI22" s="105">
        <f t="shared" si="34"/>
        <v>46433.161600000007</v>
      </c>
      <c r="AJ22" s="106">
        <v>41362.28</v>
      </c>
      <c r="AK22" s="106">
        <v>30751.49</v>
      </c>
      <c r="AL22" s="105">
        <f t="shared" si="35"/>
        <v>43140.858039999999</v>
      </c>
      <c r="AM22" s="105">
        <f t="shared" si="36"/>
        <v>32073.804069999998</v>
      </c>
      <c r="AN22" s="105">
        <f t="shared" si="37"/>
        <v>46325.753600000004</v>
      </c>
      <c r="AO22" s="105">
        <f t="shared" si="38"/>
        <v>34441.668800000007</v>
      </c>
      <c r="AP22" s="61"/>
      <c r="AQ22" s="108">
        <v>19</v>
      </c>
      <c r="AR22" s="109">
        <f ca="1">+RESUMEN!F22</f>
        <v>0</v>
      </c>
      <c r="AS22" s="109">
        <f ca="1">+RESUMEN!G22</f>
        <v>0</v>
      </c>
      <c r="AT22" s="110">
        <f t="shared" ca="1" si="6"/>
        <v>0</v>
      </c>
      <c r="AU22" s="111">
        <f t="shared" si="39"/>
        <v>0</v>
      </c>
      <c r="AV22" s="111">
        <f t="shared" si="40"/>
        <v>0</v>
      </c>
      <c r="AW22" s="111">
        <f t="shared" si="41"/>
        <v>0</v>
      </c>
      <c r="AX22" s="111">
        <f t="shared" si="42"/>
        <v>0</v>
      </c>
      <c r="AY22" s="111">
        <f t="shared" ca="1" si="43"/>
        <v>0</v>
      </c>
      <c r="AZ22" s="110"/>
      <c r="BA22" s="111">
        <f t="shared" ca="1" si="7"/>
        <v>0</v>
      </c>
      <c r="BB22" s="111">
        <f t="shared" ca="1" si="8"/>
        <v>0</v>
      </c>
      <c r="BC22" s="111">
        <f t="shared" ref="BC22:BC47" ca="1" si="62">+T107*$BC$1*$B$24*IF($F$20=1,1,$B$25)</f>
        <v>0</v>
      </c>
      <c r="BD22" s="113">
        <f t="shared" ca="1" si="44"/>
        <v>0</v>
      </c>
      <c r="BE22" s="113">
        <f t="shared" ref="BE22:BE47" ca="1" si="63">(($BB22*$AS22*CV22)+($AU22*$C161)+($AV22*$C55)+($AX22*$AS22)+($AS22*$AY22)+(G55*BC22))*CU22</f>
        <v>0</v>
      </c>
      <c r="BF22" s="114" t="str">
        <f t="shared" ca="1" si="9"/>
        <v/>
      </c>
      <c r="BG22" s="61"/>
      <c r="BH22" s="64">
        <f t="shared" ca="1" si="10"/>
        <v>0</v>
      </c>
      <c r="BI22" s="64">
        <f t="shared" ca="1" si="11"/>
        <v>0</v>
      </c>
      <c r="BJ22" s="64">
        <f t="shared" ref="BJ22:BJ47" ca="1" si="64">+S107*$BJ$1*$B$24*IF($F$20=1,1,$B$25)</f>
        <v>0</v>
      </c>
      <c r="BK22" s="115">
        <f t="shared" ca="1" si="46"/>
        <v>0</v>
      </c>
      <c r="BL22" s="115">
        <f t="shared" ref="BL22:BL47" ca="1" si="65">(($BI22*$AS22*CV22)+($AU22*$C161)+($AV22*$C55)+($AX22*$AS22)+($AS22*$AY22)+(BJ22*G55))*CU22</f>
        <v>0</v>
      </c>
      <c r="BM22" s="116" t="str">
        <f t="shared" ca="1" si="12"/>
        <v/>
      </c>
      <c r="BN22" s="61"/>
      <c r="BO22" s="117">
        <f t="shared" ca="1" si="13"/>
        <v>0</v>
      </c>
      <c r="BP22" s="117">
        <f t="shared" ca="1" si="14"/>
        <v>0</v>
      </c>
      <c r="BQ22" s="117">
        <f t="shared" ref="BQ22:BQ47" ca="1" si="66">+R107*$BQ$1*$B$24*IF($F$20=1,1,$B$25)</f>
        <v>0</v>
      </c>
      <c r="BR22" s="118">
        <f t="shared" ca="1" si="48"/>
        <v>0</v>
      </c>
      <c r="BS22" s="118">
        <f t="shared" ref="BS22:BS47" ca="1" si="67">(($BP22*$AS22*CV22)+($AU22*$C161)+($AV22*$C55)+($AX22*$AS22)+($AS22*$AY22)+(BQ22*G55))*CU22</f>
        <v>0</v>
      </c>
      <c r="BT22" s="119" t="str">
        <f t="shared" ca="1" si="15"/>
        <v/>
      </c>
      <c r="BU22" s="194"/>
      <c r="BV22" s="120">
        <f t="shared" ca="1" si="16"/>
        <v>0</v>
      </c>
      <c r="BW22" s="120">
        <f t="shared" ca="1" si="17"/>
        <v>0</v>
      </c>
      <c r="BX22" s="120">
        <f t="shared" ref="BX22:BX47" ca="1" si="68">+U107*$BX$1*$B$24*IF($F$20=1,1,$B$25)</f>
        <v>0</v>
      </c>
      <c r="BY22" s="121">
        <f t="shared" ca="1" si="50"/>
        <v>0</v>
      </c>
      <c r="BZ22" s="121">
        <f t="shared" ref="BZ22:BZ47" ca="1" si="69">(($BW22*$AS22*CV22)+($AU22*$C161)+($AV22*$C55)+($AS22*$AY22)+(BX22*G55))*CU22</f>
        <v>0</v>
      </c>
      <c r="CA22" s="122" t="str">
        <f t="shared" ca="1" si="18"/>
        <v/>
      </c>
      <c r="CB22" s="61"/>
      <c r="CC22" s="123">
        <f t="shared" ca="1" si="52"/>
        <v>0</v>
      </c>
      <c r="CD22" s="123">
        <f t="shared" ca="1" si="53"/>
        <v>0</v>
      </c>
      <c r="CE22" s="123">
        <f t="shared" ref="CE22:CE47" ca="1" si="70">+U107*$CE$1*$B$24*IF($F$20=1,1,$B$25)</f>
        <v>0</v>
      </c>
      <c r="CF22" s="124">
        <f t="shared" ca="1" si="54"/>
        <v>0</v>
      </c>
      <c r="CG22" s="124">
        <f t="shared" ref="CG22:CG47" ca="1" si="71">(($CD22*$AS22*CV22)+($AU22*$C161)+($AV22*$C55)+($AS22*$DC22)+(CE22*G55))*CU22</f>
        <v>0</v>
      </c>
      <c r="CH22" s="125" t="str">
        <f t="shared" ca="1" si="19"/>
        <v/>
      </c>
      <c r="CI22" s="61"/>
      <c r="CJ22" s="126">
        <f t="shared" ca="1" si="20"/>
        <v>0</v>
      </c>
      <c r="CK22" s="126">
        <f t="shared" ca="1" si="21"/>
        <v>0</v>
      </c>
      <c r="CL22" s="126">
        <f t="shared" ref="CL22:CL47" ca="1" si="72">+U107*$CL$1*$B$24*IF($F$20=1,1,$B$25)</f>
        <v>0</v>
      </c>
      <c r="CM22" s="127">
        <f t="shared" ca="1" si="56"/>
        <v>0</v>
      </c>
      <c r="CN22" s="127">
        <f t="shared" ref="CN22:CN47" ca="1" si="73">(($CK22*$AS22*CV22)+($AU22*$C161)+($AV22*$C55)+($AS22*$AY22)+(CL22*G55))*CU22</f>
        <v>0</v>
      </c>
      <c r="CO22" s="128" t="str">
        <f t="shared" ca="1" si="22"/>
        <v/>
      </c>
      <c r="CP22" s="61"/>
      <c r="CQ22" s="108">
        <v>19</v>
      </c>
      <c r="CR22" s="273">
        <v>0.18</v>
      </c>
      <c r="CS22" s="61">
        <f t="shared" si="58"/>
        <v>0</v>
      </c>
      <c r="CT22" s="278">
        <f t="shared" si="59"/>
        <v>0.18</v>
      </c>
      <c r="CU22" s="61">
        <f t="shared" si="60"/>
        <v>1</v>
      </c>
      <c r="CV22" s="287">
        <f t="shared" si="61"/>
        <v>1</v>
      </c>
      <c r="CW22" s="309">
        <f t="shared" si="23"/>
        <v>140.93</v>
      </c>
      <c r="CX22" s="309">
        <f t="shared" si="24"/>
        <v>69.12</v>
      </c>
      <c r="CY22" s="300">
        <f t="shared" si="25"/>
        <v>279.81</v>
      </c>
      <c r="CZ22" s="309">
        <f t="shared" si="26"/>
        <v>155.79</v>
      </c>
      <c r="DA22"/>
      <c r="DC22" s="544">
        <v>537.13</v>
      </c>
    </row>
    <row r="23" spans="1:107">
      <c r="A23" s="246" t="s">
        <v>355</v>
      </c>
      <c r="B23" s="260">
        <f>+'DATOS GENERALES'!G22</f>
        <v>1</v>
      </c>
      <c r="C23" s="260">
        <f>+'DATOS GENERALES'!G22</f>
        <v>1</v>
      </c>
      <c r="E23" s="256" t="s">
        <v>404</v>
      </c>
      <c r="F23" s="324">
        <f>+IF(F20=1,1,1.052632)</f>
        <v>1</v>
      </c>
      <c r="G23" s="60"/>
      <c r="H23" s="60"/>
      <c r="I23" s="60"/>
      <c r="J23" s="132">
        <v>20</v>
      </c>
      <c r="K23" s="36">
        <v>18221.689999999999</v>
      </c>
      <c r="L23" s="36">
        <v>20822.93</v>
      </c>
      <c r="M23" s="36">
        <v>16174.6</v>
      </c>
      <c r="N23" s="36">
        <v>18483.599999999999</v>
      </c>
      <c r="O23" s="36">
        <v>14321.26</v>
      </c>
      <c r="P23" s="36">
        <v>16365.68</v>
      </c>
      <c r="Q23" s="105">
        <f t="shared" si="0"/>
        <v>85781.38</v>
      </c>
      <c r="R23" s="105">
        <f t="shared" si="1"/>
        <v>67429.919999999998</v>
      </c>
      <c r="S23" s="105">
        <f t="shared" si="2"/>
        <v>63856.94</v>
      </c>
      <c r="T23" s="105">
        <f t="shared" si="3"/>
        <v>42415.51</v>
      </c>
      <c r="U23" s="105">
        <f t="shared" si="4"/>
        <v>41362.28</v>
      </c>
      <c r="V23" s="105">
        <f t="shared" si="5"/>
        <v>32207.47</v>
      </c>
      <c r="W23" s="61"/>
      <c r="X23" s="106">
        <v>85781.38</v>
      </c>
      <c r="Y23" s="106">
        <v>67429.919999999998</v>
      </c>
      <c r="Z23" s="105">
        <f t="shared" si="27"/>
        <v>89469.979340000005</v>
      </c>
      <c r="AA23" s="105">
        <f t="shared" si="28"/>
        <v>70329.406559999989</v>
      </c>
      <c r="AB23" s="105">
        <f t="shared" si="29"/>
        <v>96075.145600000018</v>
      </c>
      <c r="AC23" s="105">
        <f t="shared" si="30"/>
        <v>75521.510399999999</v>
      </c>
      <c r="AD23" s="107">
        <v>63856.94</v>
      </c>
      <c r="AE23" s="107">
        <v>42415.51</v>
      </c>
      <c r="AF23" s="105">
        <f t="shared" si="31"/>
        <v>66602.788419999997</v>
      </c>
      <c r="AG23" s="105">
        <f t="shared" si="32"/>
        <v>44239.376929999999</v>
      </c>
      <c r="AH23" s="105">
        <f t="shared" si="33"/>
        <v>71519.772800000006</v>
      </c>
      <c r="AI23" s="105">
        <f t="shared" si="34"/>
        <v>47505.371200000009</v>
      </c>
      <c r="AJ23" s="106">
        <v>41362.28</v>
      </c>
      <c r="AK23" s="106">
        <v>32207.47</v>
      </c>
      <c r="AL23" s="105">
        <f t="shared" si="35"/>
        <v>43140.858039999999</v>
      </c>
      <c r="AM23" s="105">
        <f t="shared" si="36"/>
        <v>33592.391210000002</v>
      </c>
      <c r="AN23" s="105">
        <f t="shared" si="37"/>
        <v>46325.753600000004</v>
      </c>
      <c r="AO23" s="105">
        <f t="shared" si="38"/>
        <v>36072.366400000006</v>
      </c>
      <c r="AP23" s="61"/>
      <c r="AQ23" s="108">
        <v>20</v>
      </c>
      <c r="AR23" s="109">
        <f ca="1">+RESUMEN!F23</f>
        <v>0</v>
      </c>
      <c r="AS23" s="109">
        <f ca="1">+RESUMEN!G23</f>
        <v>0</v>
      </c>
      <c r="AT23" s="110">
        <f t="shared" ca="1" si="6"/>
        <v>0</v>
      </c>
      <c r="AU23" s="111">
        <f t="shared" si="39"/>
        <v>0</v>
      </c>
      <c r="AV23" s="111">
        <f t="shared" si="40"/>
        <v>0</v>
      </c>
      <c r="AW23" s="111">
        <f t="shared" si="41"/>
        <v>0</v>
      </c>
      <c r="AX23" s="111">
        <f t="shared" si="42"/>
        <v>0</v>
      </c>
      <c r="AY23" s="111">
        <f t="shared" ca="1" si="43"/>
        <v>0</v>
      </c>
      <c r="AZ23" s="110"/>
      <c r="BA23" s="111">
        <f t="shared" ca="1" si="7"/>
        <v>0</v>
      </c>
      <c r="BB23" s="111">
        <f t="shared" ca="1" si="8"/>
        <v>0</v>
      </c>
      <c r="BC23" s="111">
        <f t="shared" ca="1" si="62"/>
        <v>0</v>
      </c>
      <c r="BD23" s="113">
        <f t="shared" ca="1" si="44"/>
        <v>0</v>
      </c>
      <c r="BE23" s="113">
        <f t="shared" ca="1" si="63"/>
        <v>0</v>
      </c>
      <c r="BF23" s="114" t="str">
        <f t="shared" ca="1" si="9"/>
        <v/>
      </c>
      <c r="BG23" s="61"/>
      <c r="BH23" s="64">
        <f t="shared" ca="1" si="10"/>
        <v>0</v>
      </c>
      <c r="BI23" s="64">
        <f t="shared" ca="1" si="11"/>
        <v>0</v>
      </c>
      <c r="BJ23" s="64">
        <f t="shared" ca="1" si="64"/>
        <v>0</v>
      </c>
      <c r="BK23" s="115">
        <f t="shared" ca="1" si="46"/>
        <v>0</v>
      </c>
      <c r="BL23" s="115">
        <f t="shared" ca="1" si="65"/>
        <v>0</v>
      </c>
      <c r="BM23" s="116" t="str">
        <f t="shared" ca="1" si="12"/>
        <v/>
      </c>
      <c r="BN23" s="61"/>
      <c r="BO23" s="117">
        <f t="shared" ca="1" si="13"/>
        <v>0</v>
      </c>
      <c r="BP23" s="117">
        <f t="shared" ca="1" si="14"/>
        <v>0</v>
      </c>
      <c r="BQ23" s="117">
        <f t="shared" ca="1" si="66"/>
        <v>0</v>
      </c>
      <c r="BR23" s="118">
        <f t="shared" ca="1" si="48"/>
        <v>0</v>
      </c>
      <c r="BS23" s="118">
        <f t="shared" ca="1" si="67"/>
        <v>0</v>
      </c>
      <c r="BT23" s="119" t="str">
        <f t="shared" ca="1" si="15"/>
        <v/>
      </c>
      <c r="BU23" s="194"/>
      <c r="BV23" s="120">
        <f t="shared" ca="1" si="16"/>
        <v>0</v>
      </c>
      <c r="BW23" s="120">
        <f t="shared" ca="1" si="17"/>
        <v>0</v>
      </c>
      <c r="BX23" s="120">
        <f t="shared" ca="1" si="68"/>
        <v>0</v>
      </c>
      <c r="BY23" s="121">
        <f t="shared" ca="1" si="50"/>
        <v>0</v>
      </c>
      <c r="BZ23" s="121">
        <f t="shared" ca="1" si="69"/>
        <v>0</v>
      </c>
      <c r="CA23" s="122" t="str">
        <f t="shared" ca="1" si="18"/>
        <v/>
      </c>
      <c r="CB23" s="61"/>
      <c r="CC23" s="123">
        <f t="shared" ca="1" si="52"/>
        <v>0</v>
      </c>
      <c r="CD23" s="123">
        <f t="shared" ca="1" si="53"/>
        <v>0</v>
      </c>
      <c r="CE23" s="123">
        <f t="shared" ca="1" si="70"/>
        <v>0</v>
      </c>
      <c r="CF23" s="124">
        <f t="shared" ca="1" si="54"/>
        <v>0</v>
      </c>
      <c r="CG23" s="124">
        <f t="shared" ca="1" si="71"/>
        <v>0</v>
      </c>
      <c r="CH23" s="125" t="str">
        <f t="shared" ca="1" si="19"/>
        <v/>
      </c>
      <c r="CI23" s="61"/>
      <c r="CJ23" s="126">
        <f t="shared" ca="1" si="20"/>
        <v>0</v>
      </c>
      <c r="CK23" s="126">
        <f t="shared" ca="1" si="21"/>
        <v>0</v>
      </c>
      <c r="CL23" s="126">
        <f t="shared" ca="1" si="72"/>
        <v>0</v>
      </c>
      <c r="CM23" s="127">
        <f t="shared" ca="1" si="56"/>
        <v>0</v>
      </c>
      <c r="CN23" s="127">
        <f t="shared" ca="1" si="73"/>
        <v>0</v>
      </c>
      <c r="CO23" s="128" t="str">
        <f t="shared" ca="1" si="22"/>
        <v/>
      </c>
      <c r="CP23" s="61"/>
      <c r="CQ23" s="108">
        <v>20</v>
      </c>
      <c r="CR23" s="273">
        <v>0.18</v>
      </c>
      <c r="CS23" s="61">
        <f t="shared" si="58"/>
        <v>0</v>
      </c>
      <c r="CT23" s="278">
        <f t="shared" si="59"/>
        <v>0.18</v>
      </c>
      <c r="CU23" s="61">
        <f t="shared" si="60"/>
        <v>1</v>
      </c>
      <c r="CV23" s="287">
        <f t="shared" si="61"/>
        <v>1</v>
      </c>
      <c r="CW23" s="309">
        <f t="shared" si="23"/>
        <v>140.93</v>
      </c>
      <c r="CX23" s="309">
        <f t="shared" si="24"/>
        <v>69.12</v>
      </c>
      <c r="CY23" s="300">
        <f t="shared" si="25"/>
        <v>279.81</v>
      </c>
      <c r="CZ23" s="309">
        <f t="shared" si="26"/>
        <v>155.79</v>
      </c>
      <c r="DA23"/>
      <c r="DC23" s="544">
        <v>537.13</v>
      </c>
    </row>
    <row r="24" spans="1:107">
      <c r="A24" s="35" t="s">
        <v>356</v>
      </c>
      <c r="B24" s="260">
        <f ca="1">+IF(e&gt;0,0,1)</f>
        <v>0</v>
      </c>
      <c r="C24" s="260">
        <f ca="1">+IF(e&gt;0,0,1)</f>
        <v>0</v>
      </c>
      <c r="E24" s="256" t="s">
        <v>405</v>
      </c>
      <c r="F24" s="324">
        <f>+IF(F20=1,1,1.10526)</f>
        <v>1</v>
      </c>
      <c r="G24" s="60"/>
      <c r="H24" s="60"/>
      <c r="I24" s="60"/>
      <c r="J24" s="132">
        <v>21</v>
      </c>
      <c r="K24" s="36">
        <v>19021.259999999998</v>
      </c>
      <c r="L24" s="36">
        <v>20800.810000000001</v>
      </c>
      <c r="M24" s="36">
        <v>16884.34</v>
      </c>
      <c r="N24" s="36">
        <v>18463.97</v>
      </c>
      <c r="O24" s="36">
        <v>14949.67</v>
      </c>
      <c r="P24" s="36">
        <v>16348.3</v>
      </c>
      <c r="Q24" s="105">
        <f t="shared" si="0"/>
        <v>85781.38</v>
      </c>
      <c r="R24" s="105">
        <f t="shared" si="1"/>
        <v>70007.22</v>
      </c>
      <c r="S24" s="105">
        <f t="shared" si="2"/>
        <v>63856.94</v>
      </c>
      <c r="T24" s="105">
        <f t="shared" si="3"/>
        <v>46311.1</v>
      </c>
      <c r="U24" s="105">
        <f t="shared" si="4"/>
        <v>41362.28</v>
      </c>
      <c r="V24" s="105">
        <f t="shared" si="5"/>
        <v>34022.74</v>
      </c>
      <c r="W24" s="61"/>
      <c r="X24" s="106">
        <v>85781.38</v>
      </c>
      <c r="Y24" s="106">
        <v>70007.22</v>
      </c>
      <c r="Z24" s="105">
        <f t="shared" si="27"/>
        <v>89469.979340000005</v>
      </c>
      <c r="AA24" s="105">
        <f t="shared" si="28"/>
        <v>73017.530459999994</v>
      </c>
      <c r="AB24" s="105">
        <f t="shared" si="29"/>
        <v>96075.145600000018</v>
      </c>
      <c r="AC24" s="105">
        <f t="shared" si="30"/>
        <v>78408.086400000015</v>
      </c>
      <c r="AD24" s="107">
        <v>63856.94</v>
      </c>
      <c r="AE24" s="107">
        <v>46311.1</v>
      </c>
      <c r="AF24" s="105">
        <f t="shared" si="31"/>
        <v>66602.788419999997</v>
      </c>
      <c r="AG24" s="105">
        <f t="shared" si="32"/>
        <v>48302.477299999999</v>
      </c>
      <c r="AH24" s="105">
        <f t="shared" si="33"/>
        <v>71519.772800000006</v>
      </c>
      <c r="AI24" s="105">
        <f t="shared" si="34"/>
        <v>51868.432000000001</v>
      </c>
      <c r="AJ24" s="106">
        <v>41362.28</v>
      </c>
      <c r="AK24" s="106">
        <v>34022.74</v>
      </c>
      <c r="AL24" s="105">
        <f t="shared" si="35"/>
        <v>43140.858039999999</v>
      </c>
      <c r="AM24" s="105">
        <f t="shared" si="36"/>
        <v>35485.717819999998</v>
      </c>
      <c r="AN24" s="105">
        <f t="shared" si="37"/>
        <v>46325.753600000004</v>
      </c>
      <c r="AO24" s="105">
        <f t="shared" si="38"/>
        <v>38105.468800000002</v>
      </c>
      <c r="AP24" s="61"/>
      <c r="AQ24" s="108">
        <v>21</v>
      </c>
      <c r="AR24" s="109">
        <f ca="1">+RESUMEN!F24</f>
        <v>0</v>
      </c>
      <c r="AS24" s="109">
        <f ca="1">+RESUMEN!G24</f>
        <v>0</v>
      </c>
      <c r="AT24" s="110">
        <f t="shared" ca="1" si="6"/>
        <v>0</v>
      </c>
      <c r="AU24" s="111">
        <f t="shared" si="39"/>
        <v>0</v>
      </c>
      <c r="AV24" s="111">
        <f t="shared" si="40"/>
        <v>0</v>
      </c>
      <c r="AW24" s="111">
        <f t="shared" si="41"/>
        <v>0</v>
      </c>
      <c r="AX24" s="111">
        <f t="shared" si="42"/>
        <v>0</v>
      </c>
      <c r="AY24" s="111">
        <f t="shared" ca="1" si="43"/>
        <v>0</v>
      </c>
      <c r="AZ24" s="110"/>
      <c r="BA24" s="111">
        <f t="shared" ca="1" si="7"/>
        <v>0</v>
      </c>
      <c r="BB24" s="111">
        <f t="shared" ca="1" si="8"/>
        <v>0</v>
      </c>
      <c r="BC24" s="111">
        <f t="shared" ca="1" si="62"/>
        <v>0</v>
      </c>
      <c r="BD24" s="113">
        <f t="shared" ca="1" si="44"/>
        <v>0</v>
      </c>
      <c r="BE24" s="113">
        <f t="shared" ca="1" si="63"/>
        <v>0</v>
      </c>
      <c r="BF24" s="114" t="str">
        <f t="shared" ca="1" si="9"/>
        <v/>
      </c>
      <c r="BG24" s="61"/>
      <c r="BH24" s="64">
        <f t="shared" ca="1" si="10"/>
        <v>0</v>
      </c>
      <c r="BI24" s="64">
        <f t="shared" ca="1" si="11"/>
        <v>0</v>
      </c>
      <c r="BJ24" s="64">
        <f t="shared" ca="1" si="64"/>
        <v>0</v>
      </c>
      <c r="BK24" s="115">
        <f t="shared" ca="1" si="46"/>
        <v>0</v>
      </c>
      <c r="BL24" s="115">
        <f t="shared" ca="1" si="65"/>
        <v>0</v>
      </c>
      <c r="BM24" s="116" t="str">
        <f t="shared" ca="1" si="12"/>
        <v/>
      </c>
      <c r="BN24" s="61"/>
      <c r="BO24" s="117">
        <f t="shared" ca="1" si="13"/>
        <v>0</v>
      </c>
      <c r="BP24" s="117">
        <f t="shared" ca="1" si="14"/>
        <v>0</v>
      </c>
      <c r="BQ24" s="117">
        <f t="shared" ca="1" si="66"/>
        <v>0</v>
      </c>
      <c r="BR24" s="118">
        <f t="shared" ca="1" si="48"/>
        <v>0</v>
      </c>
      <c r="BS24" s="118">
        <f t="shared" ca="1" si="67"/>
        <v>0</v>
      </c>
      <c r="BT24" s="119" t="str">
        <f t="shared" ca="1" si="15"/>
        <v/>
      </c>
      <c r="BU24" s="170"/>
      <c r="BV24" s="120">
        <f t="shared" ca="1" si="16"/>
        <v>0</v>
      </c>
      <c r="BW24" s="120">
        <f t="shared" ca="1" si="17"/>
        <v>0</v>
      </c>
      <c r="BX24" s="120">
        <f t="shared" ca="1" si="68"/>
        <v>0</v>
      </c>
      <c r="BY24" s="121">
        <f t="shared" ca="1" si="50"/>
        <v>0</v>
      </c>
      <c r="BZ24" s="121">
        <f t="shared" ca="1" si="69"/>
        <v>0</v>
      </c>
      <c r="CA24" s="122" t="str">
        <f t="shared" ca="1" si="18"/>
        <v/>
      </c>
      <c r="CB24" s="61"/>
      <c r="CC24" s="123">
        <f t="shared" ca="1" si="52"/>
        <v>0</v>
      </c>
      <c r="CD24" s="123">
        <f t="shared" ca="1" si="53"/>
        <v>0</v>
      </c>
      <c r="CE24" s="123">
        <f t="shared" ca="1" si="70"/>
        <v>0</v>
      </c>
      <c r="CF24" s="124">
        <f t="shared" ca="1" si="54"/>
        <v>0</v>
      </c>
      <c r="CG24" s="124">
        <f t="shared" ca="1" si="71"/>
        <v>0</v>
      </c>
      <c r="CH24" s="125" t="str">
        <f t="shared" ca="1" si="19"/>
        <v/>
      </c>
      <c r="CI24" s="61"/>
      <c r="CJ24" s="126">
        <f t="shared" ca="1" si="20"/>
        <v>0</v>
      </c>
      <c r="CK24" s="126">
        <f t="shared" ca="1" si="21"/>
        <v>0</v>
      </c>
      <c r="CL24" s="126">
        <f t="shared" ca="1" si="72"/>
        <v>0</v>
      </c>
      <c r="CM24" s="127">
        <f t="shared" ca="1" si="56"/>
        <v>0</v>
      </c>
      <c r="CN24" s="127">
        <f t="shared" ca="1" si="73"/>
        <v>0</v>
      </c>
      <c r="CO24" s="128" t="str">
        <f t="shared" ca="1" si="22"/>
        <v/>
      </c>
      <c r="CP24" s="61"/>
      <c r="CQ24" s="108">
        <v>21</v>
      </c>
      <c r="CR24" s="273">
        <v>0.18</v>
      </c>
      <c r="CS24" s="61">
        <f t="shared" si="58"/>
        <v>0</v>
      </c>
      <c r="CT24" s="278">
        <f t="shared" si="59"/>
        <v>0.18</v>
      </c>
      <c r="CU24" s="61">
        <f t="shared" si="60"/>
        <v>1</v>
      </c>
      <c r="CV24" s="287">
        <f t="shared" si="61"/>
        <v>1</v>
      </c>
      <c r="CW24" s="309">
        <f t="shared" si="23"/>
        <v>140.93</v>
      </c>
      <c r="CX24" s="309">
        <f t="shared" si="24"/>
        <v>69.12</v>
      </c>
      <c r="CY24" s="300">
        <f t="shared" si="25"/>
        <v>279.81</v>
      </c>
      <c r="CZ24" s="309">
        <f t="shared" si="26"/>
        <v>155.79</v>
      </c>
      <c r="DA24"/>
      <c r="DC24" s="544">
        <v>537.13</v>
      </c>
    </row>
    <row r="25" spans="1:107">
      <c r="A25" s="130" t="s">
        <v>357</v>
      </c>
      <c r="B25" s="260">
        <f>IF(C14=B14,1,(1-(B14-C14)))</f>
        <v>1</v>
      </c>
      <c r="C25" s="260">
        <f>IF(C14=B14,1,(1-(B14-C14)))</f>
        <v>1</v>
      </c>
      <c r="D25" s="197"/>
      <c r="E25" s="197"/>
      <c r="F25"/>
      <c r="G25" s="60"/>
      <c r="H25" s="60"/>
      <c r="I25" s="60"/>
      <c r="J25" s="132">
        <v>22</v>
      </c>
      <c r="K25" s="36">
        <v>19668.759999999998</v>
      </c>
      <c r="L25" s="36">
        <v>20814.82</v>
      </c>
      <c r="M25" s="36">
        <v>17459.099999999999</v>
      </c>
      <c r="N25" s="36">
        <v>18476.400000000001</v>
      </c>
      <c r="O25" s="36">
        <v>15458.57</v>
      </c>
      <c r="P25" s="36">
        <v>16359.31</v>
      </c>
      <c r="Q25" s="105">
        <f t="shared" si="0"/>
        <v>85781.38</v>
      </c>
      <c r="R25" s="105">
        <f t="shared" si="1"/>
        <v>70346.759999999995</v>
      </c>
      <c r="S25" s="105">
        <f t="shared" si="2"/>
        <v>63856.94</v>
      </c>
      <c r="T25" s="105">
        <f t="shared" si="3"/>
        <v>48377.47</v>
      </c>
      <c r="U25" s="105">
        <f t="shared" si="4"/>
        <v>41362.28</v>
      </c>
      <c r="V25" s="105">
        <f t="shared" si="5"/>
        <v>34356.160000000003</v>
      </c>
      <c r="W25" s="61"/>
      <c r="X25" s="106">
        <v>85781.38</v>
      </c>
      <c r="Y25" s="106">
        <v>70346.759999999995</v>
      </c>
      <c r="Z25" s="105">
        <f t="shared" si="27"/>
        <v>89469.979340000005</v>
      </c>
      <c r="AA25" s="105">
        <f t="shared" si="28"/>
        <v>73371.670679999996</v>
      </c>
      <c r="AB25" s="105">
        <f t="shared" si="29"/>
        <v>96075.145600000018</v>
      </c>
      <c r="AC25" s="105">
        <f t="shared" si="30"/>
        <v>78788.371200000009</v>
      </c>
      <c r="AD25" s="107">
        <v>63856.94</v>
      </c>
      <c r="AE25" s="107">
        <v>48377.47</v>
      </c>
      <c r="AF25" s="105">
        <f t="shared" si="31"/>
        <v>66602.788419999997</v>
      </c>
      <c r="AG25" s="105">
        <f t="shared" si="32"/>
        <v>50457.701209999999</v>
      </c>
      <c r="AH25" s="105">
        <f t="shared" si="33"/>
        <v>71519.772800000006</v>
      </c>
      <c r="AI25" s="105">
        <f t="shared" si="34"/>
        <v>54182.766400000008</v>
      </c>
      <c r="AJ25" s="106">
        <v>41362.28</v>
      </c>
      <c r="AK25" s="106">
        <v>34356.160000000003</v>
      </c>
      <c r="AL25" s="105">
        <f t="shared" si="35"/>
        <v>43140.858039999999</v>
      </c>
      <c r="AM25" s="105">
        <f t="shared" si="36"/>
        <v>35833.474880000002</v>
      </c>
      <c r="AN25" s="105">
        <f t="shared" si="37"/>
        <v>46325.753600000004</v>
      </c>
      <c r="AO25" s="105">
        <f t="shared" si="38"/>
        <v>38478.899200000007</v>
      </c>
      <c r="AP25" s="61"/>
      <c r="AQ25" s="108">
        <v>22</v>
      </c>
      <c r="AR25" s="109">
        <f ca="1">+RESUMEN!F25</f>
        <v>0</v>
      </c>
      <c r="AS25" s="109">
        <f ca="1">+RESUMEN!G25</f>
        <v>0</v>
      </c>
      <c r="AT25" s="110">
        <f t="shared" ca="1" si="6"/>
        <v>0</v>
      </c>
      <c r="AU25" s="111">
        <f t="shared" si="39"/>
        <v>0</v>
      </c>
      <c r="AV25" s="111">
        <f t="shared" si="40"/>
        <v>0</v>
      </c>
      <c r="AW25" s="111">
        <f t="shared" si="41"/>
        <v>0</v>
      </c>
      <c r="AX25" s="111">
        <f t="shared" si="42"/>
        <v>0</v>
      </c>
      <c r="AY25" s="111">
        <f t="shared" ca="1" si="43"/>
        <v>0</v>
      </c>
      <c r="AZ25" s="110"/>
      <c r="BA25" s="111">
        <f t="shared" ca="1" si="7"/>
        <v>0</v>
      </c>
      <c r="BB25" s="111">
        <f t="shared" ca="1" si="8"/>
        <v>0</v>
      </c>
      <c r="BC25" s="111">
        <f t="shared" ca="1" si="62"/>
        <v>0</v>
      </c>
      <c r="BD25" s="113">
        <f t="shared" ca="1" si="44"/>
        <v>0</v>
      </c>
      <c r="BE25" s="113">
        <f t="shared" ca="1" si="63"/>
        <v>0</v>
      </c>
      <c r="BF25" s="114" t="str">
        <f t="shared" ca="1" si="9"/>
        <v/>
      </c>
      <c r="BG25" s="61"/>
      <c r="BH25" s="64">
        <f t="shared" ca="1" si="10"/>
        <v>0</v>
      </c>
      <c r="BI25" s="64">
        <f t="shared" ca="1" si="11"/>
        <v>0</v>
      </c>
      <c r="BJ25" s="64">
        <f t="shared" ca="1" si="64"/>
        <v>0</v>
      </c>
      <c r="BK25" s="115">
        <f t="shared" ca="1" si="46"/>
        <v>0</v>
      </c>
      <c r="BL25" s="115">
        <f t="shared" ca="1" si="65"/>
        <v>0</v>
      </c>
      <c r="BM25" s="116" t="str">
        <f t="shared" ca="1" si="12"/>
        <v/>
      </c>
      <c r="BN25" s="61"/>
      <c r="BO25" s="117">
        <f t="shared" ca="1" si="13"/>
        <v>0</v>
      </c>
      <c r="BP25" s="117">
        <f t="shared" ca="1" si="14"/>
        <v>0</v>
      </c>
      <c r="BQ25" s="117">
        <f t="shared" ca="1" si="66"/>
        <v>0</v>
      </c>
      <c r="BR25" s="118">
        <f t="shared" ca="1" si="48"/>
        <v>0</v>
      </c>
      <c r="BS25" s="118">
        <f t="shared" ca="1" si="67"/>
        <v>0</v>
      </c>
      <c r="BT25" s="119" t="str">
        <f t="shared" ca="1" si="15"/>
        <v/>
      </c>
      <c r="BU25" s="195"/>
      <c r="BV25" s="120">
        <f t="shared" ca="1" si="16"/>
        <v>0</v>
      </c>
      <c r="BW25" s="120">
        <f t="shared" ca="1" si="17"/>
        <v>0</v>
      </c>
      <c r="BX25" s="120">
        <f t="shared" ca="1" si="68"/>
        <v>0</v>
      </c>
      <c r="BY25" s="121">
        <f t="shared" ca="1" si="50"/>
        <v>0</v>
      </c>
      <c r="BZ25" s="121">
        <f t="shared" ca="1" si="69"/>
        <v>0</v>
      </c>
      <c r="CA25" s="122" t="str">
        <f t="shared" ca="1" si="18"/>
        <v/>
      </c>
      <c r="CB25" s="61"/>
      <c r="CC25" s="123">
        <f t="shared" ca="1" si="52"/>
        <v>0</v>
      </c>
      <c r="CD25" s="123">
        <f t="shared" ca="1" si="53"/>
        <v>0</v>
      </c>
      <c r="CE25" s="123">
        <f t="shared" ca="1" si="70"/>
        <v>0</v>
      </c>
      <c r="CF25" s="124">
        <f t="shared" ca="1" si="54"/>
        <v>0</v>
      </c>
      <c r="CG25" s="124">
        <f t="shared" ca="1" si="71"/>
        <v>0</v>
      </c>
      <c r="CH25" s="125" t="str">
        <f t="shared" ca="1" si="19"/>
        <v/>
      </c>
      <c r="CI25" s="61"/>
      <c r="CJ25" s="126">
        <f t="shared" ca="1" si="20"/>
        <v>0</v>
      </c>
      <c r="CK25" s="126">
        <f t="shared" ca="1" si="21"/>
        <v>0</v>
      </c>
      <c r="CL25" s="126">
        <f t="shared" ca="1" si="72"/>
        <v>0</v>
      </c>
      <c r="CM25" s="127">
        <f t="shared" ca="1" si="56"/>
        <v>0</v>
      </c>
      <c r="CN25" s="127">
        <f t="shared" ca="1" si="73"/>
        <v>0</v>
      </c>
      <c r="CO25" s="128" t="str">
        <f t="shared" ca="1" si="22"/>
        <v/>
      </c>
      <c r="CP25" s="61"/>
      <c r="CQ25" s="108">
        <v>22</v>
      </c>
      <c r="CR25" s="273">
        <v>0.18</v>
      </c>
      <c r="CS25" s="61">
        <f t="shared" si="58"/>
        <v>0</v>
      </c>
      <c r="CT25" s="278">
        <f t="shared" si="59"/>
        <v>0.18</v>
      </c>
      <c r="CU25" s="61">
        <f t="shared" si="60"/>
        <v>1</v>
      </c>
      <c r="CV25" s="287">
        <f t="shared" si="61"/>
        <v>1</v>
      </c>
      <c r="CW25" s="309">
        <f t="shared" si="23"/>
        <v>140.93</v>
      </c>
      <c r="CX25" s="309">
        <f t="shared" si="24"/>
        <v>69.12</v>
      </c>
      <c r="CY25" s="300">
        <f t="shared" si="25"/>
        <v>279.81</v>
      </c>
      <c r="CZ25" s="309">
        <f t="shared" si="26"/>
        <v>155.79</v>
      </c>
      <c r="DA25"/>
      <c r="DC25" s="544">
        <v>537.13</v>
      </c>
    </row>
    <row r="26" spans="1:107">
      <c r="A26" s="130" t="s">
        <v>81</v>
      </c>
      <c r="B26" s="261">
        <f ca="1">PRODUCT(B17:B25)</f>
        <v>0</v>
      </c>
      <c r="C26" s="261">
        <f ca="1">PRODUCT(C17:C25)</f>
        <v>0</v>
      </c>
      <c r="D26" s="197"/>
      <c r="E26" s="130" t="s">
        <v>429</v>
      </c>
      <c r="F26" s="130"/>
      <c r="G26" s="129" t="str">
        <f>+IF(OR(LEFT(F26)="F",F26=""),"NO","SI")</f>
        <v>NO</v>
      </c>
      <c r="H26"/>
      <c r="I26" s="60"/>
      <c r="J26" s="132">
        <v>23</v>
      </c>
      <c r="K26" s="36">
        <v>20537.68</v>
      </c>
      <c r="L26" s="36">
        <v>20893.5</v>
      </c>
      <c r="M26" s="36">
        <v>18230.39</v>
      </c>
      <c r="N26" s="36">
        <v>18546.240000000002</v>
      </c>
      <c r="O26" s="36">
        <v>16141.49</v>
      </c>
      <c r="P26" s="36">
        <v>16421.150000000001</v>
      </c>
      <c r="Q26" s="105">
        <f t="shared" si="0"/>
        <v>86197.42</v>
      </c>
      <c r="R26" s="105">
        <f t="shared" si="1"/>
        <v>71238.86</v>
      </c>
      <c r="S26" s="105">
        <f t="shared" si="2"/>
        <v>63856.94</v>
      </c>
      <c r="T26" s="105">
        <f t="shared" si="3"/>
        <v>50590.32</v>
      </c>
      <c r="U26" s="105">
        <f t="shared" si="4"/>
        <v>42419</v>
      </c>
      <c r="V26" s="105">
        <f t="shared" si="5"/>
        <v>35238.15</v>
      </c>
      <c r="W26" s="61"/>
      <c r="X26" s="106">
        <v>86197.42</v>
      </c>
      <c r="Y26" s="106">
        <v>71238.86</v>
      </c>
      <c r="Z26" s="105">
        <f t="shared" si="27"/>
        <v>89903.909059999991</v>
      </c>
      <c r="AA26" s="105">
        <f t="shared" si="28"/>
        <v>74302.130980000002</v>
      </c>
      <c r="AB26" s="105">
        <f t="shared" si="29"/>
        <v>96541.110400000005</v>
      </c>
      <c r="AC26" s="105">
        <f t="shared" si="30"/>
        <v>79787.523200000011</v>
      </c>
      <c r="AD26" s="107">
        <v>63856.94</v>
      </c>
      <c r="AE26" s="107">
        <v>50590.32</v>
      </c>
      <c r="AF26" s="105">
        <f t="shared" si="31"/>
        <v>66602.788419999997</v>
      </c>
      <c r="AG26" s="105">
        <f t="shared" si="32"/>
        <v>52765.703759999997</v>
      </c>
      <c r="AH26" s="105">
        <f t="shared" si="33"/>
        <v>71519.772800000006</v>
      </c>
      <c r="AI26" s="105">
        <f t="shared" si="34"/>
        <v>56661.158400000008</v>
      </c>
      <c r="AJ26" s="106">
        <v>42419</v>
      </c>
      <c r="AK26" s="106">
        <v>35238.15</v>
      </c>
      <c r="AL26" s="105">
        <f t="shared" si="35"/>
        <v>44243.017</v>
      </c>
      <c r="AM26" s="105">
        <f t="shared" si="36"/>
        <v>36753.390449999999</v>
      </c>
      <c r="AN26" s="105">
        <f t="shared" si="37"/>
        <v>47509.280000000006</v>
      </c>
      <c r="AO26" s="105">
        <f t="shared" si="38"/>
        <v>39466.728000000003</v>
      </c>
      <c r="AP26" s="61"/>
      <c r="AQ26" s="108">
        <v>23</v>
      </c>
      <c r="AR26" s="109">
        <f ca="1">+RESUMEN!F26</f>
        <v>0</v>
      </c>
      <c r="AS26" s="109">
        <f ca="1">+RESUMEN!G26</f>
        <v>0</v>
      </c>
      <c r="AT26" s="110">
        <f t="shared" ca="1" si="6"/>
        <v>0</v>
      </c>
      <c r="AU26" s="111">
        <f t="shared" si="39"/>
        <v>0</v>
      </c>
      <c r="AV26" s="111">
        <f t="shared" si="40"/>
        <v>0</v>
      </c>
      <c r="AW26" s="111">
        <f t="shared" si="41"/>
        <v>0</v>
      </c>
      <c r="AX26" s="111">
        <f t="shared" si="42"/>
        <v>0</v>
      </c>
      <c r="AY26" s="111">
        <f t="shared" ca="1" si="43"/>
        <v>0</v>
      </c>
      <c r="AZ26" s="110"/>
      <c r="BA26" s="111">
        <f t="shared" ca="1" si="7"/>
        <v>0</v>
      </c>
      <c r="BB26" s="111">
        <f t="shared" ca="1" si="8"/>
        <v>0</v>
      </c>
      <c r="BC26" s="111">
        <f t="shared" ca="1" si="62"/>
        <v>0</v>
      </c>
      <c r="BD26" s="113">
        <f t="shared" ca="1" si="44"/>
        <v>0</v>
      </c>
      <c r="BE26" s="113">
        <f t="shared" ca="1" si="63"/>
        <v>0</v>
      </c>
      <c r="BF26" s="114" t="str">
        <f t="shared" ca="1" si="9"/>
        <v/>
      </c>
      <c r="BG26" s="61"/>
      <c r="BH26" s="64">
        <f t="shared" ca="1" si="10"/>
        <v>0</v>
      </c>
      <c r="BI26" s="64">
        <f t="shared" ca="1" si="11"/>
        <v>0</v>
      </c>
      <c r="BJ26" s="64">
        <f t="shared" ca="1" si="64"/>
        <v>0</v>
      </c>
      <c r="BK26" s="115">
        <f t="shared" ca="1" si="46"/>
        <v>0</v>
      </c>
      <c r="BL26" s="115">
        <f t="shared" ca="1" si="65"/>
        <v>0</v>
      </c>
      <c r="BM26" s="116" t="str">
        <f t="shared" ca="1" si="12"/>
        <v/>
      </c>
      <c r="BN26" s="61"/>
      <c r="BO26" s="117">
        <f t="shared" ca="1" si="13"/>
        <v>0</v>
      </c>
      <c r="BP26" s="117">
        <f t="shared" ca="1" si="14"/>
        <v>0</v>
      </c>
      <c r="BQ26" s="117">
        <f t="shared" ca="1" si="66"/>
        <v>0</v>
      </c>
      <c r="BR26" s="118">
        <f t="shared" ca="1" si="48"/>
        <v>0</v>
      </c>
      <c r="BS26" s="118">
        <f t="shared" ca="1" si="67"/>
        <v>0</v>
      </c>
      <c r="BT26" s="119" t="str">
        <f t="shared" ca="1" si="15"/>
        <v/>
      </c>
      <c r="BU26" s="61"/>
      <c r="BV26" s="120">
        <f t="shared" ca="1" si="16"/>
        <v>0</v>
      </c>
      <c r="BW26" s="120">
        <f t="shared" ca="1" si="17"/>
        <v>0</v>
      </c>
      <c r="BX26" s="120">
        <f t="shared" ca="1" si="68"/>
        <v>0</v>
      </c>
      <c r="BY26" s="121">
        <f t="shared" ca="1" si="50"/>
        <v>0</v>
      </c>
      <c r="BZ26" s="121">
        <f t="shared" ca="1" si="69"/>
        <v>0</v>
      </c>
      <c r="CA26" s="122" t="str">
        <f t="shared" ca="1" si="18"/>
        <v/>
      </c>
      <c r="CB26" s="61"/>
      <c r="CC26" s="123">
        <f t="shared" ca="1" si="52"/>
        <v>0</v>
      </c>
      <c r="CD26" s="123">
        <f t="shared" ca="1" si="53"/>
        <v>0</v>
      </c>
      <c r="CE26" s="123">
        <f t="shared" ca="1" si="70"/>
        <v>0</v>
      </c>
      <c r="CF26" s="124">
        <f t="shared" ca="1" si="54"/>
        <v>0</v>
      </c>
      <c r="CG26" s="124">
        <f t="shared" ca="1" si="71"/>
        <v>0</v>
      </c>
      <c r="CH26" s="125" t="str">
        <f t="shared" ca="1" si="19"/>
        <v/>
      </c>
      <c r="CI26" s="61"/>
      <c r="CJ26" s="126">
        <f t="shared" ca="1" si="20"/>
        <v>0</v>
      </c>
      <c r="CK26" s="126">
        <f t="shared" ca="1" si="21"/>
        <v>0</v>
      </c>
      <c r="CL26" s="126">
        <f t="shared" ca="1" si="72"/>
        <v>0</v>
      </c>
      <c r="CM26" s="127">
        <f t="shared" ca="1" si="56"/>
        <v>0</v>
      </c>
      <c r="CN26" s="127">
        <f t="shared" ca="1" si="73"/>
        <v>0</v>
      </c>
      <c r="CO26" s="128" t="str">
        <f t="shared" ca="1" si="22"/>
        <v/>
      </c>
      <c r="CP26" s="61"/>
      <c r="CQ26" s="108">
        <v>23</v>
      </c>
      <c r="CR26" s="273">
        <v>0.18</v>
      </c>
      <c r="CS26" s="61">
        <f t="shared" si="58"/>
        <v>0</v>
      </c>
      <c r="CT26" s="278">
        <f t="shared" si="59"/>
        <v>0.18</v>
      </c>
      <c r="CU26" s="61">
        <f t="shared" si="60"/>
        <v>1</v>
      </c>
      <c r="CV26" s="287">
        <f t="shared" si="61"/>
        <v>1</v>
      </c>
      <c r="CW26" s="309">
        <f t="shared" si="23"/>
        <v>140.93</v>
      </c>
      <c r="CX26" s="309">
        <f t="shared" si="24"/>
        <v>69.12</v>
      </c>
      <c r="CY26" s="300">
        <f t="shared" si="25"/>
        <v>279.81</v>
      </c>
      <c r="CZ26" s="309">
        <f t="shared" si="26"/>
        <v>155.79</v>
      </c>
      <c r="DA26"/>
      <c r="DC26" s="544">
        <v>537.13</v>
      </c>
    </row>
    <row r="27" spans="1:107">
      <c r="D27"/>
      <c r="E27" s="130" t="s">
        <v>430</v>
      </c>
      <c r="F27" s="250">
        <v>1</v>
      </c>
      <c r="G27" s="129" t="str">
        <f>+VLOOKUP(F27,$F$95:$G$99,2,0)</f>
        <v>100,000  M.N</v>
      </c>
      <c r="H27"/>
      <c r="I27" s="61"/>
      <c r="J27" s="132">
        <v>24</v>
      </c>
      <c r="K27" s="36">
        <v>20790.86</v>
      </c>
      <c r="L27" s="36">
        <v>20906.91</v>
      </c>
      <c r="M27" s="36">
        <v>18455.13</v>
      </c>
      <c r="N27" s="36">
        <v>18558.150000000001</v>
      </c>
      <c r="O27" s="36">
        <v>16340.48</v>
      </c>
      <c r="P27" s="36">
        <v>16431.689999999999</v>
      </c>
      <c r="Q27" s="105">
        <f t="shared" si="0"/>
        <v>88170.35</v>
      </c>
      <c r="R27" s="105">
        <f t="shared" si="1"/>
        <v>71584.36</v>
      </c>
      <c r="S27" s="105">
        <f t="shared" si="2"/>
        <v>65642.559999999998</v>
      </c>
      <c r="T27" s="105">
        <f t="shared" si="3"/>
        <v>53396.05</v>
      </c>
      <c r="U27" s="105">
        <f t="shared" si="4"/>
        <v>43126.97</v>
      </c>
      <c r="V27" s="105">
        <f t="shared" si="5"/>
        <v>35783.949999999997</v>
      </c>
      <c r="W27" s="61"/>
      <c r="X27" s="106">
        <v>88170.35</v>
      </c>
      <c r="Y27" s="106">
        <v>71584.36</v>
      </c>
      <c r="Z27" s="105">
        <f t="shared" si="27"/>
        <v>91961.675050000005</v>
      </c>
      <c r="AA27" s="105">
        <f t="shared" si="28"/>
        <v>74662.487479999996</v>
      </c>
      <c r="AB27" s="105">
        <f t="shared" si="29"/>
        <v>98750.792000000016</v>
      </c>
      <c r="AC27" s="105">
        <f t="shared" si="30"/>
        <v>80174.483200000002</v>
      </c>
      <c r="AD27" s="107">
        <v>65642.559999999998</v>
      </c>
      <c r="AE27" s="107">
        <v>53396.05</v>
      </c>
      <c r="AF27" s="105">
        <f t="shared" si="31"/>
        <v>68465.190079999986</v>
      </c>
      <c r="AG27" s="105">
        <f t="shared" si="32"/>
        <v>55692.080150000002</v>
      </c>
      <c r="AH27" s="105">
        <f t="shared" si="33"/>
        <v>73519.667200000011</v>
      </c>
      <c r="AI27" s="105">
        <f t="shared" si="34"/>
        <v>59803.576000000008</v>
      </c>
      <c r="AJ27" s="106">
        <v>43126.97</v>
      </c>
      <c r="AK27" s="106">
        <v>35783.949999999997</v>
      </c>
      <c r="AL27" s="105">
        <f t="shared" si="35"/>
        <v>44981.429709999997</v>
      </c>
      <c r="AM27" s="105">
        <f t="shared" si="36"/>
        <v>37322.659849999996</v>
      </c>
      <c r="AN27" s="105">
        <f t="shared" si="37"/>
        <v>48302.206400000003</v>
      </c>
      <c r="AO27" s="105">
        <f t="shared" si="38"/>
        <v>40078.023999999998</v>
      </c>
      <c r="AP27" s="61"/>
      <c r="AQ27" s="108">
        <v>24</v>
      </c>
      <c r="AR27" s="109">
        <f ca="1">+RESUMEN!F27</f>
        <v>0</v>
      </c>
      <c r="AS27" s="109">
        <f ca="1">+RESUMEN!G27</f>
        <v>0</v>
      </c>
      <c r="AT27" s="110">
        <f t="shared" ca="1" si="6"/>
        <v>0</v>
      </c>
      <c r="AU27" s="111">
        <f t="shared" si="39"/>
        <v>0</v>
      </c>
      <c r="AV27" s="111">
        <f t="shared" si="40"/>
        <v>0</v>
      </c>
      <c r="AW27" s="111">
        <f t="shared" si="41"/>
        <v>0</v>
      </c>
      <c r="AX27" s="111">
        <f t="shared" si="42"/>
        <v>0</v>
      </c>
      <c r="AY27" s="111">
        <f t="shared" ca="1" si="43"/>
        <v>0</v>
      </c>
      <c r="AZ27" s="110"/>
      <c r="BA27" s="111">
        <f t="shared" ca="1" si="7"/>
        <v>0</v>
      </c>
      <c r="BB27" s="111">
        <f t="shared" ca="1" si="8"/>
        <v>0</v>
      </c>
      <c r="BC27" s="111">
        <f t="shared" ca="1" si="62"/>
        <v>0</v>
      </c>
      <c r="BD27" s="113">
        <f t="shared" ca="1" si="44"/>
        <v>0</v>
      </c>
      <c r="BE27" s="113">
        <f t="shared" ca="1" si="63"/>
        <v>0</v>
      </c>
      <c r="BF27" s="114" t="str">
        <f t="shared" ca="1" si="9"/>
        <v/>
      </c>
      <c r="BG27" s="61"/>
      <c r="BH27" s="64">
        <f t="shared" ca="1" si="10"/>
        <v>0</v>
      </c>
      <c r="BI27" s="64">
        <f t="shared" ca="1" si="11"/>
        <v>0</v>
      </c>
      <c r="BJ27" s="64">
        <f t="shared" ca="1" si="64"/>
        <v>0</v>
      </c>
      <c r="BK27" s="115">
        <f t="shared" ca="1" si="46"/>
        <v>0</v>
      </c>
      <c r="BL27" s="115">
        <f t="shared" ca="1" si="65"/>
        <v>0</v>
      </c>
      <c r="BM27" s="116" t="str">
        <f t="shared" ca="1" si="12"/>
        <v/>
      </c>
      <c r="BN27" s="61"/>
      <c r="BO27" s="117">
        <f t="shared" ca="1" si="13"/>
        <v>0</v>
      </c>
      <c r="BP27" s="117">
        <f t="shared" ca="1" si="14"/>
        <v>0</v>
      </c>
      <c r="BQ27" s="117">
        <f t="shared" ca="1" si="66"/>
        <v>0</v>
      </c>
      <c r="BR27" s="118">
        <f t="shared" ca="1" si="48"/>
        <v>0</v>
      </c>
      <c r="BS27" s="118">
        <f t="shared" ca="1" si="67"/>
        <v>0</v>
      </c>
      <c r="BT27" s="119" t="str">
        <f t="shared" ca="1" si="15"/>
        <v/>
      </c>
      <c r="BU27" s="61"/>
      <c r="BV27" s="120">
        <f t="shared" ca="1" si="16"/>
        <v>0</v>
      </c>
      <c r="BW27" s="120">
        <f t="shared" ca="1" si="17"/>
        <v>0</v>
      </c>
      <c r="BX27" s="120">
        <f t="shared" ca="1" si="68"/>
        <v>0</v>
      </c>
      <c r="BY27" s="121">
        <f t="shared" ca="1" si="50"/>
        <v>0</v>
      </c>
      <c r="BZ27" s="121">
        <f t="shared" ca="1" si="69"/>
        <v>0</v>
      </c>
      <c r="CA27" s="122" t="str">
        <f t="shared" ca="1" si="18"/>
        <v/>
      </c>
      <c r="CB27" s="61"/>
      <c r="CC27" s="123">
        <f t="shared" ca="1" si="52"/>
        <v>0</v>
      </c>
      <c r="CD27" s="123">
        <f t="shared" ca="1" si="53"/>
        <v>0</v>
      </c>
      <c r="CE27" s="123">
        <f t="shared" ca="1" si="70"/>
        <v>0</v>
      </c>
      <c r="CF27" s="124">
        <f t="shared" ca="1" si="54"/>
        <v>0</v>
      </c>
      <c r="CG27" s="124">
        <f t="shared" ca="1" si="71"/>
        <v>0</v>
      </c>
      <c r="CH27" s="125" t="str">
        <f t="shared" ca="1" si="19"/>
        <v/>
      </c>
      <c r="CI27" s="61"/>
      <c r="CJ27" s="126">
        <f t="shared" ca="1" si="20"/>
        <v>0</v>
      </c>
      <c r="CK27" s="126">
        <f t="shared" ca="1" si="21"/>
        <v>0</v>
      </c>
      <c r="CL27" s="126">
        <f t="shared" ca="1" si="72"/>
        <v>0</v>
      </c>
      <c r="CM27" s="127">
        <f t="shared" ca="1" si="56"/>
        <v>0</v>
      </c>
      <c r="CN27" s="127">
        <f t="shared" ca="1" si="73"/>
        <v>0</v>
      </c>
      <c r="CO27" s="128" t="str">
        <f t="shared" ca="1" si="22"/>
        <v/>
      </c>
      <c r="CP27" s="61"/>
      <c r="CQ27" s="108">
        <v>24</v>
      </c>
      <c r="CR27" s="273">
        <v>0.18</v>
      </c>
      <c r="CS27" s="61">
        <f t="shared" si="58"/>
        <v>0</v>
      </c>
      <c r="CT27" s="278">
        <f t="shared" si="59"/>
        <v>0.18</v>
      </c>
      <c r="CU27" s="61">
        <f t="shared" si="60"/>
        <v>1</v>
      </c>
      <c r="CV27" s="287">
        <f t="shared" si="61"/>
        <v>1</v>
      </c>
      <c r="CW27" s="309">
        <f t="shared" si="23"/>
        <v>140.93</v>
      </c>
      <c r="CX27" s="309">
        <f t="shared" si="24"/>
        <v>69.12</v>
      </c>
      <c r="CY27" s="300">
        <f t="shared" si="25"/>
        <v>279.81</v>
      </c>
      <c r="CZ27" s="309">
        <f t="shared" si="26"/>
        <v>155.79</v>
      </c>
      <c r="DA27"/>
      <c r="DC27" s="544">
        <v>537.13</v>
      </c>
    </row>
    <row r="28" spans="1:107">
      <c r="A28" s="130" t="s">
        <v>413</v>
      </c>
      <c r="B28" s="310"/>
      <c r="C28" s="258" t="str">
        <f>+IF(OR(LEFT(B28)="F",B28=""),"NO","SI")</f>
        <v>NO</v>
      </c>
      <c r="D28"/>
      <c r="E28"/>
      <c r="F28"/>
      <c r="G28" s="133"/>
      <c r="H28" s="133"/>
      <c r="I28" s="133"/>
      <c r="J28" s="132">
        <v>25</v>
      </c>
      <c r="K28" s="36">
        <v>20792.310000000001</v>
      </c>
      <c r="L28" s="36">
        <v>20976.87</v>
      </c>
      <c r="M28" s="36">
        <v>18456.419999999998</v>
      </c>
      <c r="N28" s="36">
        <v>18620.25</v>
      </c>
      <c r="O28" s="36">
        <v>16341.62</v>
      </c>
      <c r="P28" s="36">
        <v>16486.68</v>
      </c>
      <c r="Q28" s="105">
        <f t="shared" si="0"/>
        <v>88597.98</v>
      </c>
      <c r="R28" s="105">
        <f t="shared" si="1"/>
        <v>71931.55</v>
      </c>
      <c r="S28" s="105">
        <f t="shared" si="2"/>
        <v>66664.41</v>
      </c>
      <c r="T28" s="105">
        <f t="shared" si="3"/>
        <v>53884.3</v>
      </c>
      <c r="U28" s="105">
        <f t="shared" si="4"/>
        <v>43552.45</v>
      </c>
      <c r="V28" s="105">
        <f t="shared" si="5"/>
        <v>36301.85</v>
      </c>
      <c r="W28" s="61"/>
      <c r="X28" s="106">
        <v>88597.98</v>
      </c>
      <c r="Y28" s="106">
        <v>71931.55</v>
      </c>
      <c r="Z28" s="105">
        <f t="shared" si="27"/>
        <v>92407.693139999988</v>
      </c>
      <c r="AA28" s="105">
        <f t="shared" si="28"/>
        <v>75024.606650000002</v>
      </c>
      <c r="AB28" s="105">
        <f t="shared" si="29"/>
        <v>99229.737600000008</v>
      </c>
      <c r="AC28" s="105">
        <f t="shared" si="30"/>
        <v>80563.33600000001</v>
      </c>
      <c r="AD28" s="107">
        <v>66664.41</v>
      </c>
      <c r="AE28" s="107">
        <v>53884.3</v>
      </c>
      <c r="AF28" s="105">
        <f t="shared" si="31"/>
        <v>69530.979630000002</v>
      </c>
      <c r="AG28" s="105">
        <f t="shared" si="32"/>
        <v>56201.3249</v>
      </c>
      <c r="AH28" s="105">
        <f t="shared" si="33"/>
        <v>74664.139200000005</v>
      </c>
      <c r="AI28" s="105">
        <f t="shared" si="34"/>
        <v>60350.416000000012</v>
      </c>
      <c r="AJ28" s="106">
        <v>43552.45</v>
      </c>
      <c r="AK28" s="106">
        <v>36301.85</v>
      </c>
      <c r="AL28" s="105">
        <f t="shared" si="35"/>
        <v>45425.205349999997</v>
      </c>
      <c r="AM28" s="105">
        <f t="shared" si="36"/>
        <v>37862.829549999995</v>
      </c>
      <c r="AN28" s="105">
        <f t="shared" si="37"/>
        <v>48778.743999999999</v>
      </c>
      <c r="AO28" s="105">
        <f t="shared" si="38"/>
        <v>40658.072</v>
      </c>
      <c r="AP28" s="61"/>
      <c r="AQ28" s="108">
        <v>25</v>
      </c>
      <c r="AR28" s="109">
        <f ca="1">+RESUMEN!F28</f>
        <v>0</v>
      </c>
      <c r="AS28" s="109">
        <f ca="1">+RESUMEN!G28</f>
        <v>0</v>
      </c>
      <c r="AT28" s="110">
        <f t="shared" ca="1" si="6"/>
        <v>0</v>
      </c>
      <c r="AU28" s="111">
        <f t="shared" si="39"/>
        <v>0</v>
      </c>
      <c r="AV28" s="111">
        <f t="shared" si="40"/>
        <v>0</v>
      </c>
      <c r="AW28" s="111">
        <f t="shared" si="41"/>
        <v>0</v>
      </c>
      <c r="AX28" s="111">
        <f t="shared" si="42"/>
        <v>0</v>
      </c>
      <c r="AY28" s="111">
        <f t="shared" ca="1" si="43"/>
        <v>0</v>
      </c>
      <c r="AZ28" s="110"/>
      <c r="BA28" s="111">
        <f t="shared" ca="1" si="7"/>
        <v>0</v>
      </c>
      <c r="BB28" s="111">
        <f t="shared" ca="1" si="8"/>
        <v>0</v>
      </c>
      <c r="BC28" s="111">
        <f t="shared" ca="1" si="62"/>
        <v>0</v>
      </c>
      <c r="BD28" s="113">
        <f t="shared" ca="1" si="44"/>
        <v>0</v>
      </c>
      <c r="BE28" s="113">
        <f t="shared" ca="1" si="63"/>
        <v>0</v>
      </c>
      <c r="BF28" s="114" t="str">
        <f t="shared" ca="1" si="9"/>
        <v/>
      </c>
      <c r="BG28" s="61"/>
      <c r="BH28" s="64">
        <f t="shared" ca="1" si="10"/>
        <v>0</v>
      </c>
      <c r="BI28" s="64">
        <f t="shared" ca="1" si="11"/>
        <v>0</v>
      </c>
      <c r="BJ28" s="64">
        <f t="shared" ca="1" si="64"/>
        <v>0</v>
      </c>
      <c r="BK28" s="115">
        <f t="shared" ca="1" si="46"/>
        <v>0</v>
      </c>
      <c r="BL28" s="115">
        <f t="shared" ca="1" si="65"/>
        <v>0</v>
      </c>
      <c r="BM28" s="116" t="str">
        <f t="shared" ca="1" si="12"/>
        <v/>
      </c>
      <c r="BN28" s="61"/>
      <c r="BO28" s="117">
        <f t="shared" ca="1" si="13"/>
        <v>0</v>
      </c>
      <c r="BP28" s="117">
        <f t="shared" ca="1" si="14"/>
        <v>0</v>
      </c>
      <c r="BQ28" s="117">
        <f t="shared" ca="1" si="66"/>
        <v>0</v>
      </c>
      <c r="BR28" s="118">
        <f t="shared" ca="1" si="48"/>
        <v>0</v>
      </c>
      <c r="BS28" s="118">
        <f t="shared" ca="1" si="67"/>
        <v>0</v>
      </c>
      <c r="BT28" s="119" t="str">
        <f t="shared" ca="1" si="15"/>
        <v/>
      </c>
      <c r="BU28" s="61"/>
      <c r="BV28" s="120">
        <f t="shared" ca="1" si="16"/>
        <v>0</v>
      </c>
      <c r="BW28" s="120">
        <f t="shared" ca="1" si="17"/>
        <v>0</v>
      </c>
      <c r="BX28" s="120">
        <f t="shared" ca="1" si="68"/>
        <v>0</v>
      </c>
      <c r="BY28" s="121">
        <f t="shared" ca="1" si="50"/>
        <v>0</v>
      </c>
      <c r="BZ28" s="121">
        <f t="shared" ca="1" si="69"/>
        <v>0</v>
      </c>
      <c r="CA28" s="122" t="str">
        <f t="shared" ca="1" si="18"/>
        <v/>
      </c>
      <c r="CB28" s="61"/>
      <c r="CC28" s="123">
        <f t="shared" ca="1" si="52"/>
        <v>0</v>
      </c>
      <c r="CD28" s="123">
        <f t="shared" ca="1" si="53"/>
        <v>0</v>
      </c>
      <c r="CE28" s="123">
        <f t="shared" ca="1" si="70"/>
        <v>0</v>
      </c>
      <c r="CF28" s="124">
        <f t="shared" ca="1" si="54"/>
        <v>0</v>
      </c>
      <c r="CG28" s="124">
        <f t="shared" ca="1" si="71"/>
        <v>0</v>
      </c>
      <c r="CH28" s="125" t="str">
        <f t="shared" ca="1" si="19"/>
        <v/>
      </c>
      <c r="CI28" s="61"/>
      <c r="CJ28" s="126">
        <f t="shared" ca="1" si="20"/>
        <v>0</v>
      </c>
      <c r="CK28" s="126">
        <f t="shared" ca="1" si="21"/>
        <v>0</v>
      </c>
      <c r="CL28" s="126">
        <f t="shared" ca="1" si="72"/>
        <v>0</v>
      </c>
      <c r="CM28" s="127">
        <f t="shared" ca="1" si="56"/>
        <v>0</v>
      </c>
      <c r="CN28" s="127">
        <f t="shared" ca="1" si="73"/>
        <v>0</v>
      </c>
      <c r="CO28" s="128" t="str">
        <f t="shared" ca="1" si="22"/>
        <v/>
      </c>
      <c r="CP28" s="61"/>
      <c r="CQ28" s="108">
        <v>25</v>
      </c>
      <c r="CR28" s="273">
        <v>0.18</v>
      </c>
      <c r="CS28" s="61">
        <f t="shared" si="58"/>
        <v>0</v>
      </c>
      <c r="CT28" s="278">
        <f t="shared" si="59"/>
        <v>0.18</v>
      </c>
      <c r="CU28" s="61">
        <f t="shared" si="60"/>
        <v>1</v>
      </c>
      <c r="CV28" s="287">
        <f t="shared" si="61"/>
        <v>1</v>
      </c>
      <c r="CW28" s="309">
        <f t="shared" si="23"/>
        <v>140.93</v>
      </c>
      <c r="CX28" s="309">
        <f t="shared" si="24"/>
        <v>69.12</v>
      </c>
      <c r="CY28" s="300">
        <f t="shared" si="25"/>
        <v>279.81</v>
      </c>
      <c r="CZ28" s="309">
        <f t="shared" si="26"/>
        <v>155.79</v>
      </c>
      <c r="DA28"/>
      <c r="DC28" s="544">
        <v>537.13</v>
      </c>
    </row>
    <row r="29" spans="1:107">
      <c r="A29" s="130" t="s">
        <v>423</v>
      </c>
      <c r="B29" s="310" t="b">
        <v>1</v>
      </c>
      <c r="C29"/>
      <c r="D29"/>
      <c r="E29"/>
      <c r="F29"/>
      <c r="G29" s="133"/>
      <c r="H29" s="133"/>
      <c r="I29" s="133"/>
      <c r="J29" s="132">
        <v>26</v>
      </c>
      <c r="K29" s="36">
        <v>20820.12</v>
      </c>
      <c r="L29" s="36">
        <v>21777.119999999999</v>
      </c>
      <c r="M29" s="36">
        <v>18481.099999999999</v>
      </c>
      <c r="N29" s="36">
        <v>19330.59</v>
      </c>
      <c r="O29" s="36">
        <v>16363.48</v>
      </c>
      <c r="P29" s="36">
        <v>17115.63</v>
      </c>
      <c r="Q29" s="105">
        <f t="shared" si="0"/>
        <v>89027.68</v>
      </c>
      <c r="R29" s="105">
        <f t="shared" si="1"/>
        <v>72280.42</v>
      </c>
      <c r="S29" s="105">
        <f t="shared" si="2"/>
        <v>66664.41</v>
      </c>
      <c r="T29" s="105">
        <f t="shared" si="3"/>
        <v>55321.17</v>
      </c>
      <c r="U29" s="105">
        <f t="shared" si="4"/>
        <v>43552.45</v>
      </c>
      <c r="V29" s="105">
        <f t="shared" si="5"/>
        <v>36802.31</v>
      </c>
      <c r="W29" s="61"/>
      <c r="X29" s="106">
        <v>89027.68</v>
      </c>
      <c r="Y29" s="106">
        <v>72280.42</v>
      </c>
      <c r="Z29" s="105">
        <f t="shared" si="27"/>
        <v>92855.870239999989</v>
      </c>
      <c r="AA29" s="105">
        <f t="shared" si="28"/>
        <v>75388.478059999994</v>
      </c>
      <c r="AB29" s="105">
        <f t="shared" si="29"/>
        <v>99711.001600000003</v>
      </c>
      <c r="AC29" s="105">
        <f t="shared" si="30"/>
        <v>80954.070400000011</v>
      </c>
      <c r="AD29" s="107">
        <v>66664.41</v>
      </c>
      <c r="AE29" s="107">
        <v>55321.17</v>
      </c>
      <c r="AF29" s="105">
        <f t="shared" si="31"/>
        <v>69530.979630000002</v>
      </c>
      <c r="AG29" s="105">
        <f t="shared" si="32"/>
        <v>57699.980309999992</v>
      </c>
      <c r="AH29" s="105">
        <f t="shared" si="33"/>
        <v>74664.139200000005</v>
      </c>
      <c r="AI29" s="105">
        <f t="shared" si="34"/>
        <v>61959.710400000004</v>
      </c>
      <c r="AJ29" s="106">
        <v>43552.45</v>
      </c>
      <c r="AK29" s="106">
        <v>36802.31</v>
      </c>
      <c r="AL29" s="105">
        <f t="shared" si="35"/>
        <v>45425.205349999997</v>
      </c>
      <c r="AM29" s="105">
        <f t="shared" si="36"/>
        <v>38384.809329999996</v>
      </c>
      <c r="AN29" s="105">
        <f t="shared" si="37"/>
        <v>48778.743999999999</v>
      </c>
      <c r="AO29" s="105">
        <f t="shared" si="38"/>
        <v>41218.587200000002</v>
      </c>
      <c r="AP29" s="61"/>
      <c r="AQ29" s="108">
        <v>26</v>
      </c>
      <c r="AR29" s="109">
        <f ca="1">+RESUMEN!F29</f>
        <v>0</v>
      </c>
      <c r="AS29" s="109">
        <f ca="1">+RESUMEN!G29</f>
        <v>0</v>
      </c>
      <c r="AT29" s="110">
        <f t="shared" ca="1" si="6"/>
        <v>0</v>
      </c>
      <c r="AU29" s="111">
        <f t="shared" si="39"/>
        <v>0</v>
      </c>
      <c r="AV29" s="111">
        <f t="shared" si="40"/>
        <v>0</v>
      </c>
      <c r="AW29" s="111">
        <f t="shared" si="41"/>
        <v>0</v>
      </c>
      <c r="AX29" s="111">
        <f t="shared" si="42"/>
        <v>0</v>
      </c>
      <c r="AY29" s="111">
        <f t="shared" ca="1" si="43"/>
        <v>0</v>
      </c>
      <c r="AZ29" s="110"/>
      <c r="BA29" s="111">
        <f t="shared" ca="1" si="7"/>
        <v>0</v>
      </c>
      <c r="BB29" s="111">
        <f t="shared" ca="1" si="8"/>
        <v>0</v>
      </c>
      <c r="BC29" s="111">
        <f t="shared" ca="1" si="62"/>
        <v>0</v>
      </c>
      <c r="BD29" s="113">
        <f t="shared" ca="1" si="44"/>
        <v>0</v>
      </c>
      <c r="BE29" s="113">
        <f t="shared" ca="1" si="63"/>
        <v>0</v>
      </c>
      <c r="BF29" s="114" t="str">
        <f t="shared" ca="1" si="9"/>
        <v/>
      </c>
      <c r="BG29" s="61"/>
      <c r="BH29" s="64">
        <f t="shared" ca="1" si="10"/>
        <v>0</v>
      </c>
      <c r="BI29" s="64">
        <f t="shared" ca="1" si="11"/>
        <v>0</v>
      </c>
      <c r="BJ29" s="64">
        <f t="shared" ca="1" si="64"/>
        <v>0</v>
      </c>
      <c r="BK29" s="115">
        <f t="shared" ca="1" si="46"/>
        <v>0</v>
      </c>
      <c r="BL29" s="115">
        <f t="shared" ca="1" si="65"/>
        <v>0</v>
      </c>
      <c r="BM29" s="116" t="str">
        <f t="shared" ca="1" si="12"/>
        <v/>
      </c>
      <c r="BN29" s="61"/>
      <c r="BO29" s="117">
        <f t="shared" ca="1" si="13"/>
        <v>0</v>
      </c>
      <c r="BP29" s="117">
        <f t="shared" ca="1" si="14"/>
        <v>0</v>
      </c>
      <c r="BQ29" s="117">
        <f t="shared" ca="1" si="66"/>
        <v>0</v>
      </c>
      <c r="BR29" s="118">
        <f t="shared" ca="1" si="48"/>
        <v>0</v>
      </c>
      <c r="BS29" s="118">
        <f t="shared" ca="1" si="67"/>
        <v>0</v>
      </c>
      <c r="BT29" s="119" t="str">
        <f t="shared" ca="1" si="15"/>
        <v/>
      </c>
      <c r="BU29" s="61"/>
      <c r="BV29" s="120">
        <f t="shared" ca="1" si="16"/>
        <v>0</v>
      </c>
      <c r="BW29" s="120">
        <f t="shared" ca="1" si="17"/>
        <v>0</v>
      </c>
      <c r="BX29" s="120">
        <f t="shared" ca="1" si="68"/>
        <v>0</v>
      </c>
      <c r="BY29" s="121">
        <f t="shared" ca="1" si="50"/>
        <v>0</v>
      </c>
      <c r="BZ29" s="121">
        <f t="shared" ca="1" si="69"/>
        <v>0</v>
      </c>
      <c r="CA29" s="122" t="str">
        <f t="shared" ca="1" si="18"/>
        <v/>
      </c>
      <c r="CB29" s="61"/>
      <c r="CC29" s="123">
        <f t="shared" ca="1" si="52"/>
        <v>0</v>
      </c>
      <c r="CD29" s="123">
        <f t="shared" ca="1" si="53"/>
        <v>0</v>
      </c>
      <c r="CE29" s="123">
        <f t="shared" ca="1" si="70"/>
        <v>0</v>
      </c>
      <c r="CF29" s="124">
        <f t="shared" ca="1" si="54"/>
        <v>0</v>
      </c>
      <c r="CG29" s="124">
        <f t="shared" ca="1" si="71"/>
        <v>0</v>
      </c>
      <c r="CH29" s="125" t="str">
        <f t="shared" ca="1" si="19"/>
        <v/>
      </c>
      <c r="CI29" s="61"/>
      <c r="CJ29" s="126">
        <f t="shared" ca="1" si="20"/>
        <v>0</v>
      </c>
      <c r="CK29" s="126">
        <f t="shared" ca="1" si="21"/>
        <v>0</v>
      </c>
      <c r="CL29" s="126">
        <f t="shared" ca="1" si="72"/>
        <v>0</v>
      </c>
      <c r="CM29" s="127">
        <f t="shared" ca="1" si="56"/>
        <v>0</v>
      </c>
      <c r="CN29" s="127">
        <f t="shared" ca="1" si="73"/>
        <v>0</v>
      </c>
      <c r="CO29" s="128" t="str">
        <f t="shared" ca="1" si="22"/>
        <v/>
      </c>
      <c r="CP29" s="61"/>
      <c r="CQ29" s="108">
        <v>26</v>
      </c>
      <c r="CR29" s="273">
        <v>0.18</v>
      </c>
      <c r="CS29" s="61">
        <f t="shared" si="58"/>
        <v>0</v>
      </c>
      <c r="CT29" s="278">
        <f t="shared" si="59"/>
        <v>0.18</v>
      </c>
      <c r="CU29" s="61">
        <f t="shared" si="60"/>
        <v>1</v>
      </c>
      <c r="CV29" s="287">
        <f t="shared" si="61"/>
        <v>1</v>
      </c>
      <c r="CW29" s="309">
        <f t="shared" si="23"/>
        <v>140.93</v>
      </c>
      <c r="CX29" s="309">
        <f t="shared" si="24"/>
        <v>69.12</v>
      </c>
      <c r="CY29" s="300">
        <f t="shared" si="25"/>
        <v>279.81</v>
      </c>
      <c r="CZ29" s="309">
        <f t="shared" si="26"/>
        <v>155.79</v>
      </c>
      <c r="DA29"/>
      <c r="DC29" s="544">
        <v>537.13</v>
      </c>
    </row>
    <row r="30" spans="1:107">
      <c r="A30"/>
      <c r="B30"/>
      <c r="C30" s="35"/>
      <c r="D30" s="35"/>
      <c r="E30"/>
      <c r="F30"/>
      <c r="G30" s="133"/>
      <c r="H30" s="133"/>
      <c r="I30" s="133"/>
      <c r="J30" s="132">
        <v>27</v>
      </c>
      <c r="K30" s="36">
        <v>21491.96</v>
      </c>
      <c r="L30" s="36">
        <v>22615.16</v>
      </c>
      <c r="M30" s="36">
        <v>19077.47</v>
      </c>
      <c r="N30" s="36">
        <v>20074.48</v>
      </c>
      <c r="O30" s="36">
        <v>16891.509999999998</v>
      </c>
      <c r="P30" s="36">
        <v>17774.28</v>
      </c>
      <c r="Q30" s="105">
        <f t="shared" si="0"/>
        <v>91830.53</v>
      </c>
      <c r="R30" s="105">
        <f t="shared" si="1"/>
        <v>75135.490000000005</v>
      </c>
      <c r="S30" s="105">
        <f t="shared" si="2"/>
        <v>68279.14</v>
      </c>
      <c r="T30" s="105">
        <f t="shared" si="3"/>
        <v>57842.67</v>
      </c>
      <c r="U30" s="105">
        <f t="shared" si="4"/>
        <v>44875.98</v>
      </c>
      <c r="V30" s="105">
        <f t="shared" si="5"/>
        <v>37297.54</v>
      </c>
      <c r="W30" s="61"/>
      <c r="X30" s="106">
        <v>91830.53</v>
      </c>
      <c r="Y30" s="106">
        <v>75135.490000000005</v>
      </c>
      <c r="Z30" s="105">
        <f t="shared" si="27"/>
        <v>95779.242789999989</v>
      </c>
      <c r="AA30" s="105">
        <f t="shared" si="28"/>
        <v>78366.316070000001</v>
      </c>
      <c r="AB30" s="105">
        <f t="shared" si="29"/>
        <v>102850.19360000001</v>
      </c>
      <c r="AC30" s="105">
        <f t="shared" si="30"/>
        <v>84151.748800000016</v>
      </c>
      <c r="AD30" s="107">
        <v>68279.14</v>
      </c>
      <c r="AE30" s="107">
        <v>57842.67</v>
      </c>
      <c r="AF30" s="105">
        <f t="shared" si="31"/>
        <v>71215.143019999989</v>
      </c>
      <c r="AG30" s="105">
        <f t="shared" si="32"/>
        <v>60329.904809999993</v>
      </c>
      <c r="AH30" s="105">
        <f t="shared" si="33"/>
        <v>76472.636800000007</v>
      </c>
      <c r="AI30" s="105">
        <f t="shared" si="34"/>
        <v>64783.790400000005</v>
      </c>
      <c r="AJ30" s="106">
        <v>44875.98</v>
      </c>
      <c r="AK30" s="106">
        <v>37297.54</v>
      </c>
      <c r="AL30" s="105">
        <f t="shared" si="35"/>
        <v>46805.647140000001</v>
      </c>
      <c r="AM30" s="105">
        <f t="shared" si="36"/>
        <v>38901.334219999997</v>
      </c>
      <c r="AN30" s="105">
        <f t="shared" si="37"/>
        <v>50261.097600000008</v>
      </c>
      <c r="AO30" s="105">
        <f t="shared" si="38"/>
        <v>41773.244800000008</v>
      </c>
      <c r="AP30" s="61"/>
      <c r="AQ30" s="108">
        <v>27</v>
      </c>
      <c r="AR30" s="109">
        <f ca="1">+RESUMEN!F30</f>
        <v>0</v>
      </c>
      <c r="AS30" s="109">
        <f ca="1">+RESUMEN!G30</f>
        <v>0</v>
      </c>
      <c r="AT30" s="110">
        <f t="shared" ca="1" si="6"/>
        <v>0</v>
      </c>
      <c r="AU30" s="111">
        <f t="shared" si="39"/>
        <v>0</v>
      </c>
      <c r="AV30" s="111">
        <f t="shared" si="40"/>
        <v>0</v>
      </c>
      <c r="AW30" s="111">
        <f t="shared" si="41"/>
        <v>0</v>
      </c>
      <c r="AX30" s="111">
        <f t="shared" si="42"/>
        <v>0</v>
      </c>
      <c r="AY30" s="111">
        <f t="shared" ca="1" si="43"/>
        <v>0</v>
      </c>
      <c r="AZ30" s="110"/>
      <c r="BA30" s="111">
        <f t="shared" ca="1" si="7"/>
        <v>0</v>
      </c>
      <c r="BB30" s="111">
        <f t="shared" ca="1" si="8"/>
        <v>0</v>
      </c>
      <c r="BC30" s="111">
        <f t="shared" ca="1" si="62"/>
        <v>0</v>
      </c>
      <c r="BD30" s="113">
        <f t="shared" ca="1" si="44"/>
        <v>0</v>
      </c>
      <c r="BE30" s="113">
        <f t="shared" ca="1" si="63"/>
        <v>0</v>
      </c>
      <c r="BF30" s="114" t="str">
        <f t="shared" ca="1" si="9"/>
        <v/>
      </c>
      <c r="BG30" s="61"/>
      <c r="BH30" s="64">
        <f t="shared" ca="1" si="10"/>
        <v>0</v>
      </c>
      <c r="BI30" s="64">
        <f t="shared" ca="1" si="11"/>
        <v>0</v>
      </c>
      <c r="BJ30" s="64">
        <f t="shared" ca="1" si="64"/>
        <v>0</v>
      </c>
      <c r="BK30" s="115">
        <f t="shared" ca="1" si="46"/>
        <v>0</v>
      </c>
      <c r="BL30" s="115">
        <f t="shared" ca="1" si="65"/>
        <v>0</v>
      </c>
      <c r="BM30" s="116" t="str">
        <f t="shared" ca="1" si="12"/>
        <v/>
      </c>
      <c r="BN30" s="61"/>
      <c r="BO30" s="117">
        <f t="shared" ca="1" si="13"/>
        <v>0</v>
      </c>
      <c r="BP30" s="117">
        <f t="shared" ca="1" si="14"/>
        <v>0</v>
      </c>
      <c r="BQ30" s="117">
        <f t="shared" ca="1" si="66"/>
        <v>0</v>
      </c>
      <c r="BR30" s="118">
        <f t="shared" ca="1" si="48"/>
        <v>0</v>
      </c>
      <c r="BS30" s="118">
        <f t="shared" ca="1" si="67"/>
        <v>0</v>
      </c>
      <c r="BT30" s="119" t="str">
        <f t="shared" ca="1" si="15"/>
        <v/>
      </c>
      <c r="BU30" s="61"/>
      <c r="BV30" s="120">
        <f t="shared" ca="1" si="16"/>
        <v>0</v>
      </c>
      <c r="BW30" s="120">
        <f t="shared" ca="1" si="17"/>
        <v>0</v>
      </c>
      <c r="BX30" s="120">
        <f t="shared" ca="1" si="68"/>
        <v>0</v>
      </c>
      <c r="BY30" s="121">
        <f t="shared" ca="1" si="50"/>
        <v>0</v>
      </c>
      <c r="BZ30" s="121">
        <f t="shared" ca="1" si="69"/>
        <v>0</v>
      </c>
      <c r="CA30" s="122" t="str">
        <f t="shared" ca="1" si="18"/>
        <v/>
      </c>
      <c r="CB30" s="61"/>
      <c r="CC30" s="123">
        <f t="shared" ca="1" si="52"/>
        <v>0</v>
      </c>
      <c r="CD30" s="123">
        <f t="shared" ca="1" si="53"/>
        <v>0</v>
      </c>
      <c r="CE30" s="123">
        <f t="shared" ca="1" si="70"/>
        <v>0</v>
      </c>
      <c r="CF30" s="124">
        <f t="shared" ca="1" si="54"/>
        <v>0</v>
      </c>
      <c r="CG30" s="124">
        <f t="shared" ca="1" si="71"/>
        <v>0</v>
      </c>
      <c r="CH30" s="125" t="str">
        <f t="shared" ca="1" si="19"/>
        <v/>
      </c>
      <c r="CI30" s="61"/>
      <c r="CJ30" s="126">
        <f t="shared" ca="1" si="20"/>
        <v>0</v>
      </c>
      <c r="CK30" s="126">
        <f t="shared" ca="1" si="21"/>
        <v>0</v>
      </c>
      <c r="CL30" s="126">
        <f t="shared" ca="1" si="72"/>
        <v>0</v>
      </c>
      <c r="CM30" s="127">
        <f t="shared" ca="1" si="56"/>
        <v>0</v>
      </c>
      <c r="CN30" s="127">
        <f t="shared" ca="1" si="73"/>
        <v>0</v>
      </c>
      <c r="CO30" s="128" t="str">
        <f t="shared" ca="1" si="22"/>
        <v/>
      </c>
      <c r="CP30" s="61"/>
      <c r="CQ30" s="108">
        <v>27</v>
      </c>
      <c r="CR30" s="273">
        <v>0.18</v>
      </c>
      <c r="CS30" s="61">
        <f t="shared" si="58"/>
        <v>0</v>
      </c>
      <c r="CT30" s="278">
        <f t="shared" si="59"/>
        <v>0.18</v>
      </c>
      <c r="CU30" s="61">
        <f t="shared" si="60"/>
        <v>1</v>
      </c>
      <c r="CV30" s="287">
        <f t="shared" si="61"/>
        <v>1</v>
      </c>
      <c r="CW30" s="309">
        <f t="shared" si="23"/>
        <v>140.93</v>
      </c>
      <c r="CX30" s="309">
        <f t="shared" si="24"/>
        <v>69.12</v>
      </c>
      <c r="CY30" s="300">
        <f t="shared" si="25"/>
        <v>279.81</v>
      </c>
      <c r="CZ30" s="309">
        <f t="shared" si="26"/>
        <v>155.79</v>
      </c>
      <c r="DA30"/>
      <c r="DC30" s="544">
        <v>537.13</v>
      </c>
    </row>
    <row r="31" spans="1:107">
      <c r="A31"/>
      <c r="B31"/>
      <c r="C31"/>
      <c r="D31"/>
      <c r="E31"/>
      <c r="F31"/>
      <c r="G31" s="133"/>
      <c r="H31" s="133"/>
      <c r="I31" s="133"/>
      <c r="J31" s="132">
        <v>28</v>
      </c>
      <c r="K31" s="36">
        <v>23867.56</v>
      </c>
      <c r="L31" s="36">
        <v>24934.16</v>
      </c>
      <c r="M31" s="36">
        <v>21186.18</v>
      </c>
      <c r="N31" s="36">
        <v>22132.959999999999</v>
      </c>
      <c r="O31" s="36">
        <v>18758.599999999999</v>
      </c>
      <c r="P31" s="36">
        <v>19596.89</v>
      </c>
      <c r="Q31" s="105">
        <f t="shared" si="0"/>
        <v>95457.83</v>
      </c>
      <c r="R31" s="105">
        <f t="shared" si="1"/>
        <v>78847.19</v>
      </c>
      <c r="S31" s="105">
        <f t="shared" si="2"/>
        <v>71438.86</v>
      </c>
      <c r="T31" s="105">
        <f t="shared" si="3"/>
        <v>61011.1</v>
      </c>
      <c r="U31" s="105">
        <f t="shared" si="4"/>
        <v>48016.51</v>
      </c>
      <c r="V31" s="105">
        <f t="shared" si="5"/>
        <v>39487.72</v>
      </c>
      <c r="W31" s="61"/>
      <c r="X31" s="106">
        <v>95457.83</v>
      </c>
      <c r="Y31" s="106">
        <v>78847.19</v>
      </c>
      <c r="Z31" s="105">
        <f t="shared" si="27"/>
        <v>99562.516689999989</v>
      </c>
      <c r="AA31" s="105">
        <f t="shared" si="28"/>
        <v>82237.619169999991</v>
      </c>
      <c r="AB31" s="105">
        <f t="shared" si="29"/>
        <v>106912.76960000001</v>
      </c>
      <c r="AC31" s="105">
        <f t="shared" si="30"/>
        <v>88308.852800000008</v>
      </c>
      <c r="AD31" s="107">
        <v>71438.86</v>
      </c>
      <c r="AE31" s="107">
        <v>61011.1</v>
      </c>
      <c r="AF31" s="105">
        <f t="shared" si="31"/>
        <v>74510.730979999993</v>
      </c>
      <c r="AG31" s="105">
        <f t="shared" si="32"/>
        <v>63634.577299999997</v>
      </c>
      <c r="AH31" s="105">
        <f t="shared" si="33"/>
        <v>80011.523200000011</v>
      </c>
      <c r="AI31" s="105">
        <f t="shared" si="34"/>
        <v>68332.432000000001</v>
      </c>
      <c r="AJ31" s="106">
        <v>48016.51</v>
      </c>
      <c r="AK31" s="106">
        <v>39487.72</v>
      </c>
      <c r="AL31" s="105">
        <f t="shared" si="35"/>
        <v>50081.219929999999</v>
      </c>
      <c r="AM31" s="105">
        <f t="shared" si="36"/>
        <v>41185.691959999996</v>
      </c>
      <c r="AN31" s="105">
        <f t="shared" si="37"/>
        <v>53778.491200000004</v>
      </c>
      <c r="AO31" s="105">
        <f t="shared" si="38"/>
        <v>44226.246400000004</v>
      </c>
      <c r="AP31" s="61"/>
      <c r="AQ31" s="108">
        <v>28</v>
      </c>
      <c r="AR31" s="109">
        <f ca="1">+RESUMEN!F31</f>
        <v>0</v>
      </c>
      <c r="AS31" s="109">
        <f ca="1">+RESUMEN!G31</f>
        <v>0</v>
      </c>
      <c r="AT31" s="110">
        <f t="shared" ca="1" si="6"/>
        <v>0</v>
      </c>
      <c r="AU31" s="111">
        <f t="shared" si="39"/>
        <v>0</v>
      </c>
      <c r="AV31" s="111">
        <f t="shared" si="40"/>
        <v>0</v>
      </c>
      <c r="AW31" s="111">
        <f t="shared" si="41"/>
        <v>0</v>
      </c>
      <c r="AX31" s="111">
        <f t="shared" si="42"/>
        <v>0</v>
      </c>
      <c r="AY31" s="111">
        <f t="shared" ca="1" si="43"/>
        <v>0</v>
      </c>
      <c r="AZ31" s="110"/>
      <c r="BA31" s="111">
        <f t="shared" ca="1" si="7"/>
        <v>0</v>
      </c>
      <c r="BB31" s="111">
        <f t="shared" ca="1" si="8"/>
        <v>0</v>
      </c>
      <c r="BC31" s="111">
        <f t="shared" ca="1" si="62"/>
        <v>0</v>
      </c>
      <c r="BD31" s="113">
        <f t="shared" ca="1" si="44"/>
        <v>0</v>
      </c>
      <c r="BE31" s="113">
        <f t="shared" ca="1" si="63"/>
        <v>0</v>
      </c>
      <c r="BF31" s="114" t="str">
        <f t="shared" ca="1" si="9"/>
        <v/>
      </c>
      <c r="BG31" s="61"/>
      <c r="BH31" s="64">
        <f t="shared" ca="1" si="10"/>
        <v>0</v>
      </c>
      <c r="BI31" s="64">
        <f t="shared" ca="1" si="11"/>
        <v>0</v>
      </c>
      <c r="BJ31" s="64">
        <f t="shared" ca="1" si="64"/>
        <v>0</v>
      </c>
      <c r="BK31" s="115">
        <f t="shared" ca="1" si="46"/>
        <v>0</v>
      </c>
      <c r="BL31" s="115">
        <f t="shared" ca="1" si="65"/>
        <v>0</v>
      </c>
      <c r="BM31" s="116" t="str">
        <f t="shared" ca="1" si="12"/>
        <v/>
      </c>
      <c r="BN31" s="61"/>
      <c r="BO31" s="117">
        <f t="shared" ca="1" si="13"/>
        <v>0</v>
      </c>
      <c r="BP31" s="117">
        <f t="shared" ca="1" si="14"/>
        <v>0</v>
      </c>
      <c r="BQ31" s="117">
        <f t="shared" ca="1" si="66"/>
        <v>0</v>
      </c>
      <c r="BR31" s="118">
        <f t="shared" ca="1" si="48"/>
        <v>0</v>
      </c>
      <c r="BS31" s="118">
        <f t="shared" ca="1" si="67"/>
        <v>0</v>
      </c>
      <c r="BT31" s="119" t="str">
        <f t="shared" ca="1" si="15"/>
        <v/>
      </c>
      <c r="BU31" s="61"/>
      <c r="BV31" s="120">
        <f t="shared" ca="1" si="16"/>
        <v>0</v>
      </c>
      <c r="BW31" s="120">
        <f t="shared" ca="1" si="17"/>
        <v>0</v>
      </c>
      <c r="BX31" s="120">
        <f t="shared" ca="1" si="68"/>
        <v>0</v>
      </c>
      <c r="BY31" s="121">
        <f t="shared" ca="1" si="50"/>
        <v>0</v>
      </c>
      <c r="BZ31" s="121">
        <f t="shared" ca="1" si="69"/>
        <v>0</v>
      </c>
      <c r="CA31" s="122" t="str">
        <f t="shared" ca="1" si="18"/>
        <v/>
      </c>
      <c r="CB31" s="61"/>
      <c r="CC31" s="123">
        <f t="shared" ca="1" si="52"/>
        <v>0</v>
      </c>
      <c r="CD31" s="123">
        <f t="shared" ca="1" si="53"/>
        <v>0</v>
      </c>
      <c r="CE31" s="123">
        <f t="shared" ca="1" si="70"/>
        <v>0</v>
      </c>
      <c r="CF31" s="124">
        <f t="shared" ca="1" si="54"/>
        <v>0</v>
      </c>
      <c r="CG31" s="124">
        <f t="shared" ca="1" si="71"/>
        <v>0</v>
      </c>
      <c r="CH31" s="125" t="str">
        <f t="shared" ca="1" si="19"/>
        <v/>
      </c>
      <c r="CI31" s="61"/>
      <c r="CJ31" s="126">
        <f t="shared" ca="1" si="20"/>
        <v>0</v>
      </c>
      <c r="CK31" s="126">
        <f t="shared" ca="1" si="21"/>
        <v>0</v>
      </c>
      <c r="CL31" s="126">
        <f t="shared" ca="1" si="72"/>
        <v>0</v>
      </c>
      <c r="CM31" s="127">
        <f t="shared" ca="1" si="56"/>
        <v>0</v>
      </c>
      <c r="CN31" s="127">
        <f t="shared" ca="1" si="73"/>
        <v>0</v>
      </c>
      <c r="CO31" s="128" t="str">
        <f t="shared" ca="1" si="22"/>
        <v/>
      </c>
      <c r="CP31" s="61"/>
      <c r="CQ31" s="108">
        <v>28</v>
      </c>
      <c r="CR31" s="273">
        <v>0.18</v>
      </c>
      <c r="CS31" s="61">
        <f t="shared" si="58"/>
        <v>0</v>
      </c>
      <c r="CT31" s="278">
        <f t="shared" si="59"/>
        <v>0.18</v>
      </c>
      <c r="CU31" s="61">
        <f t="shared" si="60"/>
        <v>1</v>
      </c>
      <c r="CV31" s="287">
        <f t="shared" si="61"/>
        <v>1</v>
      </c>
      <c r="CW31" s="309">
        <f t="shared" si="23"/>
        <v>140.93</v>
      </c>
      <c r="CX31" s="309">
        <f t="shared" si="24"/>
        <v>69.12</v>
      </c>
      <c r="CY31" s="300">
        <f t="shared" si="25"/>
        <v>279.81</v>
      </c>
      <c r="CZ31" s="309">
        <f t="shared" si="26"/>
        <v>155.79</v>
      </c>
      <c r="DA31"/>
      <c r="DC31" s="544">
        <v>537.13</v>
      </c>
    </row>
    <row r="32" spans="1:107">
      <c r="A32"/>
      <c r="B32"/>
      <c r="C32"/>
      <c r="D32"/>
      <c r="E32"/>
      <c r="F32" s="35"/>
      <c r="G32" s="133"/>
      <c r="H32" s="133"/>
      <c r="I32" s="133"/>
      <c r="J32" s="132">
        <v>29</v>
      </c>
      <c r="K32" s="36">
        <v>24149.18</v>
      </c>
      <c r="L32" s="36">
        <v>26150.38</v>
      </c>
      <c r="M32" s="36">
        <v>21436.17</v>
      </c>
      <c r="N32" s="36">
        <v>23212.55</v>
      </c>
      <c r="O32" s="36">
        <v>18979.939999999999</v>
      </c>
      <c r="P32" s="36">
        <v>20552.77</v>
      </c>
      <c r="Q32" s="105">
        <f t="shared" si="0"/>
        <v>99865.83</v>
      </c>
      <c r="R32" s="105">
        <f t="shared" si="1"/>
        <v>83522.820000000007</v>
      </c>
      <c r="S32" s="105">
        <f t="shared" si="2"/>
        <v>73984.759999999995</v>
      </c>
      <c r="T32" s="105">
        <f t="shared" si="3"/>
        <v>62249.18</v>
      </c>
      <c r="U32" s="105">
        <f t="shared" si="4"/>
        <v>50463.02</v>
      </c>
      <c r="V32" s="105">
        <f t="shared" si="5"/>
        <v>44441.78</v>
      </c>
      <c r="W32" s="61"/>
      <c r="X32" s="106">
        <v>99865.83</v>
      </c>
      <c r="Y32" s="106">
        <v>83522.820000000007</v>
      </c>
      <c r="Z32" s="105">
        <f t="shared" si="27"/>
        <v>104160.06069</v>
      </c>
      <c r="AA32" s="105">
        <f t="shared" si="28"/>
        <v>87114.301260000007</v>
      </c>
      <c r="AB32" s="105">
        <f t="shared" si="29"/>
        <v>111849.72960000001</v>
      </c>
      <c r="AC32" s="105">
        <f t="shared" si="30"/>
        <v>93545.558400000024</v>
      </c>
      <c r="AD32" s="107">
        <v>73984.759999999995</v>
      </c>
      <c r="AE32" s="107">
        <v>62249.18</v>
      </c>
      <c r="AF32" s="105">
        <f t="shared" si="31"/>
        <v>77166.104679999989</v>
      </c>
      <c r="AG32" s="105">
        <f t="shared" si="32"/>
        <v>64925.894739999996</v>
      </c>
      <c r="AH32" s="105">
        <f t="shared" si="33"/>
        <v>82862.931200000006</v>
      </c>
      <c r="AI32" s="105">
        <f t="shared" si="34"/>
        <v>69719.081600000005</v>
      </c>
      <c r="AJ32" s="106">
        <v>50463.02</v>
      </c>
      <c r="AK32" s="106">
        <v>44441.78</v>
      </c>
      <c r="AL32" s="105">
        <f t="shared" si="35"/>
        <v>52632.929859999997</v>
      </c>
      <c r="AM32" s="105">
        <f t="shared" si="36"/>
        <v>46352.776539999999</v>
      </c>
      <c r="AN32" s="105">
        <f t="shared" si="37"/>
        <v>56518.582399999999</v>
      </c>
      <c r="AO32" s="105">
        <f t="shared" si="38"/>
        <v>49774.793600000005</v>
      </c>
      <c r="AP32" s="61"/>
      <c r="AQ32" s="108">
        <v>29</v>
      </c>
      <c r="AR32" s="109">
        <f ca="1">+RESUMEN!F32</f>
        <v>0</v>
      </c>
      <c r="AS32" s="109">
        <f ca="1">+RESUMEN!G32</f>
        <v>0</v>
      </c>
      <c r="AT32" s="110">
        <f t="shared" ca="1" si="6"/>
        <v>0</v>
      </c>
      <c r="AU32" s="111">
        <f t="shared" si="39"/>
        <v>0</v>
      </c>
      <c r="AV32" s="111">
        <f t="shared" si="40"/>
        <v>0</v>
      </c>
      <c r="AW32" s="111">
        <f t="shared" si="41"/>
        <v>0</v>
      </c>
      <c r="AX32" s="111">
        <f t="shared" si="42"/>
        <v>0</v>
      </c>
      <c r="AY32" s="111">
        <f t="shared" ca="1" si="43"/>
        <v>0</v>
      </c>
      <c r="AZ32" s="110"/>
      <c r="BA32" s="111">
        <f t="shared" ca="1" si="7"/>
        <v>0</v>
      </c>
      <c r="BB32" s="111">
        <f t="shared" ca="1" si="8"/>
        <v>0</v>
      </c>
      <c r="BC32" s="111">
        <f t="shared" ca="1" si="62"/>
        <v>0</v>
      </c>
      <c r="BD32" s="113">
        <f t="shared" ca="1" si="44"/>
        <v>0</v>
      </c>
      <c r="BE32" s="113">
        <f t="shared" ca="1" si="63"/>
        <v>0</v>
      </c>
      <c r="BF32" s="114" t="str">
        <f t="shared" ca="1" si="9"/>
        <v/>
      </c>
      <c r="BG32" s="61"/>
      <c r="BH32" s="64">
        <f t="shared" ca="1" si="10"/>
        <v>0</v>
      </c>
      <c r="BI32" s="64">
        <f t="shared" ca="1" si="11"/>
        <v>0</v>
      </c>
      <c r="BJ32" s="64">
        <f t="shared" ca="1" si="64"/>
        <v>0</v>
      </c>
      <c r="BK32" s="115">
        <f t="shared" ca="1" si="46"/>
        <v>0</v>
      </c>
      <c r="BL32" s="115">
        <f t="shared" ca="1" si="65"/>
        <v>0</v>
      </c>
      <c r="BM32" s="116" t="str">
        <f t="shared" ca="1" si="12"/>
        <v/>
      </c>
      <c r="BN32" s="61"/>
      <c r="BO32" s="117">
        <f t="shared" ca="1" si="13"/>
        <v>0</v>
      </c>
      <c r="BP32" s="117">
        <f t="shared" ca="1" si="14"/>
        <v>0</v>
      </c>
      <c r="BQ32" s="117">
        <f t="shared" ca="1" si="66"/>
        <v>0</v>
      </c>
      <c r="BR32" s="118">
        <f t="shared" ca="1" si="48"/>
        <v>0</v>
      </c>
      <c r="BS32" s="118">
        <f t="shared" ca="1" si="67"/>
        <v>0</v>
      </c>
      <c r="BT32" s="119" t="str">
        <f t="shared" ca="1" si="15"/>
        <v/>
      </c>
      <c r="BU32" s="61"/>
      <c r="BV32" s="120">
        <f t="shared" ca="1" si="16"/>
        <v>0</v>
      </c>
      <c r="BW32" s="120">
        <f t="shared" ca="1" si="17"/>
        <v>0</v>
      </c>
      <c r="BX32" s="120">
        <f t="shared" ca="1" si="68"/>
        <v>0</v>
      </c>
      <c r="BY32" s="121">
        <f t="shared" ca="1" si="50"/>
        <v>0</v>
      </c>
      <c r="BZ32" s="121">
        <f t="shared" ca="1" si="69"/>
        <v>0</v>
      </c>
      <c r="CA32" s="122" t="str">
        <f t="shared" ca="1" si="18"/>
        <v/>
      </c>
      <c r="CB32" s="61"/>
      <c r="CC32" s="123">
        <f t="shared" ca="1" si="52"/>
        <v>0</v>
      </c>
      <c r="CD32" s="123">
        <f t="shared" ca="1" si="53"/>
        <v>0</v>
      </c>
      <c r="CE32" s="123">
        <f t="shared" ca="1" si="70"/>
        <v>0</v>
      </c>
      <c r="CF32" s="124">
        <f t="shared" ca="1" si="54"/>
        <v>0</v>
      </c>
      <c r="CG32" s="124">
        <f t="shared" ca="1" si="71"/>
        <v>0</v>
      </c>
      <c r="CH32" s="125" t="str">
        <f t="shared" ca="1" si="19"/>
        <v/>
      </c>
      <c r="CI32" s="61"/>
      <c r="CJ32" s="126">
        <f t="shared" ca="1" si="20"/>
        <v>0</v>
      </c>
      <c r="CK32" s="126">
        <f t="shared" ca="1" si="21"/>
        <v>0</v>
      </c>
      <c r="CL32" s="126">
        <f t="shared" ca="1" si="72"/>
        <v>0</v>
      </c>
      <c r="CM32" s="127">
        <f t="shared" ca="1" si="56"/>
        <v>0</v>
      </c>
      <c r="CN32" s="127">
        <f t="shared" ca="1" si="73"/>
        <v>0</v>
      </c>
      <c r="CO32" s="128" t="str">
        <f t="shared" ca="1" si="22"/>
        <v/>
      </c>
      <c r="CP32" s="61"/>
      <c r="CQ32" s="108">
        <v>29</v>
      </c>
      <c r="CR32" s="273">
        <v>0.18</v>
      </c>
      <c r="CS32" s="61">
        <f t="shared" si="58"/>
        <v>0</v>
      </c>
      <c r="CT32" s="278">
        <f t="shared" si="59"/>
        <v>0.18</v>
      </c>
      <c r="CU32" s="61">
        <f t="shared" si="60"/>
        <v>1</v>
      </c>
      <c r="CV32" s="287">
        <f t="shared" si="61"/>
        <v>1</v>
      </c>
      <c r="CW32" s="309">
        <f t="shared" si="23"/>
        <v>140.93</v>
      </c>
      <c r="CX32" s="309">
        <f t="shared" si="24"/>
        <v>69.12</v>
      </c>
      <c r="CY32" s="300">
        <f t="shared" si="25"/>
        <v>279.81</v>
      </c>
      <c r="CZ32" s="309">
        <f t="shared" si="26"/>
        <v>155.79</v>
      </c>
      <c r="DA32"/>
      <c r="DC32" s="544">
        <v>537.13</v>
      </c>
    </row>
    <row r="33" spans="1:107" ht="16" thickBot="1">
      <c r="A33" s="61"/>
      <c r="B33" s="60"/>
      <c r="C33" s="60"/>
      <c r="D33" s="60"/>
      <c r="E33" s="60"/>
      <c r="F33" s="60"/>
      <c r="G33" s="133"/>
      <c r="H33" s="133"/>
      <c r="I33" s="133"/>
      <c r="J33" s="132">
        <v>30</v>
      </c>
      <c r="K33" s="36">
        <v>25333.27</v>
      </c>
      <c r="L33" s="36">
        <v>27752.94</v>
      </c>
      <c r="M33" s="36">
        <v>22487.23</v>
      </c>
      <c r="N33" s="36">
        <v>24635.06</v>
      </c>
      <c r="O33" s="36">
        <v>19910.57</v>
      </c>
      <c r="P33" s="36">
        <v>21812.3</v>
      </c>
      <c r="Q33" s="105">
        <f t="shared" si="0"/>
        <v>110265.69</v>
      </c>
      <c r="R33" s="105">
        <f t="shared" si="1"/>
        <v>91739.11</v>
      </c>
      <c r="S33" s="105">
        <f t="shared" si="2"/>
        <v>77744.34</v>
      </c>
      <c r="T33" s="105">
        <f t="shared" si="3"/>
        <v>67300.89</v>
      </c>
      <c r="U33" s="105">
        <f t="shared" si="4"/>
        <v>54304.55</v>
      </c>
      <c r="V33" s="105">
        <f t="shared" si="5"/>
        <v>50639.14</v>
      </c>
      <c r="W33" s="61"/>
      <c r="X33" s="106">
        <v>110265.69</v>
      </c>
      <c r="Y33" s="106">
        <v>91739.11</v>
      </c>
      <c r="Z33" s="105">
        <f t="shared" si="27"/>
        <v>115007.11467</v>
      </c>
      <c r="AA33" s="105">
        <f t="shared" si="28"/>
        <v>95683.891729999988</v>
      </c>
      <c r="AB33" s="105">
        <f t="shared" si="29"/>
        <v>123497.57280000001</v>
      </c>
      <c r="AC33" s="105">
        <f t="shared" si="30"/>
        <v>102747.80320000001</v>
      </c>
      <c r="AD33" s="107">
        <v>77744.34</v>
      </c>
      <c r="AE33" s="107">
        <v>67300.89</v>
      </c>
      <c r="AF33" s="105">
        <f t="shared" si="31"/>
        <v>81087.346619999997</v>
      </c>
      <c r="AG33" s="105">
        <f t="shared" si="32"/>
        <v>70194.828269999998</v>
      </c>
      <c r="AH33" s="105">
        <f t="shared" si="33"/>
        <v>87073.660799999998</v>
      </c>
      <c r="AI33" s="105">
        <f t="shared" si="34"/>
        <v>75376.996800000008</v>
      </c>
      <c r="AJ33" s="106">
        <v>54304.55</v>
      </c>
      <c r="AK33" s="106">
        <v>50639.14</v>
      </c>
      <c r="AL33" s="105">
        <f t="shared" si="35"/>
        <v>56639.645649999999</v>
      </c>
      <c r="AM33" s="105">
        <f t="shared" si="36"/>
        <v>52816.623019999999</v>
      </c>
      <c r="AN33" s="105">
        <f t="shared" si="37"/>
        <v>60821.096000000012</v>
      </c>
      <c r="AO33" s="105">
        <f t="shared" si="38"/>
        <v>56715.836800000005</v>
      </c>
      <c r="AP33" s="61"/>
      <c r="AQ33" s="108">
        <v>30</v>
      </c>
      <c r="AR33" s="109">
        <f ca="1">+RESUMEN!F33</f>
        <v>0</v>
      </c>
      <c r="AS33" s="109">
        <f ca="1">+RESUMEN!G33</f>
        <v>0</v>
      </c>
      <c r="AT33" s="110">
        <f t="shared" ca="1" si="6"/>
        <v>0</v>
      </c>
      <c r="AU33" s="111">
        <f t="shared" si="39"/>
        <v>0</v>
      </c>
      <c r="AV33" s="111">
        <f t="shared" si="40"/>
        <v>0</v>
      </c>
      <c r="AW33" s="111">
        <f t="shared" si="41"/>
        <v>0</v>
      </c>
      <c r="AX33" s="111">
        <f t="shared" si="42"/>
        <v>0</v>
      </c>
      <c r="AY33" s="111">
        <f t="shared" ca="1" si="43"/>
        <v>0</v>
      </c>
      <c r="AZ33" s="110"/>
      <c r="BA33" s="111">
        <f t="shared" ca="1" si="7"/>
        <v>0</v>
      </c>
      <c r="BB33" s="111">
        <f t="shared" ca="1" si="8"/>
        <v>0</v>
      </c>
      <c r="BC33" s="111">
        <f t="shared" ca="1" si="62"/>
        <v>0</v>
      </c>
      <c r="BD33" s="113">
        <f t="shared" ca="1" si="44"/>
        <v>0</v>
      </c>
      <c r="BE33" s="113">
        <f t="shared" ca="1" si="63"/>
        <v>0</v>
      </c>
      <c r="BF33" s="114" t="str">
        <f t="shared" ca="1" si="9"/>
        <v/>
      </c>
      <c r="BG33" s="61"/>
      <c r="BH33" s="64">
        <f t="shared" ca="1" si="10"/>
        <v>0</v>
      </c>
      <c r="BI33" s="64">
        <f t="shared" ca="1" si="11"/>
        <v>0</v>
      </c>
      <c r="BJ33" s="64">
        <f t="shared" ca="1" si="64"/>
        <v>0</v>
      </c>
      <c r="BK33" s="115">
        <f t="shared" ca="1" si="46"/>
        <v>0</v>
      </c>
      <c r="BL33" s="115">
        <f t="shared" ca="1" si="65"/>
        <v>0</v>
      </c>
      <c r="BM33" s="116" t="str">
        <f t="shared" ca="1" si="12"/>
        <v/>
      </c>
      <c r="BN33" s="61"/>
      <c r="BO33" s="117">
        <f t="shared" ca="1" si="13"/>
        <v>0</v>
      </c>
      <c r="BP33" s="117">
        <f t="shared" ca="1" si="14"/>
        <v>0</v>
      </c>
      <c r="BQ33" s="117">
        <f t="shared" ca="1" si="66"/>
        <v>0</v>
      </c>
      <c r="BR33" s="118">
        <f t="shared" ca="1" si="48"/>
        <v>0</v>
      </c>
      <c r="BS33" s="118">
        <f t="shared" ca="1" si="67"/>
        <v>0</v>
      </c>
      <c r="BT33" s="119" t="str">
        <f t="shared" ca="1" si="15"/>
        <v/>
      </c>
      <c r="BU33" s="61"/>
      <c r="BV33" s="120">
        <f t="shared" ca="1" si="16"/>
        <v>0</v>
      </c>
      <c r="BW33" s="120">
        <f t="shared" ca="1" si="17"/>
        <v>0</v>
      </c>
      <c r="BX33" s="120">
        <f t="shared" ca="1" si="68"/>
        <v>0</v>
      </c>
      <c r="BY33" s="121">
        <f t="shared" ca="1" si="50"/>
        <v>0</v>
      </c>
      <c r="BZ33" s="121">
        <f t="shared" ca="1" si="69"/>
        <v>0</v>
      </c>
      <c r="CA33" s="122" t="str">
        <f t="shared" ca="1" si="18"/>
        <v/>
      </c>
      <c r="CB33" s="61"/>
      <c r="CC33" s="123">
        <f t="shared" ca="1" si="52"/>
        <v>0</v>
      </c>
      <c r="CD33" s="123">
        <f t="shared" ca="1" si="53"/>
        <v>0</v>
      </c>
      <c r="CE33" s="123">
        <f t="shared" ca="1" si="70"/>
        <v>0</v>
      </c>
      <c r="CF33" s="124">
        <f t="shared" ca="1" si="54"/>
        <v>0</v>
      </c>
      <c r="CG33" s="124">
        <f t="shared" ca="1" si="71"/>
        <v>0</v>
      </c>
      <c r="CH33" s="125" t="str">
        <f t="shared" ca="1" si="19"/>
        <v/>
      </c>
      <c r="CI33" s="61"/>
      <c r="CJ33" s="126">
        <f t="shared" ca="1" si="20"/>
        <v>0</v>
      </c>
      <c r="CK33" s="126">
        <f t="shared" ca="1" si="21"/>
        <v>0</v>
      </c>
      <c r="CL33" s="126">
        <f t="shared" ca="1" si="72"/>
        <v>0</v>
      </c>
      <c r="CM33" s="127">
        <f t="shared" ca="1" si="56"/>
        <v>0</v>
      </c>
      <c r="CN33" s="127">
        <f t="shared" ca="1" si="73"/>
        <v>0</v>
      </c>
      <c r="CO33" s="128" t="str">
        <f t="shared" ca="1" si="22"/>
        <v/>
      </c>
      <c r="CP33" s="61"/>
      <c r="CQ33" s="108">
        <v>30</v>
      </c>
      <c r="CR33" s="273">
        <v>0.18</v>
      </c>
      <c r="CS33" s="61">
        <f t="shared" si="58"/>
        <v>0</v>
      </c>
      <c r="CT33" s="278">
        <f t="shared" si="59"/>
        <v>0.18</v>
      </c>
      <c r="CU33" s="61">
        <f t="shared" si="60"/>
        <v>1</v>
      </c>
      <c r="CV33" s="287">
        <f t="shared" si="61"/>
        <v>1</v>
      </c>
      <c r="CW33" s="309">
        <f t="shared" si="23"/>
        <v>140.93</v>
      </c>
      <c r="CX33" s="309">
        <f t="shared" si="24"/>
        <v>69.12</v>
      </c>
      <c r="CY33" s="300">
        <f t="shared" si="25"/>
        <v>279.81</v>
      </c>
      <c r="CZ33" s="309">
        <f t="shared" si="26"/>
        <v>155.79</v>
      </c>
      <c r="DA33"/>
      <c r="DC33" s="544">
        <v>537.13</v>
      </c>
    </row>
    <row r="34" spans="1:107">
      <c r="A34" s="134" t="s">
        <v>4</v>
      </c>
      <c r="B34" s="135" t="s">
        <v>61</v>
      </c>
      <c r="C34" s="135"/>
      <c r="D34" s="136"/>
      <c r="E34" s="60"/>
      <c r="H34" s="133"/>
      <c r="I34" s="133"/>
      <c r="J34" s="132">
        <v>31</v>
      </c>
      <c r="K34" s="36">
        <v>26901.11</v>
      </c>
      <c r="L34" s="36">
        <v>31618</v>
      </c>
      <c r="M34" s="36">
        <v>23878.93</v>
      </c>
      <c r="N34" s="36">
        <v>28065.91</v>
      </c>
      <c r="O34" s="36">
        <v>21142.799999999999</v>
      </c>
      <c r="P34" s="36">
        <v>24850.03</v>
      </c>
      <c r="Q34" s="105">
        <f t="shared" si="0"/>
        <v>114354.83</v>
      </c>
      <c r="R34" s="105">
        <f t="shared" si="1"/>
        <v>119990.7</v>
      </c>
      <c r="S34" s="105">
        <f t="shared" si="2"/>
        <v>78823.73</v>
      </c>
      <c r="T34" s="105">
        <f t="shared" si="3"/>
        <v>78300.600000000006</v>
      </c>
      <c r="U34" s="105">
        <f t="shared" si="4"/>
        <v>54590.53</v>
      </c>
      <c r="V34" s="105">
        <f t="shared" si="5"/>
        <v>55333.38</v>
      </c>
      <c r="W34" s="61"/>
      <c r="X34" s="106">
        <v>114354.83</v>
      </c>
      <c r="Y34" s="106">
        <v>119990.7</v>
      </c>
      <c r="Z34" s="105">
        <f t="shared" si="27"/>
        <v>119272.08769</v>
      </c>
      <c r="AA34" s="105">
        <f t="shared" si="28"/>
        <v>125150.30009999999</v>
      </c>
      <c r="AB34" s="105">
        <f t="shared" si="29"/>
        <v>128077.40960000001</v>
      </c>
      <c r="AC34" s="105">
        <f t="shared" si="30"/>
        <v>134389.584</v>
      </c>
      <c r="AD34" s="107">
        <v>78823.73</v>
      </c>
      <c r="AE34" s="107">
        <v>78300.600000000006</v>
      </c>
      <c r="AF34" s="105">
        <f t="shared" si="31"/>
        <v>82213.150389999995</v>
      </c>
      <c r="AG34" s="105">
        <f t="shared" si="32"/>
        <v>81667.525800000003</v>
      </c>
      <c r="AH34" s="105">
        <f t="shared" si="33"/>
        <v>88282.577600000004</v>
      </c>
      <c r="AI34" s="105">
        <f t="shared" si="34"/>
        <v>87696.67200000002</v>
      </c>
      <c r="AJ34" s="106">
        <v>54590.53</v>
      </c>
      <c r="AK34" s="106">
        <v>55333.38</v>
      </c>
      <c r="AL34" s="105">
        <f t="shared" si="35"/>
        <v>56937.922789999997</v>
      </c>
      <c r="AM34" s="105">
        <f t="shared" si="36"/>
        <v>57712.715339999995</v>
      </c>
      <c r="AN34" s="105">
        <f t="shared" si="37"/>
        <v>61141.393600000003</v>
      </c>
      <c r="AO34" s="105">
        <f t="shared" si="38"/>
        <v>61973.385600000001</v>
      </c>
      <c r="AP34" s="61"/>
      <c r="AQ34" s="108">
        <v>31</v>
      </c>
      <c r="AR34" s="109">
        <f ca="1">+RESUMEN!F34</f>
        <v>0</v>
      </c>
      <c r="AS34" s="109">
        <f ca="1">+RESUMEN!G34</f>
        <v>0</v>
      </c>
      <c r="AT34" s="110">
        <f t="shared" ca="1" si="6"/>
        <v>0</v>
      </c>
      <c r="AU34" s="111">
        <f t="shared" si="39"/>
        <v>0</v>
      </c>
      <c r="AV34" s="111">
        <f t="shared" si="40"/>
        <v>0</v>
      </c>
      <c r="AW34" s="111">
        <f t="shared" si="41"/>
        <v>0</v>
      </c>
      <c r="AX34" s="111">
        <f t="shared" si="42"/>
        <v>0</v>
      </c>
      <c r="AY34" s="111">
        <f t="shared" ca="1" si="43"/>
        <v>0</v>
      </c>
      <c r="AZ34" s="110"/>
      <c r="BA34" s="111">
        <f t="shared" ca="1" si="7"/>
        <v>0</v>
      </c>
      <c r="BB34" s="111">
        <f t="shared" ca="1" si="8"/>
        <v>0</v>
      </c>
      <c r="BC34" s="111">
        <f t="shared" ca="1" si="62"/>
        <v>0</v>
      </c>
      <c r="BD34" s="113">
        <f t="shared" ca="1" si="44"/>
        <v>0</v>
      </c>
      <c r="BE34" s="113">
        <f t="shared" ca="1" si="63"/>
        <v>0</v>
      </c>
      <c r="BF34" s="114" t="str">
        <f t="shared" ca="1" si="9"/>
        <v/>
      </c>
      <c r="BG34" s="61"/>
      <c r="BH34" s="64">
        <f t="shared" ca="1" si="10"/>
        <v>0</v>
      </c>
      <c r="BI34" s="64">
        <f t="shared" ca="1" si="11"/>
        <v>0</v>
      </c>
      <c r="BJ34" s="64">
        <f t="shared" ca="1" si="64"/>
        <v>0</v>
      </c>
      <c r="BK34" s="115">
        <f t="shared" ca="1" si="46"/>
        <v>0</v>
      </c>
      <c r="BL34" s="115">
        <f t="shared" ca="1" si="65"/>
        <v>0</v>
      </c>
      <c r="BM34" s="116" t="str">
        <f t="shared" ca="1" si="12"/>
        <v/>
      </c>
      <c r="BN34" s="61"/>
      <c r="BO34" s="117">
        <f t="shared" ca="1" si="13"/>
        <v>0</v>
      </c>
      <c r="BP34" s="117">
        <f t="shared" ca="1" si="14"/>
        <v>0</v>
      </c>
      <c r="BQ34" s="117">
        <f t="shared" ca="1" si="66"/>
        <v>0</v>
      </c>
      <c r="BR34" s="118">
        <f t="shared" ca="1" si="48"/>
        <v>0</v>
      </c>
      <c r="BS34" s="118">
        <f t="shared" ca="1" si="67"/>
        <v>0</v>
      </c>
      <c r="BT34" s="119" t="str">
        <f t="shared" ca="1" si="15"/>
        <v/>
      </c>
      <c r="BU34" s="61"/>
      <c r="BV34" s="120">
        <f t="shared" ca="1" si="16"/>
        <v>0</v>
      </c>
      <c r="BW34" s="120">
        <f t="shared" ca="1" si="17"/>
        <v>0</v>
      </c>
      <c r="BX34" s="120">
        <f t="shared" ca="1" si="68"/>
        <v>0</v>
      </c>
      <c r="BY34" s="121">
        <f t="shared" ca="1" si="50"/>
        <v>0</v>
      </c>
      <c r="BZ34" s="121">
        <f t="shared" ca="1" si="69"/>
        <v>0</v>
      </c>
      <c r="CA34" s="122" t="str">
        <f t="shared" ca="1" si="18"/>
        <v/>
      </c>
      <c r="CB34" s="61"/>
      <c r="CC34" s="123">
        <f t="shared" ca="1" si="52"/>
        <v>0</v>
      </c>
      <c r="CD34" s="123">
        <f t="shared" ca="1" si="53"/>
        <v>0</v>
      </c>
      <c r="CE34" s="123">
        <f t="shared" ca="1" si="70"/>
        <v>0</v>
      </c>
      <c r="CF34" s="124">
        <f t="shared" ca="1" si="54"/>
        <v>0</v>
      </c>
      <c r="CG34" s="124">
        <f t="shared" ca="1" si="71"/>
        <v>0</v>
      </c>
      <c r="CH34" s="125" t="str">
        <f t="shared" ca="1" si="19"/>
        <v/>
      </c>
      <c r="CI34" s="61"/>
      <c r="CJ34" s="126">
        <f t="shared" ca="1" si="20"/>
        <v>0</v>
      </c>
      <c r="CK34" s="126">
        <f t="shared" ca="1" si="21"/>
        <v>0</v>
      </c>
      <c r="CL34" s="126">
        <f t="shared" ca="1" si="72"/>
        <v>0</v>
      </c>
      <c r="CM34" s="127">
        <f t="shared" ca="1" si="56"/>
        <v>0</v>
      </c>
      <c r="CN34" s="127">
        <f t="shared" ca="1" si="73"/>
        <v>0</v>
      </c>
      <c r="CO34" s="128" t="str">
        <f t="shared" ca="1" si="22"/>
        <v/>
      </c>
      <c r="CP34" s="61"/>
      <c r="CQ34" s="108">
        <v>31</v>
      </c>
      <c r="CR34" s="273">
        <v>0.18</v>
      </c>
      <c r="CS34" s="61">
        <f t="shared" si="58"/>
        <v>0</v>
      </c>
      <c r="CT34" s="278">
        <f t="shared" si="59"/>
        <v>0.18</v>
      </c>
      <c r="CU34" s="61">
        <f t="shared" si="60"/>
        <v>1</v>
      </c>
      <c r="CV34" s="287">
        <f t="shared" si="61"/>
        <v>1</v>
      </c>
      <c r="CW34" s="309">
        <f t="shared" si="23"/>
        <v>140.93</v>
      </c>
      <c r="CX34" s="309">
        <f t="shared" si="24"/>
        <v>69.12</v>
      </c>
      <c r="CY34" s="300">
        <f t="shared" si="25"/>
        <v>279.81</v>
      </c>
      <c r="CZ34" s="309">
        <f t="shared" si="26"/>
        <v>155.79</v>
      </c>
      <c r="DA34"/>
      <c r="DC34" s="544">
        <v>537.13</v>
      </c>
    </row>
    <row r="35" spans="1:107">
      <c r="A35" s="137" t="s">
        <v>25</v>
      </c>
      <c r="B35" s="138" t="s">
        <v>5</v>
      </c>
      <c r="C35" s="138" t="s">
        <v>6</v>
      </c>
      <c r="D35" s="139" t="s">
        <v>36</v>
      </c>
      <c r="E35" s="133"/>
      <c r="H35" s="133"/>
      <c r="I35" s="133"/>
      <c r="J35" s="132">
        <v>32</v>
      </c>
      <c r="K35" s="36">
        <v>28348.46</v>
      </c>
      <c r="L35" s="36">
        <v>35105.370000000003</v>
      </c>
      <c r="M35" s="36">
        <v>25163.68</v>
      </c>
      <c r="N35" s="36">
        <v>31161.49</v>
      </c>
      <c r="O35" s="36">
        <v>22280.34</v>
      </c>
      <c r="P35" s="36">
        <v>27590.91</v>
      </c>
      <c r="Q35" s="105">
        <f t="shared" ref="Q35:Q66" si="74">(IF($C$11="A",AB35,IF($C$11="B",Z35,IF($C$11="C",X35," "))))</f>
        <v>115952.13</v>
      </c>
      <c r="R35" s="105">
        <f t="shared" ref="R35:R66" si="75">(IF($C$11="A",AC35,IF($C$11="B",AA35,IF($C$11="C",Y35," "))))</f>
        <v>126128.78</v>
      </c>
      <c r="S35" s="105">
        <f t="shared" ref="S35:S66" si="76">(IF($C$11="A",AH35,IF($C$11="B",AF35,IF($C$11="C",AD35," "))))</f>
        <v>79924.05</v>
      </c>
      <c r="T35" s="105">
        <f t="shared" ref="T35:T66" si="77">(IF($C$11="A",AI35,IF($C$11="B",AG35,IF($C$11="C",AE35," "))))</f>
        <v>81383.59</v>
      </c>
      <c r="U35" s="105">
        <f t="shared" ref="U35:U66" si="78">(IF($C$11="A",AN35,IF($C$11="B",AL35,IF($C$11="C",AJ35," "))))</f>
        <v>55053.16</v>
      </c>
      <c r="V35" s="105">
        <f t="shared" ref="V35:V66" si="79">(IF($C$11="A",AO35,IF($C$11="B",AM35,IF($C$11="C",AK35," "))))</f>
        <v>58557.61</v>
      </c>
      <c r="W35" s="61"/>
      <c r="X35" s="106">
        <v>115952.13</v>
      </c>
      <c r="Y35" s="106">
        <v>126128.78</v>
      </c>
      <c r="Z35" s="105">
        <f t="shared" si="27"/>
        <v>120938.07158999999</v>
      </c>
      <c r="AA35" s="105">
        <f t="shared" si="28"/>
        <v>131552.31753999999</v>
      </c>
      <c r="AB35" s="105">
        <f t="shared" si="29"/>
        <v>129866.38560000002</v>
      </c>
      <c r="AC35" s="105">
        <f t="shared" si="30"/>
        <v>141264.23360000001</v>
      </c>
      <c r="AD35" s="107">
        <v>79924.05</v>
      </c>
      <c r="AE35" s="107">
        <v>81383.59</v>
      </c>
      <c r="AF35" s="105">
        <f t="shared" si="31"/>
        <v>83360.784149999992</v>
      </c>
      <c r="AG35" s="105">
        <f t="shared" si="32"/>
        <v>84883.084369999997</v>
      </c>
      <c r="AH35" s="105">
        <f t="shared" si="33"/>
        <v>89514.936000000016</v>
      </c>
      <c r="AI35" s="105">
        <f t="shared" si="34"/>
        <v>91149.620800000004</v>
      </c>
      <c r="AJ35" s="106">
        <v>55053.16</v>
      </c>
      <c r="AK35" s="106">
        <v>58557.61</v>
      </c>
      <c r="AL35" s="105">
        <f t="shared" si="35"/>
        <v>57420.445879999999</v>
      </c>
      <c r="AM35" s="105">
        <f t="shared" si="36"/>
        <v>61075.587229999997</v>
      </c>
      <c r="AN35" s="105">
        <f t="shared" si="37"/>
        <v>61659.539200000007</v>
      </c>
      <c r="AO35" s="105">
        <f t="shared" si="38"/>
        <v>65584.523200000011</v>
      </c>
      <c r="AP35" s="61"/>
      <c r="AQ35" s="108">
        <v>32</v>
      </c>
      <c r="AR35" s="109">
        <f ca="1">+RESUMEN!F35</f>
        <v>0</v>
      </c>
      <c r="AS35" s="109">
        <f ca="1">+RESUMEN!G35</f>
        <v>0</v>
      </c>
      <c r="AT35" s="110">
        <f t="shared" ref="AT35:AT66" ca="1" si="80">AR35+AS35</f>
        <v>0</v>
      </c>
      <c r="AU35" s="111">
        <f t="shared" si="39"/>
        <v>0</v>
      </c>
      <c r="AV35" s="111">
        <f t="shared" si="40"/>
        <v>0</v>
      </c>
      <c r="AW35" s="111">
        <f t="shared" si="41"/>
        <v>0</v>
      </c>
      <c r="AX35" s="111">
        <f t="shared" si="42"/>
        <v>0</v>
      </c>
      <c r="AY35" s="111">
        <f t="shared" ca="1" si="43"/>
        <v>0</v>
      </c>
      <c r="AZ35" s="110"/>
      <c r="BA35" s="111">
        <f t="shared" ref="BA35:BA58" ca="1" si="81">+O35*$B$26</f>
        <v>0</v>
      </c>
      <c r="BB35" s="111">
        <f t="shared" ref="BB35:BB58" ca="1" si="82">+P35*$B$26</f>
        <v>0</v>
      </c>
      <c r="BC35" s="111">
        <f t="shared" ca="1" si="62"/>
        <v>0</v>
      </c>
      <c r="BD35" s="113">
        <f t="shared" ca="1" si="44"/>
        <v>0</v>
      </c>
      <c r="BE35" s="113">
        <f t="shared" ca="1" si="63"/>
        <v>0</v>
      </c>
      <c r="BF35" s="114" t="str">
        <f t="shared" ref="BF35:BF66" ca="1" si="83">IF(BA35=0,"",(SUM(BD35:BE35)))</f>
        <v/>
      </c>
      <c r="BG35" s="61"/>
      <c r="BH35" s="64">
        <f t="shared" ref="BH35:BH58" ca="1" si="84">M35*$B$26</f>
        <v>0</v>
      </c>
      <c r="BI35" s="64">
        <f t="shared" ref="BI35:BI58" ca="1" si="85">N35*$B$26</f>
        <v>0</v>
      </c>
      <c r="BJ35" s="64">
        <f t="shared" ca="1" si="64"/>
        <v>0</v>
      </c>
      <c r="BK35" s="115">
        <f t="shared" ca="1" si="46"/>
        <v>0</v>
      </c>
      <c r="BL35" s="115">
        <f t="shared" ca="1" si="65"/>
        <v>0</v>
      </c>
      <c r="BM35" s="116" t="str">
        <f t="shared" ref="BM35:BM66" ca="1" si="86">IF(BH35=0,"",(SUM(BK35:BL35)))</f>
        <v/>
      </c>
      <c r="BN35" s="61"/>
      <c r="BO35" s="117">
        <f t="shared" ref="BO35:BO58" ca="1" si="87">K35*$B$26</f>
        <v>0</v>
      </c>
      <c r="BP35" s="117">
        <f t="shared" ref="BP35:BP58" ca="1" si="88">L35*$B$26</f>
        <v>0</v>
      </c>
      <c r="BQ35" s="117">
        <f t="shared" ca="1" si="66"/>
        <v>0</v>
      </c>
      <c r="BR35" s="118">
        <f t="shared" ca="1" si="48"/>
        <v>0</v>
      </c>
      <c r="BS35" s="118">
        <f t="shared" ca="1" si="67"/>
        <v>0</v>
      </c>
      <c r="BT35" s="119" t="str">
        <f t="shared" ref="BT35:BT66" ca="1" si="89">IF(BO35=0,"",(SUM(BR35:BS35)))</f>
        <v/>
      </c>
      <c r="BU35" s="61"/>
      <c r="BV35" s="120">
        <f t="shared" ref="BV35:BV66" ca="1" si="90">Q35*$B$26</f>
        <v>0</v>
      </c>
      <c r="BW35" s="120">
        <f t="shared" ref="BW35:BW66" ca="1" si="91">R35*$B$26</f>
        <v>0</v>
      </c>
      <c r="BX35" s="120">
        <f t="shared" ca="1" si="68"/>
        <v>0</v>
      </c>
      <c r="BY35" s="121">
        <f t="shared" ca="1" si="50"/>
        <v>0</v>
      </c>
      <c r="BZ35" s="121">
        <f t="shared" ca="1" si="69"/>
        <v>0</v>
      </c>
      <c r="CA35" s="122" t="str">
        <f t="shared" ref="CA35:CA66" ca="1" si="92">IF(BV35=0,"",(SUM(BY35:BZ35)))</f>
        <v/>
      </c>
      <c r="CB35" s="61"/>
      <c r="CC35" s="123">
        <f t="shared" ca="1" si="52"/>
        <v>0</v>
      </c>
      <c r="CD35" s="123">
        <f t="shared" ca="1" si="53"/>
        <v>0</v>
      </c>
      <c r="CE35" s="123">
        <f t="shared" ca="1" si="70"/>
        <v>0</v>
      </c>
      <c r="CF35" s="124">
        <f t="shared" ca="1" si="54"/>
        <v>0</v>
      </c>
      <c r="CG35" s="124">
        <f t="shared" ca="1" si="71"/>
        <v>0</v>
      </c>
      <c r="CH35" s="125" t="str">
        <f t="shared" ref="CH35:CH66" ca="1" si="93">IF(CC35=0,"",(SUM(CF35:CG35)))</f>
        <v/>
      </c>
      <c r="CI35" s="61"/>
      <c r="CJ35" s="126">
        <f t="shared" ref="CJ35:CJ58" ca="1" si="94">U35*$B$26</f>
        <v>0</v>
      </c>
      <c r="CK35" s="126">
        <f t="shared" ref="CK35:CK58" ca="1" si="95">V35*$B$26</f>
        <v>0</v>
      </c>
      <c r="CL35" s="126">
        <f t="shared" ca="1" si="72"/>
        <v>0</v>
      </c>
      <c r="CM35" s="127">
        <f t="shared" ca="1" si="56"/>
        <v>0</v>
      </c>
      <c r="CN35" s="127">
        <f t="shared" ca="1" si="73"/>
        <v>0</v>
      </c>
      <c r="CO35" s="128" t="str">
        <f t="shared" ref="CO35:CO66" ca="1" si="96">IF(CJ35=0,"",(SUM(CM35:CN35)))</f>
        <v/>
      </c>
      <c r="CP35" s="61"/>
      <c r="CQ35" s="108">
        <v>32</v>
      </c>
      <c r="CR35" s="273">
        <v>0.18</v>
      </c>
      <c r="CS35" s="61">
        <f t="shared" si="58"/>
        <v>0</v>
      </c>
      <c r="CT35" s="278">
        <f t="shared" si="59"/>
        <v>0.18</v>
      </c>
      <c r="CU35" s="61">
        <f t="shared" si="60"/>
        <v>1</v>
      </c>
      <c r="CV35" s="287">
        <f t="shared" si="61"/>
        <v>1</v>
      </c>
      <c r="CW35" s="309">
        <f t="shared" ref="CW35:CW52" si="97">+IF(p=1,IF(g=1,140.93,139.81),154.53)</f>
        <v>140.93</v>
      </c>
      <c r="CX35" s="309">
        <f t="shared" ref="CX35:CX52" si="98">+IF(p=1,IF(g=1,69.12,68.57),75.79)</f>
        <v>69.12</v>
      </c>
      <c r="CY35" s="300">
        <f t="shared" ref="CY35:CY52" si="99">+IF(p=1,IF(g=1,279.81,276.83),306.81)</f>
        <v>279.81</v>
      </c>
      <c r="CZ35" s="309">
        <f t="shared" ref="CZ35:CZ52" si="100">+IF(p=1,155.79,0)</f>
        <v>155.79</v>
      </c>
      <c r="DA35"/>
      <c r="DC35" s="544">
        <v>537.13</v>
      </c>
    </row>
    <row r="36" spans="1:107">
      <c r="A36" s="140">
        <v>0</v>
      </c>
      <c r="B36" s="141">
        <f ca="1">RESUMEN!J3</f>
        <v>0</v>
      </c>
      <c r="C36" s="141">
        <f ca="1">+RESUMEN!K3</f>
        <v>0</v>
      </c>
      <c r="D36" s="142">
        <f t="shared" ref="D36:D67" ca="1" si="101">B36+C36</f>
        <v>0</v>
      </c>
      <c r="E36" s="133"/>
      <c r="H36" s="133"/>
      <c r="I36" s="133"/>
      <c r="J36" s="132">
        <v>33</v>
      </c>
      <c r="K36" s="36">
        <v>28947.18</v>
      </c>
      <c r="L36" s="36">
        <v>38730.43</v>
      </c>
      <c r="M36" s="36">
        <v>25695.14</v>
      </c>
      <c r="N36" s="36">
        <v>34379.300000000003</v>
      </c>
      <c r="O36" s="36">
        <v>22750.91</v>
      </c>
      <c r="P36" s="36">
        <v>30440</v>
      </c>
      <c r="Q36" s="105">
        <f t="shared" si="74"/>
        <v>117603.48</v>
      </c>
      <c r="R36" s="105">
        <f t="shared" si="75"/>
        <v>130441.13</v>
      </c>
      <c r="S36" s="105">
        <f t="shared" si="76"/>
        <v>82611.02</v>
      </c>
      <c r="T36" s="105">
        <f t="shared" si="77"/>
        <v>84402.06</v>
      </c>
      <c r="U36" s="105">
        <f t="shared" si="78"/>
        <v>56524.37</v>
      </c>
      <c r="V36" s="105">
        <f t="shared" si="79"/>
        <v>61523.77</v>
      </c>
      <c r="W36" s="61"/>
      <c r="X36" s="106">
        <v>117603.48</v>
      </c>
      <c r="Y36" s="106">
        <v>130441.13</v>
      </c>
      <c r="Z36" s="105">
        <f t="shared" si="27"/>
        <v>122660.42963999999</v>
      </c>
      <c r="AA36" s="105">
        <f t="shared" si="28"/>
        <v>136050.09859000001</v>
      </c>
      <c r="AB36" s="105">
        <f t="shared" si="29"/>
        <v>131715.8976</v>
      </c>
      <c r="AC36" s="105">
        <f t="shared" si="30"/>
        <v>146094.06560000003</v>
      </c>
      <c r="AD36" s="107">
        <v>82611.02</v>
      </c>
      <c r="AE36" s="107">
        <v>84402.06</v>
      </c>
      <c r="AF36" s="105">
        <f t="shared" si="31"/>
        <v>86163.293860000005</v>
      </c>
      <c r="AG36" s="105">
        <f t="shared" si="32"/>
        <v>88031.348579999991</v>
      </c>
      <c r="AH36" s="105">
        <f t="shared" si="33"/>
        <v>92524.342400000009</v>
      </c>
      <c r="AI36" s="105">
        <f t="shared" si="34"/>
        <v>94530.30720000001</v>
      </c>
      <c r="AJ36" s="106">
        <v>56524.37</v>
      </c>
      <c r="AK36" s="106">
        <v>61523.77</v>
      </c>
      <c r="AL36" s="105">
        <f t="shared" si="35"/>
        <v>58954.917909999996</v>
      </c>
      <c r="AM36" s="105">
        <f t="shared" si="36"/>
        <v>64169.292109999995</v>
      </c>
      <c r="AN36" s="105">
        <f t="shared" si="37"/>
        <v>63307.294400000006</v>
      </c>
      <c r="AO36" s="105">
        <f t="shared" si="38"/>
        <v>68906.622400000007</v>
      </c>
      <c r="AP36" s="61"/>
      <c r="AQ36" s="108">
        <v>33</v>
      </c>
      <c r="AR36" s="109">
        <f ca="1">+RESUMEN!F36</f>
        <v>0</v>
      </c>
      <c r="AS36" s="109">
        <f ca="1">+RESUMEN!G36</f>
        <v>0</v>
      </c>
      <c r="AT36" s="110">
        <f t="shared" ca="1" si="80"/>
        <v>0</v>
      </c>
      <c r="AU36" s="111">
        <f t="shared" si="39"/>
        <v>0</v>
      </c>
      <c r="AV36" s="111">
        <f t="shared" si="40"/>
        <v>0</v>
      </c>
      <c r="AW36" s="111">
        <f t="shared" si="41"/>
        <v>0</v>
      </c>
      <c r="AX36" s="111">
        <f t="shared" si="42"/>
        <v>0</v>
      </c>
      <c r="AY36" s="111">
        <f t="shared" ca="1" si="43"/>
        <v>0</v>
      </c>
      <c r="AZ36" s="110"/>
      <c r="BA36" s="111">
        <f t="shared" ca="1" si="81"/>
        <v>0</v>
      </c>
      <c r="BB36" s="111">
        <f t="shared" ca="1" si="82"/>
        <v>0</v>
      </c>
      <c r="BC36" s="111">
        <f t="shared" ca="1" si="62"/>
        <v>0</v>
      </c>
      <c r="BD36" s="113">
        <f t="shared" ca="1" si="44"/>
        <v>0</v>
      </c>
      <c r="BE36" s="113">
        <f t="shared" ca="1" si="63"/>
        <v>0</v>
      </c>
      <c r="BF36" s="114" t="str">
        <f t="shared" ca="1" si="83"/>
        <v/>
      </c>
      <c r="BG36" s="61"/>
      <c r="BH36" s="64">
        <f t="shared" ca="1" si="84"/>
        <v>0</v>
      </c>
      <c r="BI36" s="64">
        <f t="shared" ca="1" si="85"/>
        <v>0</v>
      </c>
      <c r="BJ36" s="64">
        <f t="shared" ca="1" si="64"/>
        <v>0</v>
      </c>
      <c r="BK36" s="115">
        <f t="shared" ca="1" si="46"/>
        <v>0</v>
      </c>
      <c r="BL36" s="115">
        <f t="shared" ca="1" si="65"/>
        <v>0</v>
      </c>
      <c r="BM36" s="116" t="str">
        <f t="shared" ca="1" si="86"/>
        <v/>
      </c>
      <c r="BN36" s="61"/>
      <c r="BO36" s="117">
        <f t="shared" ca="1" si="87"/>
        <v>0</v>
      </c>
      <c r="BP36" s="117">
        <f t="shared" ca="1" si="88"/>
        <v>0</v>
      </c>
      <c r="BQ36" s="117">
        <f t="shared" ca="1" si="66"/>
        <v>0</v>
      </c>
      <c r="BR36" s="118">
        <f t="shared" ca="1" si="48"/>
        <v>0</v>
      </c>
      <c r="BS36" s="118">
        <f t="shared" ca="1" si="67"/>
        <v>0</v>
      </c>
      <c r="BT36" s="119" t="str">
        <f t="shared" ca="1" si="89"/>
        <v/>
      </c>
      <c r="BU36" s="61"/>
      <c r="BV36" s="120">
        <f t="shared" ca="1" si="90"/>
        <v>0</v>
      </c>
      <c r="BW36" s="120">
        <f t="shared" ca="1" si="91"/>
        <v>0</v>
      </c>
      <c r="BX36" s="120">
        <f t="shared" ca="1" si="68"/>
        <v>0</v>
      </c>
      <c r="BY36" s="121">
        <f t="shared" ca="1" si="50"/>
        <v>0</v>
      </c>
      <c r="BZ36" s="121">
        <f t="shared" ca="1" si="69"/>
        <v>0</v>
      </c>
      <c r="CA36" s="122" t="str">
        <f t="shared" ca="1" si="92"/>
        <v/>
      </c>
      <c r="CB36" s="61"/>
      <c r="CC36" s="123">
        <f t="shared" ca="1" si="52"/>
        <v>0</v>
      </c>
      <c r="CD36" s="123">
        <f t="shared" ca="1" si="53"/>
        <v>0</v>
      </c>
      <c r="CE36" s="123">
        <f t="shared" ca="1" si="70"/>
        <v>0</v>
      </c>
      <c r="CF36" s="124">
        <f t="shared" ca="1" si="54"/>
        <v>0</v>
      </c>
      <c r="CG36" s="124">
        <f t="shared" ca="1" si="71"/>
        <v>0</v>
      </c>
      <c r="CH36" s="125" t="str">
        <f t="shared" ca="1" si="93"/>
        <v/>
      </c>
      <c r="CI36" s="61"/>
      <c r="CJ36" s="126">
        <f t="shared" ca="1" si="94"/>
        <v>0</v>
      </c>
      <c r="CK36" s="126">
        <f t="shared" ca="1" si="95"/>
        <v>0</v>
      </c>
      <c r="CL36" s="126">
        <f t="shared" ca="1" si="72"/>
        <v>0</v>
      </c>
      <c r="CM36" s="127">
        <f t="shared" ca="1" si="56"/>
        <v>0</v>
      </c>
      <c r="CN36" s="127">
        <f t="shared" ca="1" si="73"/>
        <v>0</v>
      </c>
      <c r="CO36" s="128" t="str">
        <f t="shared" ca="1" si="96"/>
        <v/>
      </c>
      <c r="CP36" s="61"/>
      <c r="CQ36" s="108">
        <v>33</v>
      </c>
      <c r="CR36" s="273">
        <v>0.18</v>
      </c>
      <c r="CS36" s="61">
        <f t="shared" si="58"/>
        <v>0</v>
      </c>
      <c r="CT36" s="278">
        <f t="shared" si="59"/>
        <v>0.18</v>
      </c>
      <c r="CU36" s="61">
        <f t="shared" si="60"/>
        <v>1</v>
      </c>
      <c r="CV36" s="287">
        <f t="shared" si="61"/>
        <v>1</v>
      </c>
      <c r="CW36" s="309">
        <f t="shared" si="97"/>
        <v>140.93</v>
      </c>
      <c r="CX36" s="309">
        <f t="shared" si="98"/>
        <v>69.12</v>
      </c>
      <c r="CY36" s="300">
        <f t="shared" si="99"/>
        <v>279.81</v>
      </c>
      <c r="CZ36" s="309">
        <f t="shared" si="100"/>
        <v>155.79</v>
      </c>
      <c r="DA36"/>
      <c r="DC36" s="544">
        <v>537.13</v>
      </c>
    </row>
    <row r="37" spans="1:107">
      <c r="A37" s="140">
        <v>1</v>
      </c>
      <c r="B37" s="141">
        <f ca="1">RESUMEN!J4</f>
        <v>0</v>
      </c>
      <c r="C37" s="141">
        <f ca="1">+RESUMEN!K4</f>
        <v>0</v>
      </c>
      <c r="D37" s="142">
        <f t="shared" ca="1" si="101"/>
        <v>0</v>
      </c>
      <c r="E37" s="133"/>
      <c r="H37" s="60"/>
      <c r="I37" s="60"/>
      <c r="J37" s="132">
        <v>34</v>
      </c>
      <c r="K37" s="36">
        <v>28966.54</v>
      </c>
      <c r="L37" s="36">
        <v>40683.64</v>
      </c>
      <c r="M37" s="36">
        <v>25712.33</v>
      </c>
      <c r="N37" s="36">
        <v>36113.08</v>
      </c>
      <c r="O37" s="36">
        <v>22766.12</v>
      </c>
      <c r="P37" s="36">
        <v>31975.119999999999</v>
      </c>
      <c r="Q37" s="105">
        <f t="shared" si="74"/>
        <v>119333.3</v>
      </c>
      <c r="R37" s="105">
        <f t="shared" si="75"/>
        <v>136108.39000000001</v>
      </c>
      <c r="S37" s="105">
        <f t="shared" si="76"/>
        <v>82950.8</v>
      </c>
      <c r="T37" s="105">
        <f t="shared" si="77"/>
        <v>87251.38</v>
      </c>
      <c r="U37" s="105">
        <f t="shared" si="78"/>
        <v>56819.07</v>
      </c>
      <c r="V37" s="105">
        <f t="shared" si="79"/>
        <v>61584.800000000003</v>
      </c>
      <c r="W37" s="61"/>
      <c r="X37" s="106">
        <v>119333.3</v>
      </c>
      <c r="Y37" s="106">
        <v>136108.39000000001</v>
      </c>
      <c r="Z37" s="105">
        <f t="shared" si="27"/>
        <v>124464.63189999999</v>
      </c>
      <c r="AA37" s="105">
        <f t="shared" si="28"/>
        <v>141961.05077</v>
      </c>
      <c r="AB37" s="105">
        <f t="shared" si="29"/>
        <v>133653.296</v>
      </c>
      <c r="AC37" s="105">
        <f t="shared" si="30"/>
        <v>152441.39680000002</v>
      </c>
      <c r="AD37" s="107">
        <v>82950.8</v>
      </c>
      <c r="AE37" s="107">
        <v>87251.38</v>
      </c>
      <c r="AF37" s="105">
        <f t="shared" si="31"/>
        <v>86517.684399999998</v>
      </c>
      <c r="AG37" s="105">
        <f t="shared" si="32"/>
        <v>91003.189339999997</v>
      </c>
      <c r="AH37" s="105">
        <f t="shared" si="33"/>
        <v>92904.896000000008</v>
      </c>
      <c r="AI37" s="105">
        <f t="shared" si="34"/>
        <v>97721.545600000012</v>
      </c>
      <c r="AJ37" s="106">
        <v>56819.07</v>
      </c>
      <c r="AK37" s="106">
        <v>61584.800000000003</v>
      </c>
      <c r="AL37" s="105">
        <f t="shared" si="35"/>
        <v>59262.290009999997</v>
      </c>
      <c r="AM37" s="105">
        <f t="shared" si="36"/>
        <v>64232.946400000001</v>
      </c>
      <c r="AN37" s="105">
        <f t="shared" si="37"/>
        <v>63637.358400000005</v>
      </c>
      <c r="AO37" s="105">
        <f t="shared" si="38"/>
        <v>68974.97600000001</v>
      </c>
      <c r="AP37" s="61"/>
      <c r="AQ37" s="108">
        <v>34</v>
      </c>
      <c r="AR37" s="109">
        <f ca="1">+RESUMEN!F37</f>
        <v>0</v>
      </c>
      <c r="AS37" s="109">
        <f ca="1">+RESUMEN!G37</f>
        <v>0</v>
      </c>
      <c r="AT37" s="110">
        <f t="shared" ca="1" si="80"/>
        <v>0</v>
      </c>
      <c r="AU37" s="111">
        <f t="shared" si="39"/>
        <v>0</v>
      </c>
      <c r="AV37" s="111">
        <f t="shared" si="40"/>
        <v>0</v>
      </c>
      <c r="AW37" s="111">
        <f t="shared" si="41"/>
        <v>0</v>
      </c>
      <c r="AX37" s="111">
        <f t="shared" si="42"/>
        <v>0</v>
      </c>
      <c r="AY37" s="111">
        <f t="shared" ca="1" si="43"/>
        <v>0</v>
      </c>
      <c r="AZ37" s="110"/>
      <c r="BA37" s="111">
        <f t="shared" ca="1" si="81"/>
        <v>0</v>
      </c>
      <c r="BB37" s="111">
        <f t="shared" ca="1" si="82"/>
        <v>0</v>
      </c>
      <c r="BC37" s="111">
        <f t="shared" ca="1" si="62"/>
        <v>0</v>
      </c>
      <c r="BD37" s="113">
        <f t="shared" ca="1" si="44"/>
        <v>0</v>
      </c>
      <c r="BE37" s="113">
        <f t="shared" ca="1" si="63"/>
        <v>0</v>
      </c>
      <c r="BF37" s="114" t="str">
        <f t="shared" ca="1" si="83"/>
        <v/>
      </c>
      <c r="BG37" s="61"/>
      <c r="BH37" s="64">
        <f t="shared" ca="1" si="84"/>
        <v>0</v>
      </c>
      <c r="BI37" s="64">
        <f t="shared" ca="1" si="85"/>
        <v>0</v>
      </c>
      <c r="BJ37" s="64">
        <f t="shared" ca="1" si="64"/>
        <v>0</v>
      </c>
      <c r="BK37" s="115">
        <f t="shared" ca="1" si="46"/>
        <v>0</v>
      </c>
      <c r="BL37" s="115">
        <f t="shared" ca="1" si="65"/>
        <v>0</v>
      </c>
      <c r="BM37" s="116" t="str">
        <f t="shared" ca="1" si="86"/>
        <v/>
      </c>
      <c r="BN37" s="61"/>
      <c r="BO37" s="117">
        <f t="shared" ca="1" si="87"/>
        <v>0</v>
      </c>
      <c r="BP37" s="117">
        <f t="shared" ca="1" si="88"/>
        <v>0</v>
      </c>
      <c r="BQ37" s="117">
        <f t="shared" ca="1" si="66"/>
        <v>0</v>
      </c>
      <c r="BR37" s="118">
        <f t="shared" ca="1" si="48"/>
        <v>0</v>
      </c>
      <c r="BS37" s="118">
        <f t="shared" ca="1" si="67"/>
        <v>0</v>
      </c>
      <c r="BT37" s="119" t="str">
        <f t="shared" ca="1" si="89"/>
        <v/>
      </c>
      <c r="BU37" s="196"/>
      <c r="BV37" s="120">
        <f t="shared" ca="1" si="90"/>
        <v>0</v>
      </c>
      <c r="BW37" s="120">
        <f t="shared" ca="1" si="91"/>
        <v>0</v>
      </c>
      <c r="BX37" s="120">
        <f t="shared" ca="1" si="68"/>
        <v>0</v>
      </c>
      <c r="BY37" s="121">
        <f t="shared" ca="1" si="50"/>
        <v>0</v>
      </c>
      <c r="BZ37" s="121">
        <f t="shared" ca="1" si="69"/>
        <v>0</v>
      </c>
      <c r="CA37" s="122" t="str">
        <f t="shared" ca="1" si="92"/>
        <v/>
      </c>
      <c r="CB37" s="61"/>
      <c r="CC37" s="123">
        <f t="shared" ca="1" si="52"/>
        <v>0</v>
      </c>
      <c r="CD37" s="123">
        <f t="shared" ca="1" si="53"/>
        <v>0</v>
      </c>
      <c r="CE37" s="123">
        <f t="shared" ca="1" si="70"/>
        <v>0</v>
      </c>
      <c r="CF37" s="124">
        <f t="shared" ca="1" si="54"/>
        <v>0</v>
      </c>
      <c r="CG37" s="124">
        <f t="shared" ca="1" si="71"/>
        <v>0</v>
      </c>
      <c r="CH37" s="125" t="str">
        <f t="shared" ca="1" si="93"/>
        <v/>
      </c>
      <c r="CI37" s="61"/>
      <c r="CJ37" s="126">
        <f t="shared" ca="1" si="94"/>
        <v>0</v>
      </c>
      <c r="CK37" s="126">
        <f t="shared" ca="1" si="95"/>
        <v>0</v>
      </c>
      <c r="CL37" s="126">
        <f t="shared" ca="1" si="72"/>
        <v>0</v>
      </c>
      <c r="CM37" s="127">
        <f t="shared" ca="1" si="56"/>
        <v>0</v>
      </c>
      <c r="CN37" s="127">
        <f t="shared" ca="1" si="73"/>
        <v>0</v>
      </c>
      <c r="CO37" s="128" t="str">
        <f t="shared" ca="1" si="96"/>
        <v/>
      </c>
      <c r="CP37" s="61"/>
      <c r="CQ37" s="108">
        <v>34</v>
      </c>
      <c r="CR37" s="273">
        <v>0.18</v>
      </c>
      <c r="CS37" s="61">
        <f t="shared" si="58"/>
        <v>0</v>
      </c>
      <c r="CT37" s="278">
        <f t="shared" si="59"/>
        <v>0.18</v>
      </c>
      <c r="CU37" s="61">
        <f t="shared" si="60"/>
        <v>1</v>
      </c>
      <c r="CV37" s="287">
        <f t="shared" si="61"/>
        <v>1</v>
      </c>
      <c r="CW37" s="309">
        <f t="shared" si="97"/>
        <v>140.93</v>
      </c>
      <c r="CX37" s="309">
        <f t="shared" si="98"/>
        <v>69.12</v>
      </c>
      <c r="CY37" s="300">
        <f t="shared" si="99"/>
        <v>279.81</v>
      </c>
      <c r="CZ37" s="309">
        <f t="shared" si="100"/>
        <v>155.79</v>
      </c>
      <c r="DA37"/>
      <c r="DC37" s="544">
        <v>537.13</v>
      </c>
    </row>
    <row r="38" spans="1:107">
      <c r="A38" s="140">
        <v>2</v>
      </c>
      <c r="B38" s="141">
        <f ca="1">RESUMEN!J5</f>
        <v>0</v>
      </c>
      <c r="C38" s="141">
        <f ca="1">+RESUMEN!K5</f>
        <v>0</v>
      </c>
      <c r="D38" s="142">
        <f t="shared" ca="1" si="101"/>
        <v>0</v>
      </c>
      <c r="E38" s="133"/>
      <c r="H38" s="60"/>
      <c r="I38" s="60"/>
      <c r="J38" s="132">
        <v>35</v>
      </c>
      <c r="K38" s="36">
        <v>29080.400000000001</v>
      </c>
      <c r="L38" s="36">
        <v>41472.800000000003</v>
      </c>
      <c r="M38" s="36">
        <v>25813.39</v>
      </c>
      <c r="N38" s="36">
        <v>36813.58</v>
      </c>
      <c r="O38" s="36">
        <v>22855.61</v>
      </c>
      <c r="P38" s="36">
        <v>32595.360000000001</v>
      </c>
      <c r="Q38" s="105">
        <f t="shared" si="74"/>
        <v>120139.4</v>
      </c>
      <c r="R38" s="105">
        <f t="shared" si="75"/>
        <v>136122.34</v>
      </c>
      <c r="S38" s="105">
        <f t="shared" si="76"/>
        <v>83516.22</v>
      </c>
      <c r="T38" s="105">
        <f t="shared" si="77"/>
        <v>89870.53</v>
      </c>
      <c r="U38" s="105">
        <f t="shared" si="78"/>
        <v>57551.46</v>
      </c>
      <c r="V38" s="105">
        <f t="shared" si="79"/>
        <v>61645.83</v>
      </c>
      <c r="W38" s="61"/>
      <c r="X38" s="106">
        <v>120139.4</v>
      </c>
      <c r="Y38" s="106">
        <v>136122.34</v>
      </c>
      <c r="Z38" s="105">
        <f t="shared" si="27"/>
        <v>125305.39419999998</v>
      </c>
      <c r="AA38" s="105">
        <f t="shared" si="28"/>
        <v>141975.60061999998</v>
      </c>
      <c r="AB38" s="105">
        <f t="shared" si="29"/>
        <v>134556.128</v>
      </c>
      <c r="AC38" s="105">
        <f t="shared" si="30"/>
        <v>152457.0208</v>
      </c>
      <c r="AD38" s="107">
        <v>83516.22</v>
      </c>
      <c r="AE38" s="107">
        <v>89870.53</v>
      </c>
      <c r="AF38" s="105">
        <f t="shared" si="31"/>
        <v>87107.417459999997</v>
      </c>
      <c r="AG38" s="105">
        <f t="shared" si="32"/>
        <v>93734.96278999999</v>
      </c>
      <c r="AH38" s="105">
        <f t="shared" si="33"/>
        <v>93538.166400000016</v>
      </c>
      <c r="AI38" s="105">
        <f t="shared" si="34"/>
        <v>100654.9936</v>
      </c>
      <c r="AJ38" s="106">
        <v>57551.46</v>
      </c>
      <c r="AK38" s="106">
        <v>61645.83</v>
      </c>
      <c r="AL38" s="105">
        <f t="shared" si="35"/>
        <v>60026.172779999994</v>
      </c>
      <c r="AM38" s="105">
        <f t="shared" si="36"/>
        <v>64296.600689999999</v>
      </c>
      <c r="AN38" s="105">
        <f t="shared" si="37"/>
        <v>64457.635200000004</v>
      </c>
      <c r="AO38" s="105">
        <f t="shared" si="38"/>
        <v>69043.329600000012</v>
      </c>
      <c r="AP38" s="61"/>
      <c r="AQ38" s="108">
        <v>35</v>
      </c>
      <c r="AR38" s="109">
        <f ca="1">+RESUMEN!F38</f>
        <v>0</v>
      </c>
      <c r="AS38" s="109">
        <f ca="1">+RESUMEN!G38</f>
        <v>0</v>
      </c>
      <c r="AT38" s="110">
        <f t="shared" ca="1" si="80"/>
        <v>0</v>
      </c>
      <c r="AU38" s="111">
        <f t="shared" si="39"/>
        <v>0</v>
      </c>
      <c r="AV38" s="111">
        <f t="shared" si="40"/>
        <v>0</v>
      </c>
      <c r="AW38" s="111">
        <f t="shared" si="41"/>
        <v>0</v>
      </c>
      <c r="AX38" s="111">
        <f t="shared" si="42"/>
        <v>0</v>
      </c>
      <c r="AY38" s="111">
        <f t="shared" ca="1" si="43"/>
        <v>0</v>
      </c>
      <c r="AZ38" s="110"/>
      <c r="BA38" s="111">
        <f t="shared" ca="1" si="81"/>
        <v>0</v>
      </c>
      <c r="BB38" s="111">
        <f t="shared" ca="1" si="82"/>
        <v>0</v>
      </c>
      <c r="BC38" s="111">
        <f t="shared" ca="1" si="62"/>
        <v>0</v>
      </c>
      <c r="BD38" s="113">
        <f t="shared" ca="1" si="44"/>
        <v>0</v>
      </c>
      <c r="BE38" s="113">
        <f t="shared" ca="1" si="63"/>
        <v>0</v>
      </c>
      <c r="BF38" s="114" t="str">
        <f t="shared" ca="1" si="83"/>
        <v/>
      </c>
      <c r="BG38" s="61"/>
      <c r="BH38" s="64">
        <f t="shared" ca="1" si="84"/>
        <v>0</v>
      </c>
      <c r="BI38" s="64">
        <f t="shared" ca="1" si="85"/>
        <v>0</v>
      </c>
      <c r="BJ38" s="64">
        <f t="shared" ca="1" si="64"/>
        <v>0</v>
      </c>
      <c r="BK38" s="115">
        <f t="shared" ca="1" si="46"/>
        <v>0</v>
      </c>
      <c r="BL38" s="115">
        <f t="shared" ca="1" si="65"/>
        <v>0</v>
      </c>
      <c r="BM38" s="116" t="str">
        <f t="shared" ca="1" si="86"/>
        <v/>
      </c>
      <c r="BN38" s="61"/>
      <c r="BO38" s="117">
        <f t="shared" ca="1" si="87"/>
        <v>0</v>
      </c>
      <c r="BP38" s="117">
        <f t="shared" ca="1" si="88"/>
        <v>0</v>
      </c>
      <c r="BQ38" s="117">
        <f t="shared" ca="1" si="66"/>
        <v>0</v>
      </c>
      <c r="BR38" s="118">
        <f t="shared" ca="1" si="48"/>
        <v>0</v>
      </c>
      <c r="BS38" s="118">
        <f t="shared" ca="1" si="67"/>
        <v>0</v>
      </c>
      <c r="BT38" s="119" t="str">
        <f t="shared" ca="1" si="89"/>
        <v/>
      </c>
      <c r="BU38" s="194"/>
      <c r="BV38" s="120">
        <f t="shared" ca="1" si="90"/>
        <v>0</v>
      </c>
      <c r="BW38" s="120">
        <f t="shared" ca="1" si="91"/>
        <v>0</v>
      </c>
      <c r="BX38" s="120">
        <f t="shared" ca="1" si="68"/>
        <v>0</v>
      </c>
      <c r="BY38" s="121">
        <f t="shared" ca="1" si="50"/>
        <v>0</v>
      </c>
      <c r="BZ38" s="121">
        <f t="shared" ca="1" si="69"/>
        <v>0</v>
      </c>
      <c r="CA38" s="122" t="str">
        <f t="shared" ca="1" si="92"/>
        <v/>
      </c>
      <c r="CB38" s="61"/>
      <c r="CC38" s="123">
        <f t="shared" ca="1" si="52"/>
        <v>0</v>
      </c>
      <c r="CD38" s="123">
        <f t="shared" ca="1" si="53"/>
        <v>0</v>
      </c>
      <c r="CE38" s="123">
        <f t="shared" ca="1" si="70"/>
        <v>0</v>
      </c>
      <c r="CF38" s="124">
        <f t="shared" ca="1" si="54"/>
        <v>0</v>
      </c>
      <c r="CG38" s="124">
        <f t="shared" ca="1" si="71"/>
        <v>0</v>
      </c>
      <c r="CH38" s="125" t="str">
        <f t="shared" ca="1" si="93"/>
        <v/>
      </c>
      <c r="CI38" s="61"/>
      <c r="CJ38" s="126">
        <f t="shared" ca="1" si="94"/>
        <v>0</v>
      </c>
      <c r="CK38" s="126">
        <f t="shared" ca="1" si="95"/>
        <v>0</v>
      </c>
      <c r="CL38" s="126">
        <f t="shared" ca="1" si="72"/>
        <v>0</v>
      </c>
      <c r="CM38" s="127">
        <f t="shared" ca="1" si="56"/>
        <v>0</v>
      </c>
      <c r="CN38" s="127">
        <f t="shared" ca="1" si="73"/>
        <v>0</v>
      </c>
      <c r="CO38" s="128" t="str">
        <f t="shared" ca="1" si="96"/>
        <v/>
      </c>
      <c r="CP38" s="61"/>
      <c r="CQ38" s="108">
        <v>35</v>
      </c>
      <c r="CR38" s="273">
        <v>0.18</v>
      </c>
      <c r="CS38" s="61">
        <f t="shared" si="58"/>
        <v>0</v>
      </c>
      <c r="CT38" s="278">
        <f t="shared" si="59"/>
        <v>0.18</v>
      </c>
      <c r="CU38" s="61">
        <f t="shared" si="60"/>
        <v>1</v>
      </c>
      <c r="CV38" s="287">
        <f t="shared" si="61"/>
        <v>1</v>
      </c>
      <c r="CW38" s="309">
        <f t="shared" si="97"/>
        <v>140.93</v>
      </c>
      <c r="CX38" s="309">
        <f t="shared" si="98"/>
        <v>69.12</v>
      </c>
      <c r="CY38" s="300">
        <f t="shared" si="99"/>
        <v>279.81</v>
      </c>
      <c r="CZ38" s="309">
        <f t="shared" si="100"/>
        <v>155.79</v>
      </c>
      <c r="DA38"/>
      <c r="DC38" s="544">
        <v>537.13</v>
      </c>
    </row>
    <row r="39" spans="1:107">
      <c r="A39" s="140">
        <v>3</v>
      </c>
      <c r="B39" s="141">
        <f ca="1">RESUMEN!J6</f>
        <v>0</v>
      </c>
      <c r="C39" s="141">
        <f ca="1">+RESUMEN!K6</f>
        <v>0</v>
      </c>
      <c r="D39" s="142">
        <f t="shared" ca="1" si="101"/>
        <v>0</v>
      </c>
      <c r="E39" s="133"/>
      <c r="H39" s="60"/>
      <c r="I39" s="60"/>
      <c r="J39" s="132">
        <v>36</v>
      </c>
      <c r="K39" s="36">
        <v>29608.48</v>
      </c>
      <c r="L39" s="36">
        <v>41906.46</v>
      </c>
      <c r="M39" s="36">
        <v>26282.15</v>
      </c>
      <c r="N39" s="36">
        <v>37198.519999999997</v>
      </c>
      <c r="O39" s="36">
        <v>23270.65</v>
      </c>
      <c r="P39" s="36">
        <v>32936.19</v>
      </c>
      <c r="Q39" s="105">
        <f t="shared" si="74"/>
        <v>120722.07</v>
      </c>
      <c r="R39" s="105">
        <f t="shared" si="75"/>
        <v>136136.29</v>
      </c>
      <c r="S39" s="105">
        <f t="shared" si="76"/>
        <v>84862.41</v>
      </c>
      <c r="T39" s="105">
        <f t="shared" si="77"/>
        <v>92428.64</v>
      </c>
      <c r="U39" s="105">
        <f t="shared" si="78"/>
        <v>57724.09</v>
      </c>
      <c r="V39" s="105">
        <f t="shared" si="79"/>
        <v>61706.86</v>
      </c>
      <c r="W39" s="61"/>
      <c r="X39" s="106">
        <v>120722.07</v>
      </c>
      <c r="Y39" s="106">
        <v>136136.29</v>
      </c>
      <c r="Z39" s="105">
        <f t="shared" si="27"/>
        <v>125913.11900999999</v>
      </c>
      <c r="AA39" s="105">
        <f t="shared" si="28"/>
        <v>141990.15046999999</v>
      </c>
      <c r="AB39" s="105">
        <f t="shared" si="29"/>
        <v>135208.71840000001</v>
      </c>
      <c r="AC39" s="105">
        <f t="shared" si="30"/>
        <v>152472.64480000001</v>
      </c>
      <c r="AD39" s="107">
        <v>84862.41</v>
      </c>
      <c r="AE39" s="107">
        <v>92428.64</v>
      </c>
      <c r="AF39" s="105">
        <f t="shared" si="31"/>
        <v>88511.493629999997</v>
      </c>
      <c r="AG39" s="105">
        <f t="shared" si="32"/>
        <v>96403.071519999998</v>
      </c>
      <c r="AH39" s="105">
        <f t="shared" si="33"/>
        <v>95045.899200000014</v>
      </c>
      <c r="AI39" s="105">
        <f t="shared" si="34"/>
        <v>103520.07680000001</v>
      </c>
      <c r="AJ39" s="106">
        <v>57724.09</v>
      </c>
      <c r="AK39" s="106">
        <v>61706.86</v>
      </c>
      <c r="AL39" s="105">
        <f t="shared" si="35"/>
        <v>60206.225869999995</v>
      </c>
      <c r="AM39" s="105">
        <f t="shared" si="36"/>
        <v>64360.254979999998</v>
      </c>
      <c r="AN39" s="105">
        <f t="shared" si="37"/>
        <v>64650.980800000005</v>
      </c>
      <c r="AO39" s="105">
        <f t="shared" si="38"/>
        <v>69111.683200000014</v>
      </c>
      <c r="AP39" s="61"/>
      <c r="AQ39" s="108">
        <v>36</v>
      </c>
      <c r="AR39" s="109">
        <f ca="1">+RESUMEN!F39</f>
        <v>0</v>
      </c>
      <c r="AS39" s="109">
        <f ca="1">+RESUMEN!G39</f>
        <v>0</v>
      </c>
      <c r="AT39" s="110">
        <f t="shared" ca="1" si="80"/>
        <v>0</v>
      </c>
      <c r="AU39" s="111">
        <f t="shared" si="39"/>
        <v>0</v>
      </c>
      <c r="AV39" s="111">
        <f t="shared" si="40"/>
        <v>0</v>
      </c>
      <c r="AW39" s="111">
        <f t="shared" si="41"/>
        <v>0</v>
      </c>
      <c r="AX39" s="111">
        <f t="shared" si="42"/>
        <v>0</v>
      </c>
      <c r="AY39" s="111">
        <f t="shared" ca="1" si="43"/>
        <v>0</v>
      </c>
      <c r="AZ39" s="110"/>
      <c r="BA39" s="111">
        <f t="shared" ca="1" si="81"/>
        <v>0</v>
      </c>
      <c r="BB39" s="111">
        <f t="shared" ca="1" si="82"/>
        <v>0</v>
      </c>
      <c r="BC39" s="111">
        <f t="shared" ca="1" si="62"/>
        <v>0</v>
      </c>
      <c r="BD39" s="113">
        <f t="shared" ca="1" si="44"/>
        <v>0</v>
      </c>
      <c r="BE39" s="113">
        <f t="shared" ca="1" si="63"/>
        <v>0</v>
      </c>
      <c r="BF39" s="114" t="str">
        <f t="shared" ca="1" si="83"/>
        <v/>
      </c>
      <c r="BG39" s="61"/>
      <c r="BH39" s="64">
        <f t="shared" ca="1" si="84"/>
        <v>0</v>
      </c>
      <c r="BI39" s="64">
        <f t="shared" ca="1" si="85"/>
        <v>0</v>
      </c>
      <c r="BJ39" s="64">
        <f t="shared" ca="1" si="64"/>
        <v>0</v>
      </c>
      <c r="BK39" s="115">
        <f t="shared" ca="1" si="46"/>
        <v>0</v>
      </c>
      <c r="BL39" s="115">
        <f t="shared" ca="1" si="65"/>
        <v>0</v>
      </c>
      <c r="BM39" s="116" t="str">
        <f t="shared" ca="1" si="86"/>
        <v/>
      </c>
      <c r="BN39" s="61"/>
      <c r="BO39" s="117">
        <f t="shared" ca="1" si="87"/>
        <v>0</v>
      </c>
      <c r="BP39" s="117">
        <f t="shared" ca="1" si="88"/>
        <v>0</v>
      </c>
      <c r="BQ39" s="117">
        <f t="shared" ca="1" si="66"/>
        <v>0</v>
      </c>
      <c r="BR39" s="118">
        <f t="shared" ca="1" si="48"/>
        <v>0</v>
      </c>
      <c r="BS39" s="118">
        <f t="shared" ca="1" si="67"/>
        <v>0</v>
      </c>
      <c r="BT39" s="119" t="str">
        <f t="shared" ca="1" si="89"/>
        <v/>
      </c>
      <c r="BU39" s="61"/>
      <c r="BV39" s="120">
        <f t="shared" ca="1" si="90"/>
        <v>0</v>
      </c>
      <c r="BW39" s="120">
        <f t="shared" ca="1" si="91"/>
        <v>0</v>
      </c>
      <c r="BX39" s="120">
        <f t="shared" ca="1" si="68"/>
        <v>0</v>
      </c>
      <c r="BY39" s="121">
        <f t="shared" ca="1" si="50"/>
        <v>0</v>
      </c>
      <c r="BZ39" s="121">
        <f t="shared" ca="1" si="69"/>
        <v>0</v>
      </c>
      <c r="CA39" s="122" t="str">
        <f t="shared" ca="1" si="92"/>
        <v/>
      </c>
      <c r="CB39" s="61"/>
      <c r="CC39" s="123">
        <f t="shared" ca="1" si="52"/>
        <v>0</v>
      </c>
      <c r="CD39" s="123">
        <f t="shared" ca="1" si="53"/>
        <v>0</v>
      </c>
      <c r="CE39" s="123">
        <f t="shared" ca="1" si="70"/>
        <v>0</v>
      </c>
      <c r="CF39" s="124">
        <f t="shared" ca="1" si="54"/>
        <v>0</v>
      </c>
      <c r="CG39" s="124">
        <f t="shared" ca="1" si="71"/>
        <v>0</v>
      </c>
      <c r="CH39" s="125" t="str">
        <f t="shared" ca="1" si="93"/>
        <v/>
      </c>
      <c r="CI39" s="61"/>
      <c r="CJ39" s="126">
        <f t="shared" ca="1" si="94"/>
        <v>0</v>
      </c>
      <c r="CK39" s="126">
        <f t="shared" ca="1" si="95"/>
        <v>0</v>
      </c>
      <c r="CL39" s="126">
        <f t="shared" ca="1" si="72"/>
        <v>0</v>
      </c>
      <c r="CM39" s="127">
        <f t="shared" ca="1" si="56"/>
        <v>0</v>
      </c>
      <c r="CN39" s="127">
        <f t="shared" ca="1" si="73"/>
        <v>0</v>
      </c>
      <c r="CO39" s="128" t="str">
        <f t="shared" ca="1" si="96"/>
        <v/>
      </c>
      <c r="CP39" s="61"/>
      <c r="CQ39" s="108">
        <v>36</v>
      </c>
      <c r="CR39" s="273">
        <v>0.18</v>
      </c>
      <c r="CS39" s="61">
        <f t="shared" si="58"/>
        <v>0</v>
      </c>
      <c r="CT39" s="278">
        <f t="shared" si="59"/>
        <v>0.18</v>
      </c>
      <c r="CU39" s="61">
        <f t="shared" si="60"/>
        <v>1</v>
      </c>
      <c r="CV39" s="287">
        <f t="shared" si="61"/>
        <v>1</v>
      </c>
      <c r="CW39" s="309">
        <f t="shared" si="97"/>
        <v>140.93</v>
      </c>
      <c r="CX39" s="309">
        <f t="shared" si="98"/>
        <v>69.12</v>
      </c>
      <c r="CY39" s="300">
        <f t="shared" si="99"/>
        <v>279.81</v>
      </c>
      <c r="CZ39" s="309">
        <f t="shared" si="100"/>
        <v>155.79</v>
      </c>
      <c r="DA39"/>
      <c r="DC39" s="544">
        <v>537.13</v>
      </c>
    </row>
    <row r="40" spans="1:107">
      <c r="A40" s="140">
        <v>4</v>
      </c>
      <c r="B40" s="141">
        <f ca="1">RESUMEN!J7</f>
        <v>0</v>
      </c>
      <c r="C40" s="141">
        <f ca="1">+RESUMEN!K7</f>
        <v>0</v>
      </c>
      <c r="D40" s="142">
        <f t="shared" ca="1" si="101"/>
        <v>0</v>
      </c>
      <c r="E40" s="133"/>
      <c r="H40" s="60"/>
      <c r="I40" s="60"/>
      <c r="J40" s="132">
        <v>37</v>
      </c>
      <c r="K40" s="36">
        <v>30019.360000000001</v>
      </c>
      <c r="L40" s="36">
        <v>42472.3</v>
      </c>
      <c r="M40" s="36">
        <v>26646.87</v>
      </c>
      <c r="N40" s="36">
        <v>37700.79</v>
      </c>
      <c r="O40" s="36">
        <v>23593.58</v>
      </c>
      <c r="P40" s="36">
        <v>33380.910000000003</v>
      </c>
      <c r="Q40" s="105">
        <f t="shared" si="74"/>
        <v>121307.58</v>
      </c>
      <c r="R40" s="105">
        <f t="shared" si="75"/>
        <v>136148.5</v>
      </c>
      <c r="S40" s="105">
        <f t="shared" si="76"/>
        <v>86311.49</v>
      </c>
      <c r="T40" s="105">
        <f t="shared" si="77"/>
        <v>92437.36</v>
      </c>
      <c r="U40" s="105">
        <f t="shared" si="78"/>
        <v>58213.279999999999</v>
      </c>
      <c r="V40" s="105">
        <f t="shared" si="79"/>
        <v>61767.9</v>
      </c>
      <c r="W40" s="61"/>
      <c r="X40" s="106">
        <v>121307.58</v>
      </c>
      <c r="Y40" s="106">
        <v>136148.5</v>
      </c>
      <c r="Z40" s="105">
        <f t="shared" si="27"/>
        <v>126523.80593999999</v>
      </c>
      <c r="AA40" s="105">
        <f t="shared" si="28"/>
        <v>142002.8855</v>
      </c>
      <c r="AB40" s="105">
        <f t="shared" si="29"/>
        <v>135864.4896</v>
      </c>
      <c r="AC40" s="105">
        <f t="shared" si="30"/>
        <v>152486.32</v>
      </c>
      <c r="AD40" s="107">
        <v>86311.49</v>
      </c>
      <c r="AE40" s="107">
        <v>92437.36</v>
      </c>
      <c r="AF40" s="105">
        <f t="shared" si="31"/>
        <v>90022.88407</v>
      </c>
      <c r="AG40" s="105">
        <f t="shared" si="32"/>
        <v>96412.16648</v>
      </c>
      <c r="AH40" s="105">
        <f t="shared" si="33"/>
        <v>96668.868800000011</v>
      </c>
      <c r="AI40" s="105">
        <f t="shared" si="34"/>
        <v>103529.84320000002</v>
      </c>
      <c r="AJ40" s="106">
        <v>58213.279999999999</v>
      </c>
      <c r="AK40" s="106">
        <v>61767.9</v>
      </c>
      <c r="AL40" s="105">
        <f t="shared" si="35"/>
        <v>60716.451039999993</v>
      </c>
      <c r="AM40" s="105">
        <f t="shared" si="36"/>
        <v>64423.919699999999</v>
      </c>
      <c r="AN40" s="105">
        <f t="shared" si="37"/>
        <v>65198.873600000006</v>
      </c>
      <c r="AO40" s="105">
        <f t="shared" si="38"/>
        <v>69180.04800000001</v>
      </c>
      <c r="AP40" s="61"/>
      <c r="AQ40" s="108">
        <v>37</v>
      </c>
      <c r="AR40" s="109">
        <f ca="1">+RESUMEN!F40</f>
        <v>0</v>
      </c>
      <c r="AS40" s="109">
        <f ca="1">+RESUMEN!G40</f>
        <v>0</v>
      </c>
      <c r="AT40" s="110">
        <f t="shared" ca="1" si="80"/>
        <v>0</v>
      </c>
      <c r="AU40" s="111">
        <f t="shared" si="39"/>
        <v>0</v>
      </c>
      <c r="AV40" s="111">
        <f t="shared" si="40"/>
        <v>0</v>
      </c>
      <c r="AW40" s="111">
        <f t="shared" si="41"/>
        <v>0</v>
      </c>
      <c r="AX40" s="111">
        <f t="shared" si="42"/>
        <v>0</v>
      </c>
      <c r="AY40" s="111">
        <f t="shared" ca="1" si="43"/>
        <v>0</v>
      </c>
      <c r="AZ40" s="110"/>
      <c r="BA40" s="111">
        <f t="shared" ca="1" si="81"/>
        <v>0</v>
      </c>
      <c r="BB40" s="111">
        <f t="shared" ca="1" si="82"/>
        <v>0</v>
      </c>
      <c r="BC40" s="111">
        <f t="shared" ca="1" si="62"/>
        <v>0</v>
      </c>
      <c r="BD40" s="113">
        <f t="shared" ca="1" si="44"/>
        <v>0</v>
      </c>
      <c r="BE40" s="113">
        <f t="shared" ca="1" si="63"/>
        <v>0</v>
      </c>
      <c r="BF40" s="114" t="str">
        <f t="shared" ca="1" si="83"/>
        <v/>
      </c>
      <c r="BG40" s="61"/>
      <c r="BH40" s="64">
        <f t="shared" ca="1" si="84"/>
        <v>0</v>
      </c>
      <c r="BI40" s="64">
        <f t="shared" ca="1" si="85"/>
        <v>0</v>
      </c>
      <c r="BJ40" s="64">
        <f t="shared" ca="1" si="64"/>
        <v>0</v>
      </c>
      <c r="BK40" s="115">
        <f t="shared" ca="1" si="46"/>
        <v>0</v>
      </c>
      <c r="BL40" s="115">
        <f t="shared" ca="1" si="65"/>
        <v>0</v>
      </c>
      <c r="BM40" s="116" t="str">
        <f t="shared" ca="1" si="86"/>
        <v/>
      </c>
      <c r="BN40" s="61"/>
      <c r="BO40" s="117">
        <f t="shared" ca="1" si="87"/>
        <v>0</v>
      </c>
      <c r="BP40" s="117">
        <f t="shared" ca="1" si="88"/>
        <v>0</v>
      </c>
      <c r="BQ40" s="117">
        <f t="shared" ca="1" si="66"/>
        <v>0</v>
      </c>
      <c r="BR40" s="118">
        <f t="shared" ca="1" si="48"/>
        <v>0</v>
      </c>
      <c r="BS40" s="118">
        <f t="shared" ca="1" si="67"/>
        <v>0</v>
      </c>
      <c r="BT40" s="119" t="str">
        <f t="shared" ca="1" si="89"/>
        <v/>
      </c>
      <c r="BU40" s="61"/>
      <c r="BV40" s="120">
        <f t="shared" ca="1" si="90"/>
        <v>0</v>
      </c>
      <c r="BW40" s="120">
        <f t="shared" ca="1" si="91"/>
        <v>0</v>
      </c>
      <c r="BX40" s="120">
        <f t="shared" ca="1" si="68"/>
        <v>0</v>
      </c>
      <c r="BY40" s="121">
        <f t="shared" ca="1" si="50"/>
        <v>0</v>
      </c>
      <c r="BZ40" s="121">
        <f t="shared" ca="1" si="69"/>
        <v>0</v>
      </c>
      <c r="CA40" s="122" t="str">
        <f t="shared" ca="1" si="92"/>
        <v/>
      </c>
      <c r="CB40" s="61"/>
      <c r="CC40" s="123">
        <f t="shared" ca="1" si="52"/>
        <v>0</v>
      </c>
      <c r="CD40" s="123">
        <f t="shared" ca="1" si="53"/>
        <v>0</v>
      </c>
      <c r="CE40" s="123">
        <f t="shared" ca="1" si="70"/>
        <v>0</v>
      </c>
      <c r="CF40" s="124">
        <f t="shared" ca="1" si="54"/>
        <v>0</v>
      </c>
      <c r="CG40" s="124">
        <f t="shared" ca="1" si="71"/>
        <v>0</v>
      </c>
      <c r="CH40" s="125" t="str">
        <f t="shared" ca="1" si="93"/>
        <v/>
      </c>
      <c r="CI40" s="61"/>
      <c r="CJ40" s="126">
        <f t="shared" ca="1" si="94"/>
        <v>0</v>
      </c>
      <c r="CK40" s="126">
        <f t="shared" ca="1" si="95"/>
        <v>0</v>
      </c>
      <c r="CL40" s="126">
        <f t="shared" ca="1" si="72"/>
        <v>0</v>
      </c>
      <c r="CM40" s="127">
        <f t="shared" ca="1" si="56"/>
        <v>0</v>
      </c>
      <c r="CN40" s="127">
        <f t="shared" ca="1" si="73"/>
        <v>0</v>
      </c>
      <c r="CO40" s="128" t="str">
        <f t="shared" ca="1" si="96"/>
        <v/>
      </c>
      <c r="CP40" s="61"/>
      <c r="CQ40" s="108">
        <v>37</v>
      </c>
      <c r="CR40" s="273">
        <v>0.18</v>
      </c>
      <c r="CS40" s="61">
        <f t="shared" si="58"/>
        <v>0</v>
      </c>
      <c r="CT40" s="278">
        <f t="shared" si="59"/>
        <v>0.18</v>
      </c>
      <c r="CU40" s="61">
        <f t="shared" si="60"/>
        <v>1</v>
      </c>
      <c r="CV40" s="287">
        <f t="shared" si="61"/>
        <v>1</v>
      </c>
      <c r="CW40" s="309">
        <f t="shared" si="97"/>
        <v>140.93</v>
      </c>
      <c r="CX40" s="309">
        <f t="shared" si="98"/>
        <v>69.12</v>
      </c>
      <c r="CY40" s="300">
        <f t="shared" si="99"/>
        <v>279.81</v>
      </c>
      <c r="CZ40" s="309">
        <f t="shared" si="100"/>
        <v>155.79</v>
      </c>
      <c r="DA40"/>
      <c r="DC40" s="544">
        <v>537.13</v>
      </c>
    </row>
    <row r="41" spans="1:107">
      <c r="A41" s="140">
        <v>5</v>
      </c>
      <c r="B41" s="141">
        <f ca="1">RESUMEN!J8</f>
        <v>0</v>
      </c>
      <c r="C41" s="141">
        <f ca="1">+RESUMEN!K8</f>
        <v>0</v>
      </c>
      <c r="D41" s="142">
        <f t="shared" ca="1" si="101"/>
        <v>0</v>
      </c>
      <c r="E41" s="133"/>
      <c r="H41" s="60"/>
      <c r="I41" s="60"/>
      <c r="J41" s="132">
        <v>38</v>
      </c>
      <c r="K41" s="36">
        <v>30253.72</v>
      </c>
      <c r="L41" s="36">
        <v>43816.17</v>
      </c>
      <c r="M41" s="36">
        <v>26854.9</v>
      </c>
      <c r="N41" s="36">
        <v>38893.69</v>
      </c>
      <c r="O41" s="36">
        <v>23777.77</v>
      </c>
      <c r="P41" s="36">
        <v>34437.120000000003</v>
      </c>
      <c r="Q41" s="105">
        <f t="shared" si="74"/>
        <v>122831.31</v>
      </c>
      <c r="R41" s="105">
        <f t="shared" si="75"/>
        <v>136162.45000000001</v>
      </c>
      <c r="S41" s="105">
        <f t="shared" si="76"/>
        <v>87877.4</v>
      </c>
      <c r="T41" s="105">
        <f t="shared" si="77"/>
        <v>92447.82</v>
      </c>
      <c r="U41" s="105">
        <f t="shared" si="78"/>
        <v>60017.15</v>
      </c>
      <c r="V41" s="105">
        <f t="shared" si="79"/>
        <v>61828.93</v>
      </c>
      <c r="W41" s="61"/>
      <c r="X41" s="106">
        <v>122831.31</v>
      </c>
      <c r="Y41" s="106">
        <v>136162.45000000001</v>
      </c>
      <c r="Z41" s="105">
        <f t="shared" si="27"/>
        <v>128113.05632999999</v>
      </c>
      <c r="AA41" s="105">
        <f t="shared" si="28"/>
        <v>142017.43535000001</v>
      </c>
      <c r="AB41" s="105">
        <f t="shared" si="29"/>
        <v>137571.06720000002</v>
      </c>
      <c r="AC41" s="105">
        <f t="shared" si="30"/>
        <v>152501.94400000002</v>
      </c>
      <c r="AD41" s="107">
        <v>87877.4</v>
      </c>
      <c r="AE41" s="107">
        <v>92447.82</v>
      </c>
      <c r="AF41" s="105">
        <f t="shared" si="31"/>
        <v>91656.128199999992</v>
      </c>
      <c r="AG41" s="105">
        <f t="shared" si="32"/>
        <v>96423.076260000002</v>
      </c>
      <c r="AH41" s="105">
        <f t="shared" si="33"/>
        <v>98422.688000000009</v>
      </c>
      <c r="AI41" s="105">
        <f t="shared" si="34"/>
        <v>103541.55840000002</v>
      </c>
      <c r="AJ41" s="106">
        <v>60017.15</v>
      </c>
      <c r="AK41" s="106">
        <v>61828.93</v>
      </c>
      <c r="AL41" s="105">
        <f t="shared" si="35"/>
        <v>62597.887449999995</v>
      </c>
      <c r="AM41" s="105">
        <f t="shared" si="36"/>
        <v>64487.573989999997</v>
      </c>
      <c r="AN41" s="105">
        <f t="shared" si="37"/>
        <v>67219.208000000013</v>
      </c>
      <c r="AO41" s="105">
        <f t="shared" si="38"/>
        <v>69248.401600000012</v>
      </c>
      <c r="AP41" s="61"/>
      <c r="AQ41" s="108">
        <v>38</v>
      </c>
      <c r="AR41" s="109">
        <f ca="1">+RESUMEN!F41</f>
        <v>0</v>
      </c>
      <c r="AS41" s="109">
        <f ca="1">+RESUMEN!G41</f>
        <v>0</v>
      </c>
      <c r="AT41" s="110">
        <f t="shared" ca="1" si="80"/>
        <v>0</v>
      </c>
      <c r="AU41" s="111">
        <f t="shared" si="39"/>
        <v>0</v>
      </c>
      <c r="AV41" s="111">
        <f t="shared" si="40"/>
        <v>0</v>
      </c>
      <c r="AW41" s="111">
        <f t="shared" si="41"/>
        <v>0</v>
      </c>
      <c r="AX41" s="111">
        <f t="shared" si="42"/>
        <v>0</v>
      </c>
      <c r="AY41" s="111">
        <f t="shared" ca="1" si="43"/>
        <v>0</v>
      </c>
      <c r="AZ41" s="110"/>
      <c r="BA41" s="111">
        <f t="shared" ca="1" si="81"/>
        <v>0</v>
      </c>
      <c r="BB41" s="111">
        <f t="shared" ca="1" si="82"/>
        <v>0</v>
      </c>
      <c r="BC41" s="111">
        <f t="shared" ca="1" si="62"/>
        <v>0</v>
      </c>
      <c r="BD41" s="113">
        <f t="shared" ca="1" si="44"/>
        <v>0</v>
      </c>
      <c r="BE41" s="113">
        <f t="shared" ca="1" si="63"/>
        <v>0</v>
      </c>
      <c r="BF41" s="114" t="str">
        <f t="shared" ca="1" si="83"/>
        <v/>
      </c>
      <c r="BG41" s="61"/>
      <c r="BH41" s="64">
        <f t="shared" ca="1" si="84"/>
        <v>0</v>
      </c>
      <c r="BI41" s="64">
        <f t="shared" ca="1" si="85"/>
        <v>0</v>
      </c>
      <c r="BJ41" s="64">
        <f t="shared" ca="1" si="64"/>
        <v>0</v>
      </c>
      <c r="BK41" s="115">
        <f t="shared" ca="1" si="46"/>
        <v>0</v>
      </c>
      <c r="BL41" s="115">
        <f t="shared" ca="1" si="65"/>
        <v>0</v>
      </c>
      <c r="BM41" s="116" t="str">
        <f t="shared" ca="1" si="86"/>
        <v/>
      </c>
      <c r="BN41" s="61"/>
      <c r="BO41" s="117">
        <f t="shared" ca="1" si="87"/>
        <v>0</v>
      </c>
      <c r="BP41" s="117">
        <f t="shared" ca="1" si="88"/>
        <v>0</v>
      </c>
      <c r="BQ41" s="117">
        <f t="shared" ca="1" si="66"/>
        <v>0</v>
      </c>
      <c r="BR41" s="118">
        <f t="shared" ca="1" si="48"/>
        <v>0</v>
      </c>
      <c r="BS41" s="118">
        <f t="shared" ca="1" si="67"/>
        <v>0</v>
      </c>
      <c r="BT41" s="119" t="str">
        <f t="shared" ca="1" si="89"/>
        <v/>
      </c>
      <c r="BU41" s="61"/>
      <c r="BV41" s="120">
        <f t="shared" ca="1" si="90"/>
        <v>0</v>
      </c>
      <c r="BW41" s="120">
        <f t="shared" ca="1" si="91"/>
        <v>0</v>
      </c>
      <c r="BX41" s="120">
        <f t="shared" ca="1" si="68"/>
        <v>0</v>
      </c>
      <c r="BY41" s="121">
        <f t="shared" ca="1" si="50"/>
        <v>0</v>
      </c>
      <c r="BZ41" s="121">
        <f t="shared" ca="1" si="69"/>
        <v>0</v>
      </c>
      <c r="CA41" s="122" t="str">
        <f t="shared" ca="1" si="92"/>
        <v/>
      </c>
      <c r="CB41" s="61"/>
      <c r="CC41" s="123">
        <f t="shared" ca="1" si="52"/>
        <v>0</v>
      </c>
      <c r="CD41" s="123">
        <f t="shared" ca="1" si="53"/>
        <v>0</v>
      </c>
      <c r="CE41" s="123">
        <f t="shared" ca="1" si="70"/>
        <v>0</v>
      </c>
      <c r="CF41" s="124">
        <f t="shared" ca="1" si="54"/>
        <v>0</v>
      </c>
      <c r="CG41" s="124">
        <f t="shared" ca="1" si="71"/>
        <v>0</v>
      </c>
      <c r="CH41" s="125" t="str">
        <f t="shared" ca="1" si="93"/>
        <v/>
      </c>
      <c r="CI41" s="61"/>
      <c r="CJ41" s="126">
        <f t="shared" ca="1" si="94"/>
        <v>0</v>
      </c>
      <c r="CK41" s="126">
        <f t="shared" ca="1" si="95"/>
        <v>0</v>
      </c>
      <c r="CL41" s="126">
        <f t="shared" ca="1" si="72"/>
        <v>0</v>
      </c>
      <c r="CM41" s="127">
        <f t="shared" ca="1" si="56"/>
        <v>0</v>
      </c>
      <c r="CN41" s="127">
        <f t="shared" ca="1" si="73"/>
        <v>0</v>
      </c>
      <c r="CO41" s="128" t="str">
        <f t="shared" ca="1" si="96"/>
        <v/>
      </c>
      <c r="CP41" s="61"/>
      <c r="CQ41" s="108">
        <v>38</v>
      </c>
      <c r="CR41" s="273">
        <v>0.18</v>
      </c>
      <c r="CS41" s="61">
        <f t="shared" si="58"/>
        <v>0</v>
      </c>
      <c r="CT41" s="278">
        <f t="shared" si="59"/>
        <v>0.18</v>
      </c>
      <c r="CU41" s="61">
        <f t="shared" si="60"/>
        <v>1</v>
      </c>
      <c r="CV41" s="287">
        <f t="shared" si="61"/>
        <v>1</v>
      </c>
      <c r="CW41" s="309">
        <f t="shared" si="97"/>
        <v>140.93</v>
      </c>
      <c r="CX41" s="309">
        <f t="shared" si="98"/>
        <v>69.12</v>
      </c>
      <c r="CY41" s="300">
        <f t="shared" si="99"/>
        <v>279.81</v>
      </c>
      <c r="CZ41" s="309">
        <f t="shared" si="100"/>
        <v>155.79</v>
      </c>
      <c r="DA41"/>
      <c r="DC41" s="544">
        <v>537.13</v>
      </c>
    </row>
    <row r="42" spans="1:107">
      <c r="A42" s="140">
        <v>6</v>
      </c>
      <c r="B42" s="141">
        <f ca="1">RESUMEN!J9</f>
        <v>0</v>
      </c>
      <c r="C42" s="141">
        <f ca="1">+RESUMEN!K9</f>
        <v>0</v>
      </c>
      <c r="D42" s="142">
        <f t="shared" ca="1" si="101"/>
        <v>0</v>
      </c>
      <c r="E42" s="133"/>
      <c r="H42" s="60"/>
      <c r="I42" s="60"/>
      <c r="J42" s="132">
        <v>39</v>
      </c>
      <c r="K42" s="36">
        <v>30618.51</v>
      </c>
      <c r="L42" s="36">
        <v>44733.4</v>
      </c>
      <c r="M42" s="36">
        <v>27178.71</v>
      </c>
      <c r="N42" s="36">
        <v>39707.870000000003</v>
      </c>
      <c r="O42" s="36">
        <v>24064.48</v>
      </c>
      <c r="P42" s="36">
        <v>35158.01</v>
      </c>
      <c r="Q42" s="105">
        <f t="shared" si="74"/>
        <v>125265.62</v>
      </c>
      <c r="R42" s="105">
        <f t="shared" si="75"/>
        <v>136176.4</v>
      </c>
      <c r="S42" s="105">
        <f t="shared" si="76"/>
        <v>89581.06</v>
      </c>
      <c r="T42" s="105">
        <f t="shared" si="77"/>
        <v>92456.54</v>
      </c>
      <c r="U42" s="105">
        <f t="shared" si="78"/>
        <v>60525.77</v>
      </c>
      <c r="V42" s="105">
        <f t="shared" si="79"/>
        <v>61889.96</v>
      </c>
      <c r="W42" s="61"/>
      <c r="X42" s="106">
        <v>125265.62</v>
      </c>
      <c r="Y42" s="106">
        <v>136176.4</v>
      </c>
      <c r="Z42" s="105">
        <f t="shared" si="27"/>
        <v>130652.04165999999</v>
      </c>
      <c r="AA42" s="105">
        <f t="shared" si="28"/>
        <v>142031.9852</v>
      </c>
      <c r="AB42" s="105">
        <f t="shared" si="29"/>
        <v>140297.4944</v>
      </c>
      <c r="AC42" s="105">
        <f t="shared" si="30"/>
        <v>152517.568</v>
      </c>
      <c r="AD42" s="107">
        <v>89581.06</v>
      </c>
      <c r="AE42" s="107">
        <v>92456.54</v>
      </c>
      <c r="AF42" s="105">
        <f t="shared" si="31"/>
        <v>93433.045579999991</v>
      </c>
      <c r="AG42" s="105">
        <f t="shared" si="32"/>
        <v>96432.171219999989</v>
      </c>
      <c r="AH42" s="105">
        <f t="shared" si="33"/>
        <v>100330.78720000001</v>
      </c>
      <c r="AI42" s="105">
        <f t="shared" si="34"/>
        <v>103551.3248</v>
      </c>
      <c r="AJ42" s="106">
        <v>60525.77</v>
      </c>
      <c r="AK42" s="106">
        <v>61889.96</v>
      </c>
      <c r="AL42" s="105">
        <f t="shared" si="35"/>
        <v>63128.378109999991</v>
      </c>
      <c r="AM42" s="105">
        <f t="shared" si="36"/>
        <v>64551.228279999996</v>
      </c>
      <c r="AN42" s="105">
        <f t="shared" si="37"/>
        <v>67788.862399999998</v>
      </c>
      <c r="AO42" s="105">
        <f t="shared" si="38"/>
        <v>69316.7552</v>
      </c>
      <c r="AP42" s="61"/>
      <c r="AQ42" s="108">
        <v>39</v>
      </c>
      <c r="AR42" s="109">
        <f ca="1">+RESUMEN!F42</f>
        <v>0</v>
      </c>
      <c r="AS42" s="109">
        <f ca="1">+RESUMEN!G42</f>
        <v>0</v>
      </c>
      <c r="AT42" s="110">
        <f t="shared" ca="1" si="80"/>
        <v>0</v>
      </c>
      <c r="AU42" s="111">
        <f t="shared" si="39"/>
        <v>0</v>
      </c>
      <c r="AV42" s="111">
        <f t="shared" si="40"/>
        <v>0</v>
      </c>
      <c r="AW42" s="111">
        <f t="shared" si="41"/>
        <v>0</v>
      </c>
      <c r="AX42" s="111">
        <f t="shared" si="42"/>
        <v>0</v>
      </c>
      <c r="AY42" s="111">
        <f t="shared" ca="1" si="43"/>
        <v>0</v>
      </c>
      <c r="AZ42" s="110"/>
      <c r="BA42" s="111">
        <f t="shared" ca="1" si="81"/>
        <v>0</v>
      </c>
      <c r="BB42" s="111">
        <f t="shared" ca="1" si="82"/>
        <v>0</v>
      </c>
      <c r="BC42" s="111">
        <f t="shared" ca="1" si="62"/>
        <v>0</v>
      </c>
      <c r="BD42" s="113">
        <f t="shared" ca="1" si="44"/>
        <v>0</v>
      </c>
      <c r="BE42" s="113">
        <f t="shared" ca="1" si="63"/>
        <v>0</v>
      </c>
      <c r="BF42" s="114" t="str">
        <f t="shared" ca="1" si="83"/>
        <v/>
      </c>
      <c r="BG42" s="61"/>
      <c r="BH42" s="64">
        <f t="shared" ca="1" si="84"/>
        <v>0</v>
      </c>
      <c r="BI42" s="64">
        <f t="shared" ca="1" si="85"/>
        <v>0</v>
      </c>
      <c r="BJ42" s="64">
        <f t="shared" ca="1" si="64"/>
        <v>0</v>
      </c>
      <c r="BK42" s="115">
        <f t="shared" ca="1" si="46"/>
        <v>0</v>
      </c>
      <c r="BL42" s="115">
        <f t="shared" ca="1" si="65"/>
        <v>0</v>
      </c>
      <c r="BM42" s="116" t="str">
        <f t="shared" ca="1" si="86"/>
        <v/>
      </c>
      <c r="BN42" s="195"/>
      <c r="BO42" s="117">
        <f t="shared" ca="1" si="87"/>
        <v>0</v>
      </c>
      <c r="BP42" s="117">
        <f t="shared" ca="1" si="88"/>
        <v>0</v>
      </c>
      <c r="BQ42" s="117">
        <f t="shared" ca="1" si="66"/>
        <v>0</v>
      </c>
      <c r="BR42" s="118">
        <f t="shared" ca="1" si="48"/>
        <v>0</v>
      </c>
      <c r="BS42" s="118">
        <f t="shared" ca="1" si="67"/>
        <v>0</v>
      </c>
      <c r="BT42" s="119" t="str">
        <f t="shared" ca="1" si="89"/>
        <v/>
      </c>
      <c r="BU42" s="61"/>
      <c r="BV42" s="120">
        <f t="shared" ca="1" si="90"/>
        <v>0</v>
      </c>
      <c r="BW42" s="120">
        <f t="shared" ca="1" si="91"/>
        <v>0</v>
      </c>
      <c r="BX42" s="120">
        <f t="shared" ca="1" si="68"/>
        <v>0</v>
      </c>
      <c r="BY42" s="121">
        <f t="shared" ca="1" si="50"/>
        <v>0</v>
      </c>
      <c r="BZ42" s="121">
        <f t="shared" ca="1" si="69"/>
        <v>0</v>
      </c>
      <c r="CA42" s="122" t="str">
        <f t="shared" ca="1" si="92"/>
        <v/>
      </c>
      <c r="CB42" s="61"/>
      <c r="CC42" s="123">
        <f t="shared" ca="1" si="52"/>
        <v>0</v>
      </c>
      <c r="CD42" s="123">
        <f t="shared" ca="1" si="53"/>
        <v>0</v>
      </c>
      <c r="CE42" s="123">
        <f t="shared" ca="1" si="70"/>
        <v>0</v>
      </c>
      <c r="CF42" s="124">
        <f t="shared" ca="1" si="54"/>
        <v>0</v>
      </c>
      <c r="CG42" s="124">
        <f t="shared" ca="1" si="71"/>
        <v>0</v>
      </c>
      <c r="CH42" s="125" t="str">
        <f t="shared" ca="1" si="93"/>
        <v/>
      </c>
      <c r="CI42" s="61"/>
      <c r="CJ42" s="126">
        <f t="shared" ca="1" si="94"/>
        <v>0</v>
      </c>
      <c r="CK42" s="126">
        <f t="shared" ca="1" si="95"/>
        <v>0</v>
      </c>
      <c r="CL42" s="126">
        <f t="shared" ca="1" si="72"/>
        <v>0</v>
      </c>
      <c r="CM42" s="127">
        <f t="shared" ca="1" si="56"/>
        <v>0</v>
      </c>
      <c r="CN42" s="127">
        <f t="shared" ca="1" si="73"/>
        <v>0</v>
      </c>
      <c r="CO42" s="128" t="str">
        <f t="shared" ca="1" si="96"/>
        <v/>
      </c>
      <c r="CP42" s="61"/>
      <c r="CQ42" s="108">
        <v>39</v>
      </c>
      <c r="CR42" s="273">
        <v>0.18</v>
      </c>
      <c r="CS42" s="61">
        <f t="shared" si="58"/>
        <v>0</v>
      </c>
      <c r="CT42" s="278">
        <f t="shared" si="59"/>
        <v>0.18</v>
      </c>
      <c r="CU42" s="61">
        <f t="shared" si="60"/>
        <v>1</v>
      </c>
      <c r="CV42" s="287">
        <f t="shared" si="61"/>
        <v>1</v>
      </c>
      <c r="CW42" s="309">
        <f t="shared" si="97"/>
        <v>140.93</v>
      </c>
      <c r="CX42" s="309">
        <f t="shared" si="98"/>
        <v>69.12</v>
      </c>
      <c r="CY42" s="300">
        <f t="shared" si="99"/>
        <v>279.81</v>
      </c>
      <c r="CZ42" s="309">
        <f t="shared" si="100"/>
        <v>155.79</v>
      </c>
      <c r="DA42"/>
      <c r="DC42" s="544">
        <v>537.13</v>
      </c>
    </row>
    <row r="43" spans="1:107">
      <c r="A43" s="140">
        <v>7</v>
      </c>
      <c r="B43" s="141">
        <f ca="1">RESUMEN!J10</f>
        <v>0</v>
      </c>
      <c r="C43" s="141">
        <f ca="1">+RESUMEN!K10</f>
        <v>0</v>
      </c>
      <c r="D43" s="142">
        <f t="shared" ca="1" si="101"/>
        <v>0</v>
      </c>
      <c r="E43" s="133"/>
      <c r="H43" s="60"/>
      <c r="I43" s="60"/>
      <c r="J43" s="132">
        <v>40</v>
      </c>
      <c r="K43" s="36">
        <v>31085.19</v>
      </c>
      <c r="L43" s="36">
        <v>46560.480000000003</v>
      </c>
      <c r="M43" s="36">
        <v>27592.95</v>
      </c>
      <c r="N43" s="36">
        <v>41329.69</v>
      </c>
      <c r="O43" s="36">
        <v>24431.26</v>
      </c>
      <c r="P43" s="36">
        <v>36594</v>
      </c>
      <c r="Q43" s="105">
        <f t="shared" si="74"/>
        <v>125873.15</v>
      </c>
      <c r="R43" s="105">
        <f t="shared" si="75"/>
        <v>136190.35</v>
      </c>
      <c r="S43" s="105">
        <f t="shared" si="76"/>
        <v>91438.18</v>
      </c>
      <c r="T43" s="105">
        <f t="shared" si="77"/>
        <v>92465.26</v>
      </c>
      <c r="U43" s="105">
        <f t="shared" si="78"/>
        <v>61633.66</v>
      </c>
      <c r="V43" s="105">
        <f t="shared" si="79"/>
        <v>61952.74</v>
      </c>
      <c r="W43" s="61"/>
      <c r="X43" s="106">
        <v>125873.15</v>
      </c>
      <c r="Y43" s="106">
        <v>136190.35</v>
      </c>
      <c r="Z43" s="105">
        <f t="shared" si="27"/>
        <v>131285.69545</v>
      </c>
      <c r="AA43" s="105">
        <f t="shared" si="28"/>
        <v>142046.53505000001</v>
      </c>
      <c r="AB43" s="105">
        <f t="shared" si="29"/>
        <v>140977.92800000001</v>
      </c>
      <c r="AC43" s="105">
        <f t="shared" si="30"/>
        <v>152533.19200000001</v>
      </c>
      <c r="AD43" s="107">
        <v>91438.18</v>
      </c>
      <c r="AE43" s="107">
        <v>92465.26</v>
      </c>
      <c r="AF43" s="105">
        <f t="shared" si="31"/>
        <v>95370.021739999982</v>
      </c>
      <c r="AG43" s="105">
        <f t="shared" si="32"/>
        <v>96441.266179999991</v>
      </c>
      <c r="AH43" s="105">
        <f t="shared" si="33"/>
        <v>102410.7616</v>
      </c>
      <c r="AI43" s="105">
        <f t="shared" si="34"/>
        <v>103561.09120000001</v>
      </c>
      <c r="AJ43" s="106">
        <v>61633.66</v>
      </c>
      <c r="AK43" s="106">
        <v>61952.74</v>
      </c>
      <c r="AL43" s="105">
        <f t="shared" si="35"/>
        <v>64283.907379999997</v>
      </c>
      <c r="AM43" s="105">
        <f t="shared" si="36"/>
        <v>64616.707819999996</v>
      </c>
      <c r="AN43" s="105">
        <f t="shared" si="37"/>
        <v>69029.699200000017</v>
      </c>
      <c r="AO43" s="105">
        <f t="shared" si="38"/>
        <v>69387.068800000008</v>
      </c>
      <c r="AP43" s="61"/>
      <c r="AQ43" s="108">
        <v>40</v>
      </c>
      <c r="AR43" s="109">
        <f ca="1">+RESUMEN!F43</f>
        <v>0</v>
      </c>
      <c r="AS43" s="109">
        <f ca="1">+RESUMEN!G43</f>
        <v>0</v>
      </c>
      <c r="AT43" s="110">
        <f t="shared" ca="1" si="80"/>
        <v>0</v>
      </c>
      <c r="AU43" s="111">
        <f t="shared" si="39"/>
        <v>0</v>
      </c>
      <c r="AV43" s="111">
        <f t="shared" si="40"/>
        <v>0</v>
      </c>
      <c r="AW43" s="111">
        <f t="shared" si="41"/>
        <v>0</v>
      </c>
      <c r="AX43" s="111">
        <f t="shared" si="42"/>
        <v>0</v>
      </c>
      <c r="AY43" s="111">
        <f t="shared" ca="1" si="43"/>
        <v>0</v>
      </c>
      <c r="AZ43" s="110"/>
      <c r="BA43" s="111">
        <f t="shared" ca="1" si="81"/>
        <v>0</v>
      </c>
      <c r="BB43" s="111">
        <f t="shared" ca="1" si="82"/>
        <v>0</v>
      </c>
      <c r="BC43" s="111">
        <f t="shared" ca="1" si="62"/>
        <v>0</v>
      </c>
      <c r="BD43" s="113">
        <f t="shared" ca="1" si="44"/>
        <v>0</v>
      </c>
      <c r="BE43" s="113">
        <f t="shared" ca="1" si="63"/>
        <v>0</v>
      </c>
      <c r="BF43" s="114" t="str">
        <f t="shared" ca="1" si="83"/>
        <v/>
      </c>
      <c r="BG43" s="61"/>
      <c r="BH43" s="64">
        <f t="shared" ca="1" si="84"/>
        <v>0</v>
      </c>
      <c r="BI43" s="64">
        <f t="shared" ca="1" si="85"/>
        <v>0</v>
      </c>
      <c r="BJ43" s="64">
        <f t="shared" ca="1" si="64"/>
        <v>0</v>
      </c>
      <c r="BK43" s="115">
        <f t="shared" ca="1" si="46"/>
        <v>0</v>
      </c>
      <c r="BL43" s="115">
        <f t="shared" ca="1" si="65"/>
        <v>0</v>
      </c>
      <c r="BM43" s="116" t="str">
        <f t="shared" ca="1" si="86"/>
        <v/>
      </c>
      <c r="BN43" s="195"/>
      <c r="BO43" s="117">
        <f t="shared" ca="1" si="87"/>
        <v>0</v>
      </c>
      <c r="BP43" s="117">
        <f t="shared" ca="1" si="88"/>
        <v>0</v>
      </c>
      <c r="BQ43" s="117">
        <f t="shared" ca="1" si="66"/>
        <v>0</v>
      </c>
      <c r="BR43" s="118">
        <f t="shared" ca="1" si="48"/>
        <v>0</v>
      </c>
      <c r="BS43" s="118">
        <f t="shared" ca="1" si="67"/>
        <v>0</v>
      </c>
      <c r="BT43" s="119" t="str">
        <f t="shared" ca="1" si="89"/>
        <v/>
      </c>
      <c r="BU43" s="61"/>
      <c r="BV43" s="120">
        <f t="shared" ca="1" si="90"/>
        <v>0</v>
      </c>
      <c r="BW43" s="120">
        <f t="shared" ca="1" si="91"/>
        <v>0</v>
      </c>
      <c r="BX43" s="120">
        <f t="shared" ca="1" si="68"/>
        <v>0</v>
      </c>
      <c r="BY43" s="121">
        <f t="shared" ca="1" si="50"/>
        <v>0</v>
      </c>
      <c r="BZ43" s="121">
        <f t="shared" ca="1" si="69"/>
        <v>0</v>
      </c>
      <c r="CA43" s="122" t="str">
        <f t="shared" ca="1" si="92"/>
        <v/>
      </c>
      <c r="CB43" s="61"/>
      <c r="CC43" s="123">
        <f t="shared" ca="1" si="52"/>
        <v>0</v>
      </c>
      <c r="CD43" s="123">
        <f t="shared" ca="1" si="53"/>
        <v>0</v>
      </c>
      <c r="CE43" s="123">
        <f t="shared" ca="1" si="70"/>
        <v>0</v>
      </c>
      <c r="CF43" s="124">
        <f t="shared" ca="1" si="54"/>
        <v>0</v>
      </c>
      <c r="CG43" s="124">
        <f t="shared" ca="1" si="71"/>
        <v>0</v>
      </c>
      <c r="CH43" s="125" t="str">
        <f t="shared" ca="1" si="93"/>
        <v/>
      </c>
      <c r="CI43" s="61"/>
      <c r="CJ43" s="126">
        <f t="shared" ca="1" si="94"/>
        <v>0</v>
      </c>
      <c r="CK43" s="126">
        <f t="shared" ca="1" si="95"/>
        <v>0</v>
      </c>
      <c r="CL43" s="126">
        <f t="shared" ca="1" si="72"/>
        <v>0</v>
      </c>
      <c r="CM43" s="127">
        <f t="shared" ca="1" si="56"/>
        <v>0</v>
      </c>
      <c r="CN43" s="127">
        <f t="shared" ca="1" si="73"/>
        <v>0</v>
      </c>
      <c r="CO43" s="128" t="str">
        <f t="shared" ca="1" si="96"/>
        <v/>
      </c>
      <c r="CP43" s="61"/>
      <c r="CQ43" s="108">
        <v>40</v>
      </c>
      <c r="CR43" s="273">
        <v>0.18</v>
      </c>
      <c r="CS43" s="61">
        <f t="shared" si="58"/>
        <v>0</v>
      </c>
      <c r="CT43" s="278">
        <f t="shared" si="59"/>
        <v>0.18</v>
      </c>
      <c r="CU43" s="61">
        <f t="shared" si="60"/>
        <v>1</v>
      </c>
      <c r="CV43" s="287">
        <f t="shared" si="61"/>
        <v>1</v>
      </c>
      <c r="CW43" s="309">
        <f t="shared" si="97"/>
        <v>140.93</v>
      </c>
      <c r="CX43" s="309">
        <f t="shared" si="98"/>
        <v>69.12</v>
      </c>
      <c r="CY43" s="300">
        <f t="shared" si="99"/>
        <v>279.81</v>
      </c>
      <c r="CZ43" s="309">
        <f t="shared" si="100"/>
        <v>155.79</v>
      </c>
      <c r="DA43"/>
      <c r="DC43" s="544">
        <v>537.13</v>
      </c>
    </row>
    <row r="44" spans="1:107">
      <c r="A44" s="140">
        <v>8</v>
      </c>
      <c r="B44" s="141">
        <f ca="1">RESUMEN!J11</f>
        <v>0</v>
      </c>
      <c r="C44" s="141">
        <f ca="1">+RESUMEN!K11</f>
        <v>0</v>
      </c>
      <c r="D44" s="142">
        <f t="shared" ca="1" si="101"/>
        <v>0</v>
      </c>
      <c r="E44" s="133"/>
      <c r="F44" s="133"/>
      <c r="G44" s="133"/>
      <c r="H44" s="60"/>
      <c r="I44" s="60"/>
      <c r="J44" s="132">
        <v>41</v>
      </c>
      <c r="K44" s="36">
        <v>33165.629999999997</v>
      </c>
      <c r="L44" s="36">
        <v>51871.7</v>
      </c>
      <c r="M44" s="36">
        <v>29439.67</v>
      </c>
      <c r="N44" s="36">
        <v>46044.22</v>
      </c>
      <c r="O44" s="36">
        <v>26066.38</v>
      </c>
      <c r="P44" s="36">
        <v>40768.32</v>
      </c>
      <c r="Q44" s="105">
        <f t="shared" si="74"/>
        <v>126483.64</v>
      </c>
      <c r="R44" s="105">
        <f t="shared" si="75"/>
        <v>136202.54999999999</v>
      </c>
      <c r="S44" s="105">
        <f t="shared" si="76"/>
        <v>93467.93</v>
      </c>
      <c r="T44" s="105">
        <f t="shared" si="77"/>
        <v>92475.72</v>
      </c>
      <c r="U44" s="105">
        <f t="shared" si="78"/>
        <v>61932.58</v>
      </c>
      <c r="V44" s="105">
        <f t="shared" si="79"/>
        <v>61957.97</v>
      </c>
      <c r="W44" s="61"/>
      <c r="X44" s="106">
        <v>126483.64</v>
      </c>
      <c r="Y44" s="106">
        <v>136202.54999999999</v>
      </c>
      <c r="Z44" s="105">
        <f t="shared" si="27"/>
        <v>131922.43651999999</v>
      </c>
      <c r="AA44" s="105">
        <f t="shared" si="28"/>
        <v>142059.25964999996</v>
      </c>
      <c r="AB44" s="105">
        <f t="shared" si="29"/>
        <v>141661.67680000002</v>
      </c>
      <c r="AC44" s="105">
        <f t="shared" si="30"/>
        <v>152546.856</v>
      </c>
      <c r="AD44" s="107">
        <v>93467.93</v>
      </c>
      <c r="AE44" s="107">
        <v>92475.72</v>
      </c>
      <c r="AF44" s="105">
        <f t="shared" si="31"/>
        <v>97487.050989999989</v>
      </c>
      <c r="AG44" s="105">
        <f t="shared" si="32"/>
        <v>96452.175959999993</v>
      </c>
      <c r="AH44" s="105">
        <f t="shared" si="33"/>
        <v>104684.0816</v>
      </c>
      <c r="AI44" s="105">
        <f t="shared" si="34"/>
        <v>103572.80640000002</v>
      </c>
      <c r="AJ44" s="106">
        <v>61932.58</v>
      </c>
      <c r="AK44" s="106">
        <v>61957.97</v>
      </c>
      <c r="AL44" s="105">
        <f t="shared" si="35"/>
        <v>64595.680939999998</v>
      </c>
      <c r="AM44" s="105">
        <f t="shared" si="36"/>
        <v>64622.162709999997</v>
      </c>
      <c r="AN44" s="105">
        <f t="shared" si="37"/>
        <v>69364.489600000015</v>
      </c>
      <c r="AO44" s="105">
        <f t="shared" si="38"/>
        <v>69392.926400000011</v>
      </c>
      <c r="AP44" s="61"/>
      <c r="AQ44" s="108">
        <v>41</v>
      </c>
      <c r="AR44" s="109">
        <f ca="1">+RESUMEN!F44</f>
        <v>0</v>
      </c>
      <c r="AS44" s="109">
        <f ca="1">+RESUMEN!G44</f>
        <v>0</v>
      </c>
      <c r="AT44" s="110">
        <f t="shared" ca="1" si="80"/>
        <v>0</v>
      </c>
      <c r="AU44" s="111">
        <f t="shared" si="39"/>
        <v>0</v>
      </c>
      <c r="AV44" s="111">
        <f t="shared" si="40"/>
        <v>0</v>
      </c>
      <c r="AW44" s="111">
        <f t="shared" si="41"/>
        <v>0</v>
      </c>
      <c r="AX44" s="111">
        <f t="shared" si="42"/>
        <v>0</v>
      </c>
      <c r="AY44" s="111">
        <f t="shared" ca="1" si="43"/>
        <v>0</v>
      </c>
      <c r="AZ44" s="110"/>
      <c r="BA44" s="111">
        <f t="shared" ca="1" si="81"/>
        <v>0</v>
      </c>
      <c r="BB44" s="111">
        <f t="shared" ca="1" si="82"/>
        <v>0</v>
      </c>
      <c r="BC44" s="111">
        <f t="shared" ca="1" si="62"/>
        <v>0</v>
      </c>
      <c r="BD44" s="113">
        <f t="shared" ca="1" si="44"/>
        <v>0</v>
      </c>
      <c r="BE44" s="113">
        <f t="shared" ca="1" si="63"/>
        <v>0</v>
      </c>
      <c r="BF44" s="114" t="str">
        <f t="shared" ca="1" si="83"/>
        <v/>
      </c>
      <c r="BG44" s="61"/>
      <c r="BH44" s="64">
        <f t="shared" ca="1" si="84"/>
        <v>0</v>
      </c>
      <c r="BI44" s="64">
        <f t="shared" ca="1" si="85"/>
        <v>0</v>
      </c>
      <c r="BJ44" s="64">
        <f t="shared" ca="1" si="64"/>
        <v>0</v>
      </c>
      <c r="BK44" s="115">
        <f t="shared" ca="1" si="46"/>
        <v>0</v>
      </c>
      <c r="BL44" s="115">
        <f t="shared" ca="1" si="65"/>
        <v>0</v>
      </c>
      <c r="BM44" s="116" t="str">
        <f t="shared" ca="1" si="86"/>
        <v/>
      </c>
      <c r="BN44" s="170"/>
      <c r="BO44" s="117">
        <f t="shared" ca="1" si="87"/>
        <v>0</v>
      </c>
      <c r="BP44" s="117">
        <f t="shared" ca="1" si="88"/>
        <v>0</v>
      </c>
      <c r="BQ44" s="117">
        <f t="shared" ca="1" si="66"/>
        <v>0</v>
      </c>
      <c r="BR44" s="118">
        <f t="shared" ca="1" si="48"/>
        <v>0</v>
      </c>
      <c r="BS44" s="118">
        <f t="shared" ca="1" si="67"/>
        <v>0</v>
      </c>
      <c r="BT44" s="119" t="str">
        <f t="shared" ca="1" si="89"/>
        <v/>
      </c>
      <c r="BU44" s="61"/>
      <c r="BV44" s="120">
        <f t="shared" ca="1" si="90"/>
        <v>0</v>
      </c>
      <c r="BW44" s="120">
        <f t="shared" ca="1" si="91"/>
        <v>0</v>
      </c>
      <c r="BX44" s="120">
        <f t="shared" ca="1" si="68"/>
        <v>0</v>
      </c>
      <c r="BY44" s="121">
        <f t="shared" ca="1" si="50"/>
        <v>0</v>
      </c>
      <c r="BZ44" s="121">
        <f t="shared" ca="1" si="69"/>
        <v>0</v>
      </c>
      <c r="CA44" s="122" t="str">
        <f t="shared" ca="1" si="92"/>
        <v/>
      </c>
      <c r="CB44" s="61"/>
      <c r="CC44" s="123">
        <f t="shared" ca="1" si="52"/>
        <v>0</v>
      </c>
      <c r="CD44" s="123">
        <f t="shared" ca="1" si="53"/>
        <v>0</v>
      </c>
      <c r="CE44" s="123">
        <f t="shared" ca="1" si="70"/>
        <v>0</v>
      </c>
      <c r="CF44" s="124">
        <f t="shared" ca="1" si="54"/>
        <v>0</v>
      </c>
      <c r="CG44" s="124">
        <f t="shared" ca="1" si="71"/>
        <v>0</v>
      </c>
      <c r="CH44" s="125" t="str">
        <f t="shared" ca="1" si="93"/>
        <v/>
      </c>
      <c r="CI44" s="61"/>
      <c r="CJ44" s="126">
        <f t="shared" ca="1" si="94"/>
        <v>0</v>
      </c>
      <c r="CK44" s="126">
        <f t="shared" ca="1" si="95"/>
        <v>0</v>
      </c>
      <c r="CL44" s="126">
        <f t="shared" ca="1" si="72"/>
        <v>0</v>
      </c>
      <c r="CM44" s="127">
        <f t="shared" ca="1" si="56"/>
        <v>0</v>
      </c>
      <c r="CN44" s="127">
        <f t="shared" ca="1" si="73"/>
        <v>0</v>
      </c>
      <c r="CO44" s="128" t="str">
        <f t="shared" ca="1" si="96"/>
        <v/>
      </c>
      <c r="CP44" s="61"/>
      <c r="CQ44" s="108">
        <v>41</v>
      </c>
      <c r="CR44" s="273">
        <v>0.18</v>
      </c>
      <c r="CS44" s="61">
        <f t="shared" si="58"/>
        <v>0</v>
      </c>
      <c r="CT44" s="278">
        <f t="shared" si="59"/>
        <v>0.18</v>
      </c>
      <c r="CU44" s="61">
        <f t="shared" si="60"/>
        <v>1</v>
      </c>
      <c r="CV44" s="287">
        <f t="shared" si="61"/>
        <v>1</v>
      </c>
      <c r="CW44" s="309">
        <f t="shared" si="97"/>
        <v>140.93</v>
      </c>
      <c r="CX44" s="309">
        <f t="shared" si="98"/>
        <v>69.12</v>
      </c>
      <c r="CY44" s="300">
        <f t="shared" si="99"/>
        <v>279.81</v>
      </c>
      <c r="CZ44" s="309">
        <f t="shared" si="100"/>
        <v>155.79</v>
      </c>
      <c r="DA44"/>
      <c r="DC44" s="544">
        <v>537.13</v>
      </c>
    </row>
    <row r="45" spans="1:107">
      <c r="A45" s="140">
        <v>9</v>
      </c>
      <c r="B45" s="141">
        <f ca="1">RESUMEN!J12</f>
        <v>0</v>
      </c>
      <c r="C45" s="141">
        <f ca="1">+RESUMEN!K12</f>
        <v>0</v>
      </c>
      <c r="D45" s="142">
        <f t="shared" ca="1" si="101"/>
        <v>0</v>
      </c>
      <c r="E45" s="133"/>
      <c r="F45" s="133"/>
      <c r="G45" s="133"/>
      <c r="H45" s="60"/>
      <c r="I45" s="60"/>
      <c r="J45" s="132">
        <v>42</v>
      </c>
      <c r="K45" s="36">
        <v>34754.379999999997</v>
      </c>
      <c r="L45" s="36">
        <v>54154.16</v>
      </c>
      <c r="M45" s="36">
        <v>30849.93</v>
      </c>
      <c r="N45" s="36">
        <v>48070.27</v>
      </c>
      <c r="O45" s="36">
        <v>27315.05</v>
      </c>
      <c r="P45" s="36">
        <v>42562.22</v>
      </c>
      <c r="Q45" s="105">
        <f t="shared" si="74"/>
        <v>131479.74</v>
      </c>
      <c r="R45" s="105">
        <f t="shared" si="75"/>
        <v>136216.5</v>
      </c>
      <c r="S45" s="105">
        <f t="shared" si="76"/>
        <v>94694.74</v>
      </c>
      <c r="T45" s="105">
        <f t="shared" si="77"/>
        <v>92484.44</v>
      </c>
      <c r="U45" s="105">
        <f t="shared" si="78"/>
        <v>64378.92</v>
      </c>
      <c r="V45" s="105">
        <f t="shared" si="79"/>
        <v>61964.94</v>
      </c>
      <c r="W45" s="61"/>
      <c r="X45" s="106">
        <v>131479.74</v>
      </c>
      <c r="Y45" s="106">
        <v>136216.5</v>
      </c>
      <c r="Z45" s="105">
        <f t="shared" si="27"/>
        <v>137133.36881999997</v>
      </c>
      <c r="AA45" s="105">
        <f t="shared" si="28"/>
        <v>142073.8095</v>
      </c>
      <c r="AB45" s="105">
        <f t="shared" si="29"/>
        <v>147257.3088</v>
      </c>
      <c r="AC45" s="105">
        <f t="shared" si="30"/>
        <v>152562.48000000001</v>
      </c>
      <c r="AD45" s="107">
        <v>94694.74</v>
      </c>
      <c r="AE45" s="107">
        <v>92484.44</v>
      </c>
      <c r="AF45" s="105">
        <f t="shared" si="31"/>
        <v>98766.613819999999</v>
      </c>
      <c r="AG45" s="105">
        <f t="shared" si="32"/>
        <v>96461.270919999995</v>
      </c>
      <c r="AH45" s="105">
        <f t="shared" si="33"/>
        <v>106058.10880000002</v>
      </c>
      <c r="AI45" s="105">
        <f t="shared" si="34"/>
        <v>103582.57280000001</v>
      </c>
      <c r="AJ45" s="106">
        <v>64378.92</v>
      </c>
      <c r="AK45" s="106">
        <v>61964.94</v>
      </c>
      <c r="AL45" s="105">
        <f t="shared" si="35"/>
        <v>67147.213559999989</v>
      </c>
      <c r="AM45" s="105">
        <f t="shared" si="36"/>
        <v>64629.432419999997</v>
      </c>
      <c r="AN45" s="105">
        <f t="shared" si="37"/>
        <v>72104.390400000004</v>
      </c>
      <c r="AO45" s="105">
        <f t="shared" si="38"/>
        <v>69400.732800000013</v>
      </c>
      <c r="AP45" s="61"/>
      <c r="AQ45" s="108">
        <v>42</v>
      </c>
      <c r="AR45" s="109">
        <f ca="1">+RESUMEN!F45</f>
        <v>0</v>
      </c>
      <c r="AS45" s="109">
        <f ca="1">+RESUMEN!G45</f>
        <v>0</v>
      </c>
      <c r="AT45" s="110">
        <f t="shared" ca="1" si="80"/>
        <v>0</v>
      </c>
      <c r="AU45" s="111">
        <f t="shared" si="39"/>
        <v>0</v>
      </c>
      <c r="AV45" s="111">
        <f t="shared" si="40"/>
        <v>0</v>
      </c>
      <c r="AW45" s="111">
        <f t="shared" si="41"/>
        <v>0</v>
      </c>
      <c r="AX45" s="111">
        <f t="shared" si="42"/>
        <v>0</v>
      </c>
      <c r="AY45" s="111">
        <f t="shared" ca="1" si="43"/>
        <v>0</v>
      </c>
      <c r="AZ45" s="110"/>
      <c r="BA45" s="111">
        <f t="shared" ca="1" si="81"/>
        <v>0</v>
      </c>
      <c r="BB45" s="111">
        <f t="shared" ca="1" si="82"/>
        <v>0</v>
      </c>
      <c r="BC45" s="111">
        <f t="shared" ca="1" si="62"/>
        <v>0</v>
      </c>
      <c r="BD45" s="113">
        <f t="shared" ca="1" si="44"/>
        <v>0</v>
      </c>
      <c r="BE45" s="113">
        <f t="shared" ca="1" si="63"/>
        <v>0</v>
      </c>
      <c r="BF45" s="114" t="str">
        <f t="shared" ca="1" si="83"/>
        <v/>
      </c>
      <c r="BG45" s="61"/>
      <c r="BH45" s="64">
        <f t="shared" ca="1" si="84"/>
        <v>0</v>
      </c>
      <c r="BI45" s="64">
        <f t="shared" ca="1" si="85"/>
        <v>0</v>
      </c>
      <c r="BJ45" s="64">
        <f t="shared" ca="1" si="64"/>
        <v>0</v>
      </c>
      <c r="BK45" s="115">
        <f t="shared" ca="1" si="46"/>
        <v>0</v>
      </c>
      <c r="BL45" s="115">
        <f t="shared" ca="1" si="65"/>
        <v>0</v>
      </c>
      <c r="BM45" s="116" t="str">
        <f t="shared" ca="1" si="86"/>
        <v/>
      </c>
      <c r="BN45" s="61"/>
      <c r="BO45" s="117">
        <f t="shared" ca="1" si="87"/>
        <v>0</v>
      </c>
      <c r="BP45" s="117">
        <f t="shared" ca="1" si="88"/>
        <v>0</v>
      </c>
      <c r="BQ45" s="117">
        <f t="shared" ca="1" si="66"/>
        <v>0</v>
      </c>
      <c r="BR45" s="118">
        <f t="shared" ca="1" si="48"/>
        <v>0</v>
      </c>
      <c r="BS45" s="118">
        <f t="shared" ca="1" si="67"/>
        <v>0</v>
      </c>
      <c r="BT45" s="119" t="str">
        <f t="shared" ca="1" si="89"/>
        <v/>
      </c>
      <c r="BU45" s="61"/>
      <c r="BV45" s="120">
        <f t="shared" ca="1" si="90"/>
        <v>0</v>
      </c>
      <c r="BW45" s="120">
        <f t="shared" ca="1" si="91"/>
        <v>0</v>
      </c>
      <c r="BX45" s="120">
        <f t="shared" ca="1" si="68"/>
        <v>0</v>
      </c>
      <c r="BY45" s="121">
        <f t="shared" ca="1" si="50"/>
        <v>0</v>
      </c>
      <c r="BZ45" s="121">
        <f t="shared" ca="1" si="69"/>
        <v>0</v>
      </c>
      <c r="CA45" s="122" t="str">
        <f t="shared" ca="1" si="92"/>
        <v/>
      </c>
      <c r="CB45" s="61"/>
      <c r="CC45" s="123">
        <f t="shared" ca="1" si="52"/>
        <v>0</v>
      </c>
      <c r="CD45" s="123">
        <f t="shared" ca="1" si="53"/>
        <v>0</v>
      </c>
      <c r="CE45" s="123">
        <f t="shared" ca="1" si="70"/>
        <v>0</v>
      </c>
      <c r="CF45" s="124">
        <f t="shared" ca="1" si="54"/>
        <v>0</v>
      </c>
      <c r="CG45" s="124">
        <f t="shared" ca="1" si="71"/>
        <v>0</v>
      </c>
      <c r="CH45" s="125" t="str">
        <f t="shared" ca="1" si="93"/>
        <v/>
      </c>
      <c r="CI45" s="61"/>
      <c r="CJ45" s="126">
        <f t="shared" ca="1" si="94"/>
        <v>0</v>
      </c>
      <c r="CK45" s="126">
        <f t="shared" ca="1" si="95"/>
        <v>0</v>
      </c>
      <c r="CL45" s="126">
        <f t="shared" ca="1" si="72"/>
        <v>0</v>
      </c>
      <c r="CM45" s="127">
        <f t="shared" ca="1" si="56"/>
        <v>0</v>
      </c>
      <c r="CN45" s="127">
        <f t="shared" ca="1" si="73"/>
        <v>0</v>
      </c>
      <c r="CO45" s="128" t="str">
        <f t="shared" ca="1" si="96"/>
        <v/>
      </c>
      <c r="CP45" s="61"/>
      <c r="CQ45" s="108">
        <v>42</v>
      </c>
      <c r="CR45" s="273">
        <v>0.18</v>
      </c>
      <c r="CS45" s="61">
        <f t="shared" si="58"/>
        <v>0</v>
      </c>
      <c r="CT45" s="278">
        <f t="shared" si="59"/>
        <v>0.18</v>
      </c>
      <c r="CU45" s="61">
        <f t="shared" si="60"/>
        <v>1</v>
      </c>
      <c r="CV45" s="287">
        <f t="shared" si="61"/>
        <v>1</v>
      </c>
      <c r="CW45" s="309">
        <f t="shared" si="97"/>
        <v>140.93</v>
      </c>
      <c r="CX45" s="309">
        <f t="shared" si="98"/>
        <v>69.12</v>
      </c>
      <c r="CY45" s="300">
        <f t="shared" si="99"/>
        <v>279.81</v>
      </c>
      <c r="CZ45" s="309">
        <f t="shared" si="100"/>
        <v>155.79</v>
      </c>
      <c r="DA45"/>
      <c r="DC45" s="544">
        <v>537.13</v>
      </c>
    </row>
    <row r="46" spans="1:107">
      <c r="A46" s="140">
        <v>10</v>
      </c>
      <c r="B46" s="141">
        <f ca="1">RESUMEN!J13</f>
        <v>0</v>
      </c>
      <c r="C46" s="141">
        <f ca="1">+RESUMEN!K13</f>
        <v>0</v>
      </c>
      <c r="D46" s="142">
        <f t="shared" ca="1" si="101"/>
        <v>0</v>
      </c>
      <c r="E46" s="133"/>
      <c r="F46" s="133"/>
      <c r="G46" s="133"/>
      <c r="H46" s="133"/>
      <c r="I46" s="133"/>
      <c r="J46" s="132">
        <v>43</v>
      </c>
      <c r="K46" s="36">
        <v>36172.97</v>
      </c>
      <c r="L46" s="36">
        <v>54429.95</v>
      </c>
      <c r="M46" s="36">
        <v>32109.15</v>
      </c>
      <c r="N46" s="36">
        <v>48315.07</v>
      </c>
      <c r="O46" s="36">
        <v>28429.98</v>
      </c>
      <c r="P46" s="36">
        <v>42778.97</v>
      </c>
      <c r="Q46" s="105">
        <f t="shared" si="74"/>
        <v>134069.89000000001</v>
      </c>
      <c r="R46" s="105">
        <f t="shared" si="75"/>
        <v>136230.45000000001</v>
      </c>
      <c r="S46" s="105">
        <f t="shared" si="76"/>
        <v>98123.8</v>
      </c>
      <c r="T46" s="105">
        <f t="shared" si="77"/>
        <v>92493.16</v>
      </c>
      <c r="U46" s="105">
        <f t="shared" si="78"/>
        <v>69372.490000000005</v>
      </c>
      <c r="V46" s="105">
        <f t="shared" si="79"/>
        <v>63309.39</v>
      </c>
      <c r="W46" s="61"/>
      <c r="X46" s="106">
        <v>134069.89000000001</v>
      </c>
      <c r="Y46" s="106">
        <v>136230.45000000001</v>
      </c>
      <c r="Z46" s="105">
        <f t="shared" si="27"/>
        <v>139834.89527000001</v>
      </c>
      <c r="AA46" s="105">
        <f t="shared" si="28"/>
        <v>142088.35935000001</v>
      </c>
      <c r="AB46" s="105">
        <f t="shared" si="29"/>
        <v>150158.27680000002</v>
      </c>
      <c r="AC46" s="105">
        <f t="shared" si="30"/>
        <v>152578.10400000002</v>
      </c>
      <c r="AD46" s="107">
        <v>98123.8</v>
      </c>
      <c r="AE46" s="107">
        <v>92493.16</v>
      </c>
      <c r="AF46" s="105">
        <f t="shared" si="31"/>
        <v>102343.1234</v>
      </c>
      <c r="AG46" s="105">
        <f t="shared" si="32"/>
        <v>96470.365879999998</v>
      </c>
      <c r="AH46" s="105">
        <f t="shared" si="33"/>
        <v>109898.65600000002</v>
      </c>
      <c r="AI46" s="105">
        <f t="shared" si="34"/>
        <v>103592.33920000002</v>
      </c>
      <c r="AJ46" s="106">
        <v>69372.490000000005</v>
      </c>
      <c r="AK46" s="106">
        <v>63309.39</v>
      </c>
      <c r="AL46" s="105">
        <f t="shared" si="35"/>
        <v>72355.507070000007</v>
      </c>
      <c r="AM46" s="105">
        <f t="shared" si="36"/>
        <v>66031.693769999998</v>
      </c>
      <c r="AN46" s="105">
        <f t="shared" si="37"/>
        <v>77697.188800000018</v>
      </c>
      <c r="AO46" s="105">
        <f t="shared" si="38"/>
        <v>70906.516800000012</v>
      </c>
      <c r="AP46" s="61"/>
      <c r="AQ46" s="108">
        <v>43</v>
      </c>
      <c r="AR46" s="109">
        <f ca="1">+RESUMEN!F46</f>
        <v>0</v>
      </c>
      <c r="AS46" s="109">
        <f ca="1">+RESUMEN!G46</f>
        <v>0</v>
      </c>
      <c r="AT46" s="110">
        <f t="shared" ca="1" si="80"/>
        <v>0</v>
      </c>
      <c r="AU46" s="111">
        <f t="shared" si="39"/>
        <v>0</v>
      </c>
      <c r="AV46" s="111">
        <f t="shared" si="40"/>
        <v>0</v>
      </c>
      <c r="AW46" s="111">
        <f t="shared" si="41"/>
        <v>0</v>
      </c>
      <c r="AX46" s="111">
        <f t="shared" si="42"/>
        <v>0</v>
      </c>
      <c r="AY46" s="111">
        <f t="shared" ca="1" si="43"/>
        <v>0</v>
      </c>
      <c r="AZ46" s="110"/>
      <c r="BA46" s="111">
        <f t="shared" ca="1" si="81"/>
        <v>0</v>
      </c>
      <c r="BB46" s="111">
        <f t="shared" ca="1" si="82"/>
        <v>0</v>
      </c>
      <c r="BC46" s="111">
        <f t="shared" ca="1" si="62"/>
        <v>0</v>
      </c>
      <c r="BD46" s="113">
        <f t="shared" ca="1" si="44"/>
        <v>0</v>
      </c>
      <c r="BE46" s="113">
        <f t="shared" ca="1" si="63"/>
        <v>0</v>
      </c>
      <c r="BF46" s="114" t="str">
        <f t="shared" ca="1" si="83"/>
        <v/>
      </c>
      <c r="BG46" s="61"/>
      <c r="BH46" s="64">
        <f t="shared" ca="1" si="84"/>
        <v>0</v>
      </c>
      <c r="BI46" s="64">
        <f t="shared" ca="1" si="85"/>
        <v>0</v>
      </c>
      <c r="BJ46" s="64">
        <f t="shared" ca="1" si="64"/>
        <v>0</v>
      </c>
      <c r="BK46" s="115">
        <f t="shared" ca="1" si="46"/>
        <v>0</v>
      </c>
      <c r="BL46" s="115">
        <f t="shared" ca="1" si="65"/>
        <v>0</v>
      </c>
      <c r="BM46" s="116" t="str">
        <f t="shared" ca="1" si="86"/>
        <v/>
      </c>
      <c r="BN46" s="61"/>
      <c r="BO46" s="117">
        <f t="shared" ca="1" si="87"/>
        <v>0</v>
      </c>
      <c r="BP46" s="117">
        <f t="shared" ca="1" si="88"/>
        <v>0</v>
      </c>
      <c r="BQ46" s="117">
        <f t="shared" ca="1" si="66"/>
        <v>0</v>
      </c>
      <c r="BR46" s="118">
        <f t="shared" ca="1" si="48"/>
        <v>0</v>
      </c>
      <c r="BS46" s="118">
        <f t="shared" ca="1" si="67"/>
        <v>0</v>
      </c>
      <c r="BT46" s="119" t="str">
        <f t="shared" ca="1" si="89"/>
        <v/>
      </c>
      <c r="BU46" s="61"/>
      <c r="BV46" s="120">
        <f t="shared" ca="1" si="90"/>
        <v>0</v>
      </c>
      <c r="BW46" s="120">
        <f t="shared" ca="1" si="91"/>
        <v>0</v>
      </c>
      <c r="BX46" s="120">
        <f t="shared" ca="1" si="68"/>
        <v>0</v>
      </c>
      <c r="BY46" s="121">
        <f t="shared" ca="1" si="50"/>
        <v>0</v>
      </c>
      <c r="BZ46" s="121">
        <f t="shared" ca="1" si="69"/>
        <v>0</v>
      </c>
      <c r="CA46" s="122" t="str">
        <f t="shared" ca="1" si="92"/>
        <v/>
      </c>
      <c r="CB46" s="61"/>
      <c r="CC46" s="123">
        <f t="shared" ca="1" si="52"/>
        <v>0</v>
      </c>
      <c r="CD46" s="123">
        <f t="shared" ca="1" si="53"/>
        <v>0</v>
      </c>
      <c r="CE46" s="123">
        <f t="shared" ca="1" si="70"/>
        <v>0</v>
      </c>
      <c r="CF46" s="124">
        <f t="shared" ca="1" si="54"/>
        <v>0</v>
      </c>
      <c r="CG46" s="124">
        <f t="shared" ca="1" si="71"/>
        <v>0</v>
      </c>
      <c r="CH46" s="125" t="str">
        <f t="shared" ca="1" si="93"/>
        <v/>
      </c>
      <c r="CI46" s="61"/>
      <c r="CJ46" s="126">
        <f t="shared" ca="1" si="94"/>
        <v>0</v>
      </c>
      <c r="CK46" s="126">
        <f t="shared" ca="1" si="95"/>
        <v>0</v>
      </c>
      <c r="CL46" s="126">
        <f t="shared" ca="1" si="72"/>
        <v>0</v>
      </c>
      <c r="CM46" s="127">
        <f t="shared" ca="1" si="56"/>
        <v>0</v>
      </c>
      <c r="CN46" s="127">
        <f t="shared" ca="1" si="73"/>
        <v>0</v>
      </c>
      <c r="CO46" s="128" t="str">
        <f t="shared" ca="1" si="96"/>
        <v/>
      </c>
      <c r="CP46" s="61"/>
      <c r="CQ46" s="108">
        <v>43</v>
      </c>
      <c r="CR46" s="273">
        <v>0.18</v>
      </c>
      <c r="CS46" s="61">
        <f t="shared" si="58"/>
        <v>0</v>
      </c>
      <c r="CT46" s="278">
        <f t="shared" si="59"/>
        <v>0.18</v>
      </c>
      <c r="CU46" s="61">
        <f t="shared" si="60"/>
        <v>1</v>
      </c>
      <c r="CV46" s="287">
        <f t="shared" si="61"/>
        <v>1</v>
      </c>
      <c r="CW46" s="309">
        <f t="shared" si="97"/>
        <v>140.93</v>
      </c>
      <c r="CX46" s="309">
        <f t="shared" si="98"/>
        <v>69.12</v>
      </c>
      <c r="CY46" s="300">
        <f t="shared" si="99"/>
        <v>279.81</v>
      </c>
      <c r="CZ46" s="309">
        <f t="shared" si="100"/>
        <v>155.79</v>
      </c>
      <c r="DA46"/>
      <c r="DC46" s="544">
        <v>537.13</v>
      </c>
    </row>
    <row r="47" spans="1:107">
      <c r="A47" s="140">
        <v>11</v>
      </c>
      <c r="B47" s="141">
        <f ca="1">RESUMEN!J14</f>
        <v>0</v>
      </c>
      <c r="C47" s="141">
        <f ca="1">+RESUMEN!K14</f>
        <v>0</v>
      </c>
      <c r="D47" s="142">
        <f t="shared" ca="1" si="101"/>
        <v>0</v>
      </c>
      <c r="E47" s="133"/>
      <c r="F47" s="133"/>
      <c r="G47" s="133"/>
      <c r="H47" s="133"/>
      <c r="I47" s="133"/>
      <c r="J47" s="132">
        <v>44</v>
      </c>
      <c r="K47" s="36">
        <v>36774.17</v>
      </c>
      <c r="L47" s="36">
        <v>55175.72</v>
      </c>
      <c r="M47" s="36">
        <v>32642.81</v>
      </c>
      <c r="N47" s="36">
        <v>48977.06</v>
      </c>
      <c r="O47" s="36">
        <v>28902.49</v>
      </c>
      <c r="P47" s="36">
        <v>43365.1</v>
      </c>
      <c r="Q47" s="105">
        <f t="shared" si="74"/>
        <v>143430.49</v>
      </c>
      <c r="R47" s="105">
        <f t="shared" si="75"/>
        <v>136807.70000000001</v>
      </c>
      <c r="S47" s="105">
        <f t="shared" si="76"/>
        <v>100791.77</v>
      </c>
      <c r="T47" s="105">
        <f t="shared" si="77"/>
        <v>92501.88</v>
      </c>
      <c r="U47" s="105">
        <f t="shared" si="78"/>
        <v>69982.81</v>
      </c>
      <c r="V47" s="105">
        <f t="shared" si="79"/>
        <v>63577.65</v>
      </c>
      <c r="W47" s="61"/>
      <c r="X47" s="106">
        <v>143430.49</v>
      </c>
      <c r="Y47" s="106">
        <v>136807.70000000001</v>
      </c>
      <c r="Z47" s="105">
        <f t="shared" si="27"/>
        <v>149598.00106999997</v>
      </c>
      <c r="AA47" s="105">
        <f t="shared" si="28"/>
        <v>142690.43110000002</v>
      </c>
      <c r="AB47" s="105">
        <f t="shared" si="29"/>
        <v>160642.1488</v>
      </c>
      <c r="AC47" s="105">
        <f t="shared" si="30"/>
        <v>153224.62400000004</v>
      </c>
      <c r="AD47" s="107">
        <v>100791.77</v>
      </c>
      <c r="AE47" s="107">
        <v>92501.88</v>
      </c>
      <c r="AF47" s="105">
        <f t="shared" si="31"/>
        <v>105125.81611</v>
      </c>
      <c r="AG47" s="105">
        <f t="shared" si="32"/>
        <v>96479.46084</v>
      </c>
      <c r="AH47" s="105">
        <f t="shared" si="33"/>
        <v>112886.78240000001</v>
      </c>
      <c r="AI47" s="105">
        <f t="shared" si="34"/>
        <v>103602.10560000001</v>
      </c>
      <c r="AJ47" s="106">
        <v>69982.81</v>
      </c>
      <c r="AK47" s="106">
        <v>63577.65</v>
      </c>
      <c r="AL47" s="105">
        <f t="shared" si="35"/>
        <v>72992.070829999997</v>
      </c>
      <c r="AM47" s="105">
        <f t="shared" si="36"/>
        <v>66311.488949999999</v>
      </c>
      <c r="AN47" s="105">
        <f t="shared" si="37"/>
        <v>78380.747199999998</v>
      </c>
      <c r="AO47" s="105">
        <f t="shared" si="38"/>
        <v>71206.968000000008</v>
      </c>
      <c r="AP47" s="61"/>
      <c r="AQ47" s="108">
        <v>44</v>
      </c>
      <c r="AR47" s="109">
        <f ca="1">+RESUMEN!F47</f>
        <v>0</v>
      </c>
      <c r="AS47" s="109">
        <f ca="1">+RESUMEN!G47</f>
        <v>0</v>
      </c>
      <c r="AT47" s="110">
        <f t="shared" ca="1" si="80"/>
        <v>0</v>
      </c>
      <c r="AU47" s="111">
        <f t="shared" si="39"/>
        <v>0</v>
      </c>
      <c r="AV47" s="111">
        <f t="shared" si="40"/>
        <v>0</v>
      </c>
      <c r="AW47" s="111">
        <f t="shared" si="41"/>
        <v>0</v>
      </c>
      <c r="AX47" s="111">
        <f t="shared" si="42"/>
        <v>0</v>
      </c>
      <c r="AY47" s="111">
        <f t="shared" ca="1" si="43"/>
        <v>0</v>
      </c>
      <c r="AZ47" s="110"/>
      <c r="BA47" s="111">
        <f t="shared" ca="1" si="81"/>
        <v>0</v>
      </c>
      <c r="BB47" s="111">
        <f t="shared" ca="1" si="82"/>
        <v>0</v>
      </c>
      <c r="BC47" s="111">
        <f t="shared" ca="1" si="62"/>
        <v>0</v>
      </c>
      <c r="BD47" s="113">
        <f t="shared" ca="1" si="44"/>
        <v>0</v>
      </c>
      <c r="BE47" s="113">
        <f t="shared" ca="1" si="63"/>
        <v>0</v>
      </c>
      <c r="BF47" s="114" t="str">
        <f t="shared" ca="1" si="83"/>
        <v/>
      </c>
      <c r="BG47" s="61"/>
      <c r="BH47" s="64">
        <f t="shared" ca="1" si="84"/>
        <v>0</v>
      </c>
      <c r="BI47" s="64">
        <f t="shared" ca="1" si="85"/>
        <v>0</v>
      </c>
      <c r="BJ47" s="64">
        <f t="shared" ca="1" si="64"/>
        <v>0</v>
      </c>
      <c r="BK47" s="115">
        <f t="shared" ca="1" si="46"/>
        <v>0</v>
      </c>
      <c r="BL47" s="115">
        <f t="shared" ca="1" si="65"/>
        <v>0</v>
      </c>
      <c r="BM47" s="116" t="str">
        <f t="shared" ca="1" si="86"/>
        <v/>
      </c>
      <c r="BN47" s="61"/>
      <c r="BO47" s="117">
        <f t="shared" ca="1" si="87"/>
        <v>0</v>
      </c>
      <c r="BP47" s="117">
        <f t="shared" ca="1" si="88"/>
        <v>0</v>
      </c>
      <c r="BQ47" s="117">
        <f t="shared" ca="1" si="66"/>
        <v>0</v>
      </c>
      <c r="BR47" s="118">
        <f t="shared" ca="1" si="48"/>
        <v>0</v>
      </c>
      <c r="BS47" s="118">
        <f t="shared" ca="1" si="67"/>
        <v>0</v>
      </c>
      <c r="BT47" s="119" t="str">
        <f t="shared" ca="1" si="89"/>
        <v/>
      </c>
      <c r="BU47" s="61"/>
      <c r="BV47" s="120">
        <f t="shared" ca="1" si="90"/>
        <v>0</v>
      </c>
      <c r="BW47" s="120">
        <f t="shared" ca="1" si="91"/>
        <v>0</v>
      </c>
      <c r="BX47" s="120">
        <f t="shared" ca="1" si="68"/>
        <v>0</v>
      </c>
      <c r="BY47" s="121">
        <f t="shared" ca="1" si="50"/>
        <v>0</v>
      </c>
      <c r="BZ47" s="121">
        <f t="shared" ca="1" si="69"/>
        <v>0</v>
      </c>
      <c r="CA47" s="122" t="str">
        <f t="shared" ca="1" si="92"/>
        <v/>
      </c>
      <c r="CB47" s="61"/>
      <c r="CC47" s="123">
        <f t="shared" ca="1" si="52"/>
        <v>0</v>
      </c>
      <c r="CD47" s="123">
        <f t="shared" ca="1" si="53"/>
        <v>0</v>
      </c>
      <c r="CE47" s="123">
        <f t="shared" ca="1" si="70"/>
        <v>0</v>
      </c>
      <c r="CF47" s="124">
        <f t="shared" ca="1" si="54"/>
        <v>0</v>
      </c>
      <c r="CG47" s="124">
        <f t="shared" ca="1" si="71"/>
        <v>0</v>
      </c>
      <c r="CH47" s="125" t="str">
        <f t="shared" ca="1" si="93"/>
        <v/>
      </c>
      <c r="CI47" s="61"/>
      <c r="CJ47" s="126">
        <f t="shared" ca="1" si="94"/>
        <v>0</v>
      </c>
      <c r="CK47" s="126">
        <f t="shared" ca="1" si="95"/>
        <v>0</v>
      </c>
      <c r="CL47" s="126">
        <f t="shared" ca="1" si="72"/>
        <v>0</v>
      </c>
      <c r="CM47" s="127">
        <f t="shared" ca="1" si="56"/>
        <v>0</v>
      </c>
      <c r="CN47" s="127">
        <f t="shared" ca="1" si="73"/>
        <v>0</v>
      </c>
      <c r="CO47" s="128" t="str">
        <f t="shared" ca="1" si="96"/>
        <v/>
      </c>
      <c r="CP47" s="61"/>
      <c r="CQ47" s="108">
        <v>44</v>
      </c>
      <c r="CR47" s="273">
        <v>0.18</v>
      </c>
      <c r="CS47" s="61">
        <f t="shared" si="58"/>
        <v>0</v>
      </c>
      <c r="CT47" s="278">
        <f t="shared" si="59"/>
        <v>0.18</v>
      </c>
      <c r="CU47" s="61">
        <f t="shared" si="60"/>
        <v>1</v>
      </c>
      <c r="CV47" s="287">
        <f t="shared" si="61"/>
        <v>1</v>
      </c>
      <c r="CW47" s="309">
        <f t="shared" si="97"/>
        <v>140.93</v>
      </c>
      <c r="CX47" s="309">
        <f t="shared" si="98"/>
        <v>69.12</v>
      </c>
      <c r="CY47" s="300">
        <f t="shared" si="99"/>
        <v>279.81</v>
      </c>
      <c r="CZ47" s="309">
        <f t="shared" si="100"/>
        <v>155.79</v>
      </c>
      <c r="DA47"/>
      <c r="DC47" s="544">
        <v>537.13</v>
      </c>
    </row>
    <row r="48" spans="1:107">
      <c r="A48" s="140">
        <v>12</v>
      </c>
      <c r="B48" s="141">
        <f ca="1">RESUMEN!J15</f>
        <v>0</v>
      </c>
      <c r="C48" s="141">
        <f ca="1">+RESUMEN!K15</f>
        <v>0</v>
      </c>
      <c r="D48" s="142">
        <f t="shared" ca="1" si="101"/>
        <v>0</v>
      </c>
      <c r="E48" s="133"/>
      <c r="F48" s="133"/>
      <c r="G48" s="133"/>
      <c r="H48" s="133"/>
      <c r="I48" s="133"/>
      <c r="J48" s="132">
        <v>45</v>
      </c>
      <c r="K48" s="36">
        <v>37598.1</v>
      </c>
      <c r="L48" s="36">
        <v>55701.03</v>
      </c>
      <c r="M48" s="36">
        <v>33374.18</v>
      </c>
      <c r="N48" s="36">
        <v>49443.35</v>
      </c>
      <c r="O48" s="36">
        <v>29550.05</v>
      </c>
      <c r="P48" s="36">
        <v>43777.97</v>
      </c>
      <c r="Q48" s="105">
        <f t="shared" si="74"/>
        <v>144836.10999999999</v>
      </c>
      <c r="R48" s="105">
        <f t="shared" si="75"/>
        <v>137471.22</v>
      </c>
      <c r="S48" s="105">
        <f t="shared" si="76"/>
        <v>103717.82</v>
      </c>
      <c r="T48" s="105">
        <f t="shared" si="77"/>
        <v>92512.34</v>
      </c>
      <c r="U48" s="105">
        <f t="shared" si="78"/>
        <v>70575.88</v>
      </c>
      <c r="V48" s="105">
        <f t="shared" si="79"/>
        <v>65663.48</v>
      </c>
      <c r="W48" s="61"/>
      <c r="X48" s="106">
        <v>144836.10999999999</v>
      </c>
      <c r="Y48" s="106">
        <v>137471.22</v>
      </c>
      <c r="Z48" s="105">
        <f t="shared" si="27"/>
        <v>151064.06272999998</v>
      </c>
      <c r="AA48" s="105">
        <f t="shared" si="28"/>
        <v>143382.48246</v>
      </c>
      <c r="AB48" s="105">
        <f t="shared" si="29"/>
        <v>162216.44320000001</v>
      </c>
      <c r="AC48" s="105">
        <f t="shared" si="30"/>
        <v>153967.76640000002</v>
      </c>
      <c r="AD48" s="107">
        <v>103717.82</v>
      </c>
      <c r="AE48" s="107">
        <v>92512.34</v>
      </c>
      <c r="AF48" s="105">
        <f t="shared" si="31"/>
        <v>108177.68626</v>
      </c>
      <c r="AG48" s="105">
        <f t="shared" si="32"/>
        <v>96490.370619999987</v>
      </c>
      <c r="AH48" s="105">
        <f t="shared" si="33"/>
        <v>116163.95840000002</v>
      </c>
      <c r="AI48" s="105">
        <f t="shared" si="34"/>
        <v>103613.8208</v>
      </c>
      <c r="AJ48" s="106">
        <v>70575.88</v>
      </c>
      <c r="AK48" s="106">
        <v>65663.48</v>
      </c>
      <c r="AL48" s="105">
        <f t="shared" si="35"/>
        <v>73610.64284</v>
      </c>
      <c r="AM48" s="105">
        <f t="shared" si="36"/>
        <v>68487.009639999989</v>
      </c>
      <c r="AN48" s="105">
        <f t="shared" si="37"/>
        <v>79044.985600000015</v>
      </c>
      <c r="AO48" s="105">
        <f t="shared" si="38"/>
        <v>73543.097600000008</v>
      </c>
      <c r="AP48" s="61"/>
      <c r="AQ48" s="108">
        <v>45</v>
      </c>
      <c r="AR48" s="109">
        <f ca="1">+RESUMEN!F48</f>
        <v>0</v>
      </c>
      <c r="AS48" s="109">
        <f ca="1">+RESUMEN!G48</f>
        <v>0</v>
      </c>
      <c r="AT48" s="110">
        <f t="shared" ca="1" si="80"/>
        <v>0</v>
      </c>
      <c r="AU48" s="111">
        <f t="shared" si="39"/>
        <v>0</v>
      </c>
      <c r="AV48" s="111">
        <f t="shared" si="40"/>
        <v>0</v>
      </c>
      <c r="AW48" s="111">
        <f t="shared" si="41"/>
        <v>0</v>
      </c>
      <c r="AX48" s="111">
        <f t="shared" si="42"/>
        <v>0</v>
      </c>
      <c r="AY48" s="111">
        <f t="shared" ca="1" si="43"/>
        <v>0</v>
      </c>
      <c r="AZ48" s="110"/>
      <c r="BA48" s="111">
        <f t="shared" ca="1" si="81"/>
        <v>0</v>
      </c>
      <c r="BB48" s="111">
        <f t="shared" ca="1" si="82"/>
        <v>0</v>
      </c>
      <c r="BC48" s="112"/>
      <c r="BD48" s="113">
        <f t="shared" ca="1" si="44"/>
        <v>0</v>
      </c>
      <c r="BE48" s="113">
        <f t="shared" ref="BE48:BE103" ca="1" si="102">(($BB48*$AS48*CV48)+($AU48*$C187)+($AV48*$C81)+($AX48*$AS48)+($AS48*$AY48))*CU48</f>
        <v>0</v>
      </c>
      <c r="BF48" s="114" t="str">
        <f t="shared" ca="1" si="83"/>
        <v/>
      </c>
      <c r="BG48" s="61"/>
      <c r="BH48" s="64">
        <f t="shared" ca="1" si="84"/>
        <v>0</v>
      </c>
      <c r="BI48" s="64">
        <f t="shared" ca="1" si="85"/>
        <v>0</v>
      </c>
      <c r="BJ48" s="112"/>
      <c r="BK48" s="115">
        <f t="shared" ca="1" si="46"/>
        <v>0</v>
      </c>
      <c r="BL48" s="115">
        <f ca="1">(($BI48*$AS48*CV48)+($AU48*$C187)+($AV48*$C81)+($AX48*$AS48)+($AS48*$AY48))*CU48</f>
        <v>0</v>
      </c>
      <c r="BM48" s="116" t="str">
        <f t="shared" ca="1" si="86"/>
        <v/>
      </c>
      <c r="BN48" s="61"/>
      <c r="BO48" s="117">
        <f t="shared" ca="1" si="87"/>
        <v>0</v>
      </c>
      <c r="BP48" s="117">
        <f t="shared" ca="1" si="88"/>
        <v>0</v>
      </c>
      <c r="BQ48" s="112"/>
      <c r="BR48" s="118">
        <f t="shared" ca="1" si="48"/>
        <v>0</v>
      </c>
      <c r="BS48" s="118">
        <f t="shared" ref="BS48:BS103" ca="1" si="103">(($BP48*$AS48*CV48)+($AU48*$C187)+($AV48*$C81)+($AX48*$AS48)+($AS48*$AY48))*CU48</f>
        <v>0</v>
      </c>
      <c r="BT48" s="119" t="str">
        <f t="shared" ca="1" si="89"/>
        <v/>
      </c>
      <c r="BU48" s="61"/>
      <c r="BV48" s="120">
        <f t="shared" ca="1" si="90"/>
        <v>0</v>
      </c>
      <c r="BW48" s="120">
        <f t="shared" ca="1" si="91"/>
        <v>0</v>
      </c>
      <c r="BX48" s="112"/>
      <c r="BY48" s="121">
        <f t="shared" ca="1" si="50"/>
        <v>0</v>
      </c>
      <c r="BZ48" s="121">
        <f ca="1">(($BW48*$AS48*CV48)+($AU48*$C187)+($AV48*$C81)+($AS48*$AY48))*CU48</f>
        <v>0</v>
      </c>
      <c r="CA48" s="122" t="str">
        <f t="shared" ca="1" si="92"/>
        <v/>
      </c>
      <c r="CB48" s="61"/>
      <c r="CC48" s="123">
        <f t="shared" ca="1" si="52"/>
        <v>0</v>
      </c>
      <c r="CD48" s="123">
        <f t="shared" ca="1" si="53"/>
        <v>0</v>
      </c>
      <c r="CE48" s="112"/>
      <c r="CF48" s="124">
        <f t="shared" ca="1" si="54"/>
        <v>0</v>
      </c>
      <c r="CG48" s="124">
        <f ca="1">(($CD48*$AS48*CV48)+($AU48*$C187)+($AV48*$C81)+($AS48*$DC48))*CU48</f>
        <v>0</v>
      </c>
      <c r="CH48" s="125" t="str">
        <f t="shared" ca="1" si="93"/>
        <v/>
      </c>
      <c r="CI48" s="61"/>
      <c r="CJ48" s="126">
        <f t="shared" ca="1" si="94"/>
        <v>0</v>
      </c>
      <c r="CK48" s="126">
        <f t="shared" ca="1" si="95"/>
        <v>0</v>
      </c>
      <c r="CL48" s="112"/>
      <c r="CM48" s="127">
        <f t="shared" ca="1" si="56"/>
        <v>0</v>
      </c>
      <c r="CN48" s="127">
        <f ca="1">(($CK48*$AS48*CV48)+($AU48*$C187)+($AV48*$C81)+($AS48*$AY48))*CU48</f>
        <v>0</v>
      </c>
      <c r="CO48" s="128" t="str">
        <f t="shared" ca="1" si="96"/>
        <v/>
      </c>
      <c r="CP48" s="61"/>
      <c r="CQ48" s="108">
        <v>45</v>
      </c>
      <c r="CR48" s="273">
        <v>0.18</v>
      </c>
      <c r="CS48" s="61">
        <f t="shared" si="58"/>
        <v>0</v>
      </c>
      <c r="CT48" s="278">
        <f t="shared" si="59"/>
        <v>0.18</v>
      </c>
      <c r="CU48" s="61">
        <f t="shared" si="60"/>
        <v>1</v>
      </c>
      <c r="CV48" s="287">
        <f t="shared" si="61"/>
        <v>1</v>
      </c>
      <c r="CW48" s="309">
        <f t="shared" si="97"/>
        <v>140.93</v>
      </c>
      <c r="CX48" s="309">
        <f t="shared" si="98"/>
        <v>69.12</v>
      </c>
      <c r="CY48" s="300">
        <f t="shared" si="99"/>
        <v>279.81</v>
      </c>
      <c r="CZ48" s="309">
        <f t="shared" si="100"/>
        <v>155.79</v>
      </c>
      <c r="DA48"/>
      <c r="DC48" s="544">
        <v>537.13</v>
      </c>
    </row>
    <row r="49" spans="1:107">
      <c r="A49" s="140">
        <v>13</v>
      </c>
      <c r="B49" s="141">
        <f ca="1">RESUMEN!J16</f>
        <v>0</v>
      </c>
      <c r="C49" s="141">
        <f ca="1">+RESUMEN!K16</f>
        <v>0</v>
      </c>
      <c r="D49" s="142">
        <f t="shared" ca="1" si="101"/>
        <v>0</v>
      </c>
      <c r="E49" s="133"/>
      <c r="F49" s="133"/>
      <c r="G49" s="133"/>
      <c r="H49" s="133"/>
      <c r="I49" s="133"/>
      <c r="J49" s="132">
        <v>46</v>
      </c>
      <c r="K49" s="36">
        <v>38609.75</v>
      </c>
      <c r="L49" s="36">
        <v>57284.86</v>
      </c>
      <c r="M49" s="36">
        <v>34272.18</v>
      </c>
      <c r="N49" s="36">
        <v>50849.25</v>
      </c>
      <c r="O49" s="36">
        <v>30345.16</v>
      </c>
      <c r="P49" s="36">
        <v>45022.77</v>
      </c>
      <c r="Q49" s="105">
        <f t="shared" si="74"/>
        <v>146898.85</v>
      </c>
      <c r="R49" s="105">
        <f t="shared" si="75"/>
        <v>140179.4</v>
      </c>
      <c r="S49" s="105">
        <f t="shared" si="76"/>
        <v>106924.62</v>
      </c>
      <c r="T49" s="105">
        <f t="shared" si="77"/>
        <v>92904.34</v>
      </c>
      <c r="U49" s="105">
        <f t="shared" si="78"/>
        <v>72357.820000000007</v>
      </c>
      <c r="V49" s="105">
        <f t="shared" si="79"/>
        <v>67675.8</v>
      </c>
      <c r="W49" s="61"/>
      <c r="X49" s="106">
        <v>146898.85</v>
      </c>
      <c r="Y49" s="106">
        <v>140179.4</v>
      </c>
      <c r="Z49" s="105">
        <f t="shared" si="27"/>
        <v>153215.50055</v>
      </c>
      <c r="AA49" s="105">
        <f t="shared" si="28"/>
        <v>146207.11419999998</v>
      </c>
      <c r="AB49" s="105">
        <f t="shared" si="29"/>
        <v>164526.71200000003</v>
      </c>
      <c r="AC49" s="105">
        <f t="shared" si="30"/>
        <v>157000.92800000001</v>
      </c>
      <c r="AD49" s="107">
        <v>106924.62</v>
      </c>
      <c r="AE49" s="107">
        <v>92904.34</v>
      </c>
      <c r="AF49" s="105">
        <f t="shared" si="31"/>
        <v>111522.37865999999</v>
      </c>
      <c r="AG49" s="105">
        <f t="shared" si="32"/>
        <v>96899.226619999987</v>
      </c>
      <c r="AH49" s="105">
        <f t="shared" si="33"/>
        <v>119755.57440000001</v>
      </c>
      <c r="AI49" s="105">
        <f t="shared" si="34"/>
        <v>104052.86080000001</v>
      </c>
      <c r="AJ49" s="106">
        <v>72357.820000000007</v>
      </c>
      <c r="AK49" s="106">
        <v>67675.8</v>
      </c>
      <c r="AL49" s="105">
        <f t="shared" si="35"/>
        <v>75469.206260000006</v>
      </c>
      <c r="AM49" s="105">
        <f t="shared" si="36"/>
        <v>70585.859400000001</v>
      </c>
      <c r="AN49" s="105">
        <f t="shared" si="37"/>
        <v>81040.758400000021</v>
      </c>
      <c r="AO49" s="105">
        <f t="shared" si="38"/>
        <v>75796.896000000008</v>
      </c>
      <c r="AP49" s="61"/>
      <c r="AQ49" s="108">
        <v>46</v>
      </c>
      <c r="AR49" s="109">
        <f ca="1">+RESUMEN!F49</f>
        <v>0</v>
      </c>
      <c r="AS49" s="109">
        <f ca="1">+RESUMEN!G49</f>
        <v>0</v>
      </c>
      <c r="AT49" s="110">
        <f t="shared" ca="1" si="80"/>
        <v>0</v>
      </c>
      <c r="AU49" s="111">
        <f t="shared" si="39"/>
        <v>0</v>
      </c>
      <c r="AV49" s="111">
        <f t="shared" si="40"/>
        <v>0</v>
      </c>
      <c r="AW49" s="111">
        <f t="shared" si="41"/>
        <v>0</v>
      </c>
      <c r="AX49" s="111">
        <f t="shared" si="42"/>
        <v>0</v>
      </c>
      <c r="AY49" s="111">
        <f t="shared" ca="1" si="43"/>
        <v>0</v>
      </c>
      <c r="AZ49" s="110"/>
      <c r="BA49" s="111">
        <f t="shared" ca="1" si="81"/>
        <v>0</v>
      </c>
      <c r="BB49" s="111">
        <f t="shared" ca="1" si="82"/>
        <v>0</v>
      </c>
      <c r="BC49" s="112"/>
      <c r="BD49" s="113">
        <f t="shared" ca="1" si="44"/>
        <v>0</v>
      </c>
      <c r="BE49" s="113">
        <f t="shared" ca="1" si="102"/>
        <v>0</v>
      </c>
      <c r="BF49" s="114" t="str">
        <f t="shared" ca="1" si="83"/>
        <v/>
      </c>
      <c r="BG49" s="61"/>
      <c r="BH49" s="64">
        <f t="shared" ca="1" si="84"/>
        <v>0</v>
      </c>
      <c r="BI49" s="64">
        <f t="shared" ca="1" si="85"/>
        <v>0</v>
      </c>
      <c r="BJ49" s="112"/>
      <c r="BK49" s="115">
        <f t="shared" ca="1" si="46"/>
        <v>0</v>
      </c>
      <c r="BL49" s="115">
        <f t="shared" ref="BL49:BL103" ca="1" si="104">(($BI49*$AS49*CV49)+($AU49*$C188)+($AV49*$C82)+($AX49*$AS49)+($AS49*$AY49))*CU49</f>
        <v>0</v>
      </c>
      <c r="BM49" s="116" t="str">
        <f t="shared" ca="1" si="86"/>
        <v/>
      </c>
      <c r="BN49" s="61"/>
      <c r="BO49" s="117">
        <f t="shared" ca="1" si="87"/>
        <v>0</v>
      </c>
      <c r="BP49" s="117">
        <f t="shared" ca="1" si="88"/>
        <v>0</v>
      </c>
      <c r="BQ49" s="112"/>
      <c r="BR49" s="118">
        <f t="shared" ca="1" si="48"/>
        <v>0</v>
      </c>
      <c r="BS49" s="118">
        <f t="shared" ca="1" si="103"/>
        <v>0</v>
      </c>
      <c r="BT49" s="119" t="str">
        <f t="shared" ca="1" si="89"/>
        <v/>
      </c>
      <c r="BU49" s="61"/>
      <c r="BV49" s="120">
        <f t="shared" ca="1" si="90"/>
        <v>0</v>
      </c>
      <c r="BW49" s="120">
        <f t="shared" ca="1" si="91"/>
        <v>0</v>
      </c>
      <c r="BX49" s="112"/>
      <c r="BY49" s="121">
        <f t="shared" ca="1" si="50"/>
        <v>0</v>
      </c>
      <c r="BZ49" s="121">
        <f t="shared" ref="BZ49:BZ103" ca="1" si="105">(($BW49*$AS49*CV49)+($AU49*$C188)+($AV49*$C82)+($AS49*$AY49))*CU49</f>
        <v>0</v>
      </c>
      <c r="CA49" s="122" t="str">
        <f t="shared" ca="1" si="92"/>
        <v/>
      </c>
      <c r="CB49" s="61"/>
      <c r="CC49" s="123">
        <f t="shared" ca="1" si="52"/>
        <v>0</v>
      </c>
      <c r="CD49" s="123">
        <f t="shared" ca="1" si="53"/>
        <v>0</v>
      </c>
      <c r="CE49" s="112"/>
      <c r="CF49" s="124">
        <f t="shared" ca="1" si="54"/>
        <v>0</v>
      </c>
      <c r="CG49" s="124">
        <f t="shared" ref="CG49:CG103" ca="1" si="106">(($CD49*$AS49*CV49)+($AU49*$C188)+($AV49*$C82)+($AS49*$DC49))*CU49</f>
        <v>0</v>
      </c>
      <c r="CH49" s="125" t="str">
        <f t="shared" ca="1" si="93"/>
        <v/>
      </c>
      <c r="CI49" s="61"/>
      <c r="CJ49" s="126">
        <f t="shared" ca="1" si="94"/>
        <v>0</v>
      </c>
      <c r="CK49" s="126">
        <f t="shared" ca="1" si="95"/>
        <v>0</v>
      </c>
      <c r="CL49" s="112"/>
      <c r="CM49" s="127">
        <f t="shared" ca="1" si="56"/>
        <v>0</v>
      </c>
      <c r="CN49" s="127">
        <f t="shared" ref="CN49:CN103" ca="1" si="107">(($CK49*$AS49*CV49)+($AU49*$C188)+($AV49*$C82)+($AS49*$AY49))*CU49</f>
        <v>0</v>
      </c>
      <c r="CO49" s="128" t="str">
        <f t="shared" ca="1" si="96"/>
        <v/>
      </c>
      <c r="CP49" s="61"/>
      <c r="CQ49" s="108">
        <v>46</v>
      </c>
      <c r="CR49" s="273">
        <v>0.18</v>
      </c>
      <c r="CS49" s="61">
        <f t="shared" si="58"/>
        <v>0</v>
      </c>
      <c r="CT49" s="278">
        <f t="shared" si="59"/>
        <v>0.18</v>
      </c>
      <c r="CU49" s="61">
        <f t="shared" si="60"/>
        <v>1</v>
      </c>
      <c r="CV49" s="287">
        <f t="shared" si="61"/>
        <v>1</v>
      </c>
      <c r="CW49" s="309">
        <f t="shared" si="97"/>
        <v>140.93</v>
      </c>
      <c r="CX49" s="309">
        <f t="shared" si="98"/>
        <v>69.12</v>
      </c>
      <c r="CY49" s="300">
        <f t="shared" si="99"/>
        <v>279.81</v>
      </c>
      <c r="CZ49" s="309">
        <f t="shared" si="100"/>
        <v>155.79</v>
      </c>
      <c r="DA49"/>
      <c r="DC49" s="544">
        <v>537.13</v>
      </c>
    </row>
    <row r="50" spans="1:107">
      <c r="A50" s="140">
        <v>14</v>
      </c>
      <c r="B50" s="141">
        <f ca="1">RESUMEN!J17</f>
        <v>0</v>
      </c>
      <c r="C50" s="141">
        <f ca="1">+RESUMEN!K17</f>
        <v>0</v>
      </c>
      <c r="D50" s="142">
        <f t="shared" ca="1" si="101"/>
        <v>0</v>
      </c>
      <c r="E50" s="133"/>
      <c r="F50" s="133"/>
      <c r="G50" s="133"/>
      <c r="H50" s="133"/>
      <c r="I50" s="133"/>
      <c r="J50" s="132">
        <v>47</v>
      </c>
      <c r="K50" s="36">
        <v>39886.49</v>
      </c>
      <c r="L50" s="36">
        <v>59210.61</v>
      </c>
      <c r="M50" s="36">
        <v>35405.480000000003</v>
      </c>
      <c r="N50" s="36">
        <v>52558.65</v>
      </c>
      <c r="O50" s="36">
        <v>31348.6</v>
      </c>
      <c r="P50" s="36">
        <v>46536.31</v>
      </c>
      <c r="Q50" s="105">
        <f t="shared" si="74"/>
        <v>150557.13</v>
      </c>
      <c r="R50" s="105">
        <f t="shared" si="75"/>
        <v>145716.49</v>
      </c>
      <c r="S50" s="105">
        <f t="shared" si="76"/>
        <v>110440.06</v>
      </c>
      <c r="T50" s="105">
        <f t="shared" si="77"/>
        <v>99667.33</v>
      </c>
      <c r="U50" s="105">
        <f t="shared" si="78"/>
        <v>74877.58</v>
      </c>
      <c r="V50" s="105">
        <f t="shared" si="79"/>
        <v>70024.66</v>
      </c>
      <c r="W50" s="61"/>
      <c r="X50" s="106">
        <v>150557.13</v>
      </c>
      <c r="Y50" s="106">
        <v>145716.49</v>
      </c>
      <c r="Z50" s="105">
        <f t="shared" si="27"/>
        <v>157031.08658999999</v>
      </c>
      <c r="AA50" s="105">
        <f t="shared" si="28"/>
        <v>151982.29906999998</v>
      </c>
      <c r="AB50" s="105">
        <f t="shared" si="29"/>
        <v>168623.98560000001</v>
      </c>
      <c r="AC50" s="105">
        <f t="shared" si="30"/>
        <v>163202.4688</v>
      </c>
      <c r="AD50" s="107">
        <v>110440.06</v>
      </c>
      <c r="AE50" s="107">
        <v>99667.33</v>
      </c>
      <c r="AF50" s="105">
        <f t="shared" si="31"/>
        <v>115188.98258</v>
      </c>
      <c r="AG50" s="105">
        <f t="shared" si="32"/>
        <v>103953.02519</v>
      </c>
      <c r="AH50" s="105">
        <f t="shared" si="33"/>
        <v>123692.86720000001</v>
      </c>
      <c r="AI50" s="105">
        <f t="shared" si="34"/>
        <v>111627.40960000001</v>
      </c>
      <c r="AJ50" s="106">
        <v>74877.58</v>
      </c>
      <c r="AK50" s="106">
        <v>70024.66</v>
      </c>
      <c r="AL50" s="105">
        <f t="shared" si="35"/>
        <v>78097.31594</v>
      </c>
      <c r="AM50" s="105">
        <f t="shared" si="36"/>
        <v>73035.720379999999</v>
      </c>
      <c r="AN50" s="105">
        <f t="shared" si="37"/>
        <v>83862.88960000001</v>
      </c>
      <c r="AO50" s="105">
        <f t="shared" si="38"/>
        <v>78427.619200000016</v>
      </c>
      <c r="AP50" s="61"/>
      <c r="AQ50" s="108">
        <v>47</v>
      </c>
      <c r="AR50" s="109">
        <f ca="1">+RESUMEN!F50</f>
        <v>0</v>
      </c>
      <c r="AS50" s="109">
        <f ca="1">+RESUMEN!G50</f>
        <v>0</v>
      </c>
      <c r="AT50" s="110">
        <f t="shared" ca="1" si="80"/>
        <v>0</v>
      </c>
      <c r="AU50" s="111">
        <f t="shared" si="39"/>
        <v>0</v>
      </c>
      <c r="AV50" s="111">
        <f t="shared" si="40"/>
        <v>0</v>
      </c>
      <c r="AW50" s="111">
        <f t="shared" si="41"/>
        <v>0</v>
      </c>
      <c r="AX50" s="111">
        <f t="shared" si="42"/>
        <v>0</v>
      </c>
      <c r="AY50" s="111">
        <f t="shared" ca="1" si="43"/>
        <v>0</v>
      </c>
      <c r="AZ50" s="110"/>
      <c r="BA50" s="111">
        <f t="shared" ca="1" si="81"/>
        <v>0</v>
      </c>
      <c r="BB50" s="111">
        <f t="shared" ca="1" si="82"/>
        <v>0</v>
      </c>
      <c r="BC50" s="112"/>
      <c r="BD50" s="113">
        <f t="shared" ca="1" si="44"/>
        <v>0</v>
      </c>
      <c r="BE50" s="113">
        <f t="shared" ca="1" si="102"/>
        <v>0</v>
      </c>
      <c r="BF50" s="114" t="str">
        <f t="shared" ca="1" si="83"/>
        <v/>
      </c>
      <c r="BG50" s="61"/>
      <c r="BH50" s="64">
        <f t="shared" ca="1" si="84"/>
        <v>0</v>
      </c>
      <c r="BI50" s="64">
        <f t="shared" ca="1" si="85"/>
        <v>0</v>
      </c>
      <c r="BJ50" s="112"/>
      <c r="BK50" s="115">
        <f t="shared" ca="1" si="46"/>
        <v>0</v>
      </c>
      <c r="BL50" s="115">
        <f t="shared" ca="1" si="104"/>
        <v>0</v>
      </c>
      <c r="BM50" s="116" t="str">
        <f t="shared" ca="1" si="86"/>
        <v/>
      </c>
      <c r="BN50" s="61"/>
      <c r="BO50" s="117">
        <f t="shared" ca="1" si="87"/>
        <v>0</v>
      </c>
      <c r="BP50" s="117">
        <f t="shared" ca="1" si="88"/>
        <v>0</v>
      </c>
      <c r="BQ50" s="112"/>
      <c r="BR50" s="118">
        <f t="shared" ca="1" si="48"/>
        <v>0</v>
      </c>
      <c r="BS50" s="118">
        <f t="shared" ca="1" si="103"/>
        <v>0</v>
      </c>
      <c r="BT50" s="119" t="str">
        <f t="shared" ca="1" si="89"/>
        <v/>
      </c>
      <c r="BU50" s="61"/>
      <c r="BV50" s="120">
        <f t="shared" ca="1" si="90"/>
        <v>0</v>
      </c>
      <c r="BW50" s="120">
        <f t="shared" ca="1" si="91"/>
        <v>0</v>
      </c>
      <c r="BX50" s="112"/>
      <c r="BY50" s="121">
        <f t="shared" ca="1" si="50"/>
        <v>0</v>
      </c>
      <c r="BZ50" s="121">
        <f t="shared" ca="1" si="105"/>
        <v>0</v>
      </c>
      <c r="CA50" s="122" t="str">
        <f t="shared" ca="1" si="92"/>
        <v/>
      </c>
      <c r="CB50" s="61"/>
      <c r="CC50" s="123">
        <f t="shared" ca="1" si="52"/>
        <v>0</v>
      </c>
      <c r="CD50" s="123">
        <f t="shared" ca="1" si="53"/>
        <v>0</v>
      </c>
      <c r="CE50" s="112"/>
      <c r="CF50" s="124">
        <f t="shared" ca="1" si="54"/>
        <v>0</v>
      </c>
      <c r="CG50" s="124">
        <f t="shared" ca="1" si="106"/>
        <v>0</v>
      </c>
      <c r="CH50" s="125" t="str">
        <f t="shared" ca="1" si="93"/>
        <v/>
      </c>
      <c r="CI50" s="61"/>
      <c r="CJ50" s="126">
        <f t="shared" ca="1" si="94"/>
        <v>0</v>
      </c>
      <c r="CK50" s="126">
        <f t="shared" ca="1" si="95"/>
        <v>0</v>
      </c>
      <c r="CL50" s="112"/>
      <c r="CM50" s="127">
        <f t="shared" ca="1" si="56"/>
        <v>0</v>
      </c>
      <c r="CN50" s="127">
        <f t="shared" ca="1" si="107"/>
        <v>0</v>
      </c>
      <c r="CO50" s="128" t="str">
        <f t="shared" ca="1" si="96"/>
        <v/>
      </c>
      <c r="CP50" s="61"/>
      <c r="CQ50" s="108">
        <v>47</v>
      </c>
      <c r="CR50" s="273">
        <v>0.18</v>
      </c>
      <c r="CS50" s="61">
        <f t="shared" si="58"/>
        <v>0</v>
      </c>
      <c r="CT50" s="278">
        <f t="shared" si="59"/>
        <v>0.18</v>
      </c>
      <c r="CU50" s="61">
        <f t="shared" si="60"/>
        <v>1</v>
      </c>
      <c r="CV50" s="287">
        <f t="shared" si="61"/>
        <v>1</v>
      </c>
      <c r="CW50" s="309">
        <f t="shared" si="97"/>
        <v>140.93</v>
      </c>
      <c r="CX50" s="309">
        <f t="shared" si="98"/>
        <v>69.12</v>
      </c>
      <c r="CY50" s="300">
        <f t="shared" si="99"/>
        <v>279.81</v>
      </c>
      <c r="CZ50" s="309">
        <f t="shared" si="100"/>
        <v>155.79</v>
      </c>
      <c r="DA50"/>
      <c r="DC50" s="544">
        <v>537.13</v>
      </c>
    </row>
    <row r="51" spans="1:107" ht="16" thickBot="1">
      <c r="A51" s="140">
        <v>15</v>
      </c>
      <c r="B51" s="141">
        <f ca="1">RESUMEN!J18</f>
        <v>0</v>
      </c>
      <c r="C51" s="141">
        <f ca="1">+RESUMEN!K18</f>
        <v>0</v>
      </c>
      <c r="D51" s="142">
        <f t="shared" ca="1" si="101"/>
        <v>0</v>
      </c>
      <c r="E51" s="133"/>
      <c r="F51" s="133"/>
      <c r="G51" s="133"/>
      <c r="H51" s="133"/>
      <c r="I51" s="133"/>
      <c r="J51" s="132">
        <v>48</v>
      </c>
      <c r="K51" s="36">
        <v>41395.22</v>
      </c>
      <c r="L51" s="36">
        <v>60057.82</v>
      </c>
      <c r="M51" s="36">
        <v>36744.71</v>
      </c>
      <c r="N51" s="36">
        <v>53310.68</v>
      </c>
      <c r="O51" s="36">
        <v>32534.38</v>
      </c>
      <c r="P51" s="36">
        <v>47202.17</v>
      </c>
      <c r="Q51" s="105">
        <f t="shared" si="74"/>
        <v>152701.35999999999</v>
      </c>
      <c r="R51" s="105">
        <f t="shared" si="75"/>
        <v>151472.29</v>
      </c>
      <c r="S51" s="105">
        <f t="shared" si="76"/>
        <v>114293.8</v>
      </c>
      <c r="T51" s="105">
        <f t="shared" si="77"/>
        <v>104124.03</v>
      </c>
      <c r="U51" s="105">
        <f t="shared" si="78"/>
        <v>79540.42</v>
      </c>
      <c r="V51" s="105">
        <f t="shared" si="79"/>
        <v>72214.84</v>
      </c>
      <c r="W51" s="61"/>
      <c r="X51" s="106">
        <v>152701.35999999999</v>
      </c>
      <c r="Y51" s="106">
        <v>151472.29</v>
      </c>
      <c r="Z51" s="105">
        <f t="shared" si="27"/>
        <v>159267.51847999997</v>
      </c>
      <c r="AA51" s="105">
        <f t="shared" si="28"/>
        <v>157985.59847</v>
      </c>
      <c r="AB51" s="105">
        <f t="shared" si="29"/>
        <v>171025.5232</v>
      </c>
      <c r="AC51" s="105">
        <f t="shared" si="30"/>
        <v>169648.96480000002</v>
      </c>
      <c r="AD51" s="107">
        <v>114293.8</v>
      </c>
      <c r="AE51" s="107">
        <v>104124.03</v>
      </c>
      <c r="AF51" s="105">
        <f t="shared" si="31"/>
        <v>119208.43339999999</v>
      </c>
      <c r="AG51" s="105">
        <f t="shared" si="32"/>
        <v>108601.36328999999</v>
      </c>
      <c r="AH51" s="105">
        <f t="shared" si="33"/>
        <v>128009.05600000001</v>
      </c>
      <c r="AI51" s="105">
        <f t="shared" si="34"/>
        <v>116618.91360000001</v>
      </c>
      <c r="AJ51" s="106">
        <v>79540.42</v>
      </c>
      <c r="AK51" s="106">
        <v>72214.84</v>
      </c>
      <c r="AL51" s="105">
        <f t="shared" si="35"/>
        <v>82960.658059999987</v>
      </c>
      <c r="AM51" s="105">
        <f t="shared" si="36"/>
        <v>75320.078119999991</v>
      </c>
      <c r="AN51" s="105">
        <f t="shared" si="37"/>
        <v>89085.270400000009</v>
      </c>
      <c r="AO51" s="105">
        <f t="shared" si="38"/>
        <v>80880.620800000004</v>
      </c>
      <c r="AP51" s="61"/>
      <c r="AQ51" s="108">
        <v>48</v>
      </c>
      <c r="AR51" s="109">
        <f ca="1">+RESUMEN!F51</f>
        <v>0</v>
      </c>
      <c r="AS51" s="109">
        <f ca="1">+RESUMEN!G51</f>
        <v>0</v>
      </c>
      <c r="AT51" s="110">
        <f t="shared" ca="1" si="80"/>
        <v>0</v>
      </c>
      <c r="AU51" s="111">
        <f t="shared" si="39"/>
        <v>0</v>
      </c>
      <c r="AV51" s="111">
        <f t="shared" si="40"/>
        <v>0</v>
      </c>
      <c r="AW51" s="111">
        <f t="shared" si="41"/>
        <v>0</v>
      </c>
      <c r="AX51" s="111">
        <f t="shared" si="42"/>
        <v>0</v>
      </c>
      <c r="AY51" s="111">
        <f t="shared" ca="1" si="43"/>
        <v>0</v>
      </c>
      <c r="AZ51" s="110"/>
      <c r="BA51" s="111">
        <f t="shared" ca="1" si="81"/>
        <v>0</v>
      </c>
      <c r="BB51" s="111">
        <f t="shared" ca="1" si="82"/>
        <v>0</v>
      </c>
      <c r="BC51" s="112"/>
      <c r="BD51" s="113">
        <f t="shared" ca="1" si="44"/>
        <v>0</v>
      </c>
      <c r="BE51" s="113">
        <f t="shared" ca="1" si="102"/>
        <v>0</v>
      </c>
      <c r="BF51" s="114" t="str">
        <f t="shared" ca="1" si="83"/>
        <v/>
      </c>
      <c r="BG51" s="61"/>
      <c r="BH51" s="64">
        <f t="shared" ca="1" si="84"/>
        <v>0</v>
      </c>
      <c r="BI51" s="64">
        <f t="shared" ca="1" si="85"/>
        <v>0</v>
      </c>
      <c r="BJ51" s="112"/>
      <c r="BK51" s="115">
        <f t="shared" ca="1" si="46"/>
        <v>0</v>
      </c>
      <c r="BL51" s="115">
        <f t="shared" ca="1" si="104"/>
        <v>0</v>
      </c>
      <c r="BM51" s="116" t="str">
        <f t="shared" ca="1" si="86"/>
        <v/>
      </c>
      <c r="BN51" s="61"/>
      <c r="BO51" s="117">
        <f t="shared" ca="1" si="87"/>
        <v>0</v>
      </c>
      <c r="BP51" s="117">
        <f t="shared" ca="1" si="88"/>
        <v>0</v>
      </c>
      <c r="BQ51" s="112"/>
      <c r="BR51" s="118">
        <f t="shared" ca="1" si="48"/>
        <v>0</v>
      </c>
      <c r="BS51" s="118">
        <f t="shared" ca="1" si="103"/>
        <v>0</v>
      </c>
      <c r="BT51" s="119" t="str">
        <f t="shared" ca="1" si="89"/>
        <v/>
      </c>
      <c r="BU51" s="61"/>
      <c r="BV51" s="120">
        <f t="shared" ca="1" si="90"/>
        <v>0</v>
      </c>
      <c r="BW51" s="120">
        <f t="shared" ca="1" si="91"/>
        <v>0</v>
      </c>
      <c r="BX51" s="112"/>
      <c r="BY51" s="121">
        <f t="shared" ca="1" si="50"/>
        <v>0</v>
      </c>
      <c r="BZ51" s="121">
        <f t="shared" ca="1" si="105"/>
        <v>0</v>
      </c>
      <c r="CA51" s="122" t="str">
        <f t="shared" ca="1" si="92"/>
        <v/>
      </c>
      <c r="CB51" s="61"/>
      <c r="CC51" s="123">
        <f t="shared" ca="1" si="52"/>
        <v>0</v>
      </c>
      <c r="CD51" s="123">
        <f t="shared" ca="1" si="53"/>
        <v>0</v>
      </c>
      <c r="CE51" s="112"/>
      <c r="CF51" s="124">
        <f t="shared" ca="1" si="54"/>
        <v>0</v>
      </c>
      <c r="CG51" s="124">
        <f t="shared" ca="1" si="106"/>
        <v>0</v>
      </c>
      <c r="CH51" s="125" t="str">
        <f t="shared" ca="1" si="93"/>
        <v/>
      </c>
      <c r="CI51" s="61"/>
      <c r="CJ51" s="126">
        <f t="shared" ca="1" si="94"/>
        <v>0</v>
      </c>
      <c r="CK51" s="126">
        <f t="shared" ca="1" si="95"/>
        <v>0</v>
      </c>
      <c r="CL51" s="112"/>
      <c r="CM51" s="127">
        <f t="shared" ca="1" si="56"/>
        <v>0</v>
      </c>
      <c r="CN51" s="127">
        <f t="shared" ca="1" si="107"/>
        <v>0</v>
      </c>
      <c r="CO51" s="128" t="str">
        <f t="shared" ca="1" si="96"/>
        <v/>
      </c>
      <c r="CP51" s="61"/>
      <c r="CQ51" s="108">
        <v>48</v>
      </c>
      <c r="CR51" s="273">
        <v>0.18</v>
      </c>
      <c r="CS51" s="61">
        <f t="shared" si="58"/>
        <v>0</v>
      </c>
      <c r="CT51" s="278">
        <f t="shared" si="59"/>
        <v>0.18</v>
      </c>
      <c r="CU51" s="61">
        <f t="shared" si="60"/>
        <v>1</v>
      </c>
      <c r="CV51" s="287">
        <f t="shared" si="61"/>
        <v>1</v>
      </c>
      <c r="CW51" s="309">
        <f t="shared" si="97"/>
        <v>140.93</v>
      </c>
      <c r="CX51" s="309">
        <f t="shared" si="98"/>
        <v>69.12</v>
      </c>
      <c r="CY51" s="300">
        <f t="shared" si="99"/>
        <v>279.81</v>
      </c>
      <c r="CZ51" s="309">
        <f t="shared" si="100"/>
        <v>155.79</v>
      </c>
      <c r="DA51"/>
      <c r="DC51" s="544">
        <v>537.13</v>
      </c>
    </row>
    <row r="52" spans="1:107" ht="16" thickBot="1">
      <c r="A52" s="140">
        <v>16</v>
      </c>
      <c r="B52" s="141">
        <f ca="1">RESUMEN!J19</f>
        <v>0</v>
      </c>
      <c r="C52" s="141">
        <f ca="1">+RESUMEN!K19</f>
        <v>0</v>
      </c>
      <c r="D52" s="142">
        <f t="shared" ca="1" si="101"/>
        <v>0</v>
      </c>
      <c r="E52" s="143" t="s">
        <v>39</v>
      </c>
      <c r="F52" s="135"/>
      <c r="G52" s="136"/>
      <c r="H52" s="133"/>
      <c r="I52" s="133"/>
      <c r="J52" s="132">
        <v>49</v>
      </c>
      <c r="K52" s="36">
        <v>43136.15</v>
      </c>
      <c r="L52" s="36">
        <v>61189.89</v>
      </c>
      <c r="M52" s="36">
        <v>38290.06</v>
      </c>
      <c r="N52" s="36">
        <v>54315.57</v>
      </c>
      <c r="O52" s="36">
        <v>33902.660000000003</v>
      </c>
      <c r="P52" s="36">
        <v>48091.91</v>
      </c>
      <c r="Q52" s="105">
        <f t="shared" si="74"/>
        <v>168428.27</v>
      </c>
      <c r="R52" s="105">
        <f t="shared" si="75"/>
        <v>157455.45000000001</v>
      </c>
      <c r="S52" s="105">
        <f t="shared" si="76"/>
        <v>120053.48</v>
      </c>
      <c r="T52" s="105">
        <f t="shared" si="77"/>
        <v>108913.46</v>
      </c>
      <c r="U52" s="105">
        <f t="shared" si="78"/>
        <v>83964.37</v>
      </c>
      <c r="V52" s="105">
        <f t="shared" si="79"/>
        <v>75955.23</v>
      </c>
      <c r="W52" s="61"/>
      <c r="X52" s="106">
        <v>168428.27</v>
      </c>
      <c r="Y52" s="106">
        <v>157455.45000000001</v>
      </c>
      <c r="Z52" s="105">
        <f t="shared" si="27"/>
        <v>175670.68560999999</v>
      </c>
      <c r="AA52" s="105">
        <f t="shared" si="28"/>
        <v>164226.03435</v>
      </c>
      <c r="AB52" s="105">
        <f t="shared" si="29"/>
        <v>188639.6624</v>
      </c>
      <c r="AC52" s="105">
        <f t="shared" si="30"/>
        <v>176350.10400000002</v>
      </c>
      <c r="AD52" s="107">
        <v>120053.48</v>
      </c>
      <c r="AE52" s="107">
        <v>108913.46</v>
      </c>
      <c r="AF52" s="105">
        <f t="shared" si="31"/>
        <v>125215.77963999999</v>
      </c>
      <c r="AG52" s="105">
        <f t="shared" si="32"/>
        <v>113596.73878</v>
      </c>
      <c r="AH52" s="105">
        <f t="shared" si="33"/>
        <v>134459.8976</v>
      </c>
      <c r="AI52" s="105">
        <f t="shared" si="34"/>
        <v>121983.07520000002</v>
      </c>
      <c r="AJ52" s="106">
        <v>83964.37</v>
      </c>
      <c r="AK52" s="106">
        <v>75955.23</v>
      </c>
      <c r="AL52" s="105">
        <f t="shared" si="35"/>
        <v>87574.837909999987</v>
      </c>
      <c r="AM52" s="105">
        <f t="shared" si="36"/>
        <v>79221.304889999985</v>
      </c>
      <c r="AN52" s="105">
        <f t="shared" si="37"/>
        <v>94040.094400000002</v>
      </c>
      <c r="AO52" s="105">
        <f t="shared" si="38"/>
        <v>85069.857600000003</v>
      </c>
      <c r="AP52" s="61"/>
      <c r="AQ52" s="108">
        <v>49</v>
      </c>
      <c r="AR52" s="109">
        <f ca="1">+RESUMEN!F52</f>
        <v>0</v>
      </c>
      <c r="AS52" s="109">
        <f ca="1">+RESUMEN!G52</f>
        <v>0</v>
      </c>
      <c r="AT52" s="110">
        <f t="shared" ca="1" si="80"/>
        <v>0</v>
      </c>
      <c r="AU52" s="111">
        <f t="shared" si="39"/>
        <v>0</v>
      </c>
      <c r="AV52" s="111">
        <f t="shared" si="40"/>
        <v>0</v>
      </c>
      <c r="AW52" s="111">
        <f t="shared" si="41"/>
        <v>0</v>
      </c>
      <c r="AX52" s="111">
        <f t="shared" si="42"/>
        <v>0</v>
      </c>
      <c r="AY52" s="111">
        <f t="shared" ca="1" si="43"/>
        <v>0</v>
      </c>
      <c r="AZ52" s="110"/>
      <c r="BA52" s="111">
        <f t="shared" ca="1" si="81"/>
        <v>0</v>
      </c>
      <c r="BB52" s="111">
        <f t="shared" ca="1" si="82"/>
        <v>0</v>
      </c>
      <c r="BC52" s="112"/>
      <c r="BD52" s="113">
        <f t="shared" ca="1" si="44"/>
        <v>0</v>
      </c>
      <c r="BE52" s="113">
        <f t="shared" ca="1" si="102"/>
        <v>0</v>
      </c>
      <c r="BF52" s="114" t="str">
        <f t="shared" ca="1" si="83"/>
        <v/>
      </c>
      <c r="BG52" s="61"/>
      <c r="BH52" s="64">
        <f t="shared" ca="1" si="84"/>
        <v>0</v>
      </c>
      <c r="BI52" s="64">
        <f t="shared" ca="1" si="85"/>
        <v>0</v>
      </c>
      <c r="BJ52" s="112"/>
      <c r="BK52" s="115">
        <f t="shared" ca="1" si="46"/>
        <v>0</v>
      </c>
      <c r="BL52" s="115">
        <f t="shared" ca="1" si="104"/>
        <v>0</v>
      </c>
      <c r="BM52" s="116" t="str">
        <f t="shared" ca="1" si="86"/>
        <v/>
      </c>
      <c r="BN52" s="61"/>
      <c r="BO52" s="117">
        <f t="shared" ca="1" si="87"/>
        <v>0</v>
      </c>
      <c r="BP52" s="117">
        <f t="shared" ca="1" si="88"/>
        <v>0</v>
      </c>
      <c r="BQ52" s="112"/>
      <c r="BR52" s="118">
        <f t="shared" ca="1" si="48"/>
        <v>0</v>
      </c>
      <c r="BS52" s="118">
        <f t="shared" ca="1" si="103"/>
        <v>0</v>
      </c>
      <c r="BT52" s="119" t="str">
        <f t="shared" ca="1" si="89"/>
        <v/>
      </c>
      <c r="BU52" s="61"/>
      <c r="BV52" s="120">
        <f t="shared" ca="1" si="90"/>
        <v>0</v>
      </c>
      <c r="BW52" s="120">
        <f t="shared" ca="1" si="91"/>
        <v>0</v>
      </c>
      <c r="BX52" s="112"/>
      <c r="BY52" s="121">
        <f t="shared" ca="1" si="50"/>
        <v>0</v>
      </c>
      <c r="BZ52" s="121">
        <f t="shared" ca="1" si="105"/>
        <v>0</v>
      </c>
      <c r="CA52" s="122" t="str">
        <f t="shared" ca="1" si="92"/>
        <v/>
      </c>
      <c r="CB52" s="61"/>
      <c r="CC52" s="123">
        <f t="shared" ca="1" si="52"/>
        <v>0</v>
      </c>
      <c r="CD52" s="123">
        <f t="shared" ca="1" si="53"/>
        <v>0</v>
      </c>
      <c r="CE52" s="112"/>
      <c r="CF52" s="124">
        <f t="shared" ca="1" si="54"/>
        <v>0</v>
      </c>
      <c r="CG52" s="124">
        <f t="shared" ca="1" si="106"/>
        <v>0</v>
      </c>
      <c r="CH52" s="125" t="str">
        <f t="shared" ca="1" si="93"/>
        <v/>
      </c>
      <c r="CI52" s="61"/>
      <c r="CJ52" s="126">
        <f t="shared" ca="1" si="94"/>
        <v>0</v>
      </c>
      <c r="CK52" s="126">
        <f t="shared" ca="1" si="95"/>
        <v>0</v>
      </c>
      <c r="CL52" s="112"/>
      <c r="CM52" s="127">
        <f t="shared" ca="1" si="56"/>
        <v>0</v>
      </c>
      <c r="CN52" s="127">
        <f t="shared" ca="1" si="107"/>
        <v>0</v>
      </c>
      <c r="CO52" s="128" t="str">
        <f t="shared" ca="1" si="96"/>
        <v/>
      </c>
      <c r="CP52" s="61"/>
      <c r="CQ52" s="325">
        <v>49</v>
      </c>
      <c r="CR52" s="326">
        <v>0.18</v>
      </c>
      <c r="CS52" s="61">
        <f t="shared" si="58"/>
        <v>0</v>
      </c>
      <c r="CT52" s="278">
        <f t="shared" si="59"/>
        <v>0.18</v>
      </c>
      <c r="CU52" s="61">
        <f t="shared" si="60"/>
        <v>1</v>
      </c>
      <c r="CV52" s="287">
        <f t="shared" si="61"/>
        <v>1</v>
      </c>
      <c r="CW52" s="309">
        <f t="shared" si="97"/>
        <v>140.93</v>
      </c>
      <c r="CX52" s="309">
        <f t="shared" si="98"/>
        <v>69.12</v>
      </c>
      <c r="CY52" s="300">
        <f t="shared" si="99"/>
        <v>279.81</v>
      </c>
      <c r="CZ52" s="309">
        <f t="shared" si="100"/>
        <v>155.79</v>
      </c>
      <c r="DA52"/>
      <c r="DC52" s="544">
        <v>537.13</v>
      </c>
    </row>
    <row r="53" spans="1:107">
      <c r="A53" s="140">
        <v>17</v>
      </c>
      <c r="B53" s="141">
        <f ca="1">RESUMEN!J20</f>
        <v>0</v>
      </c>
      <c r="C53" s="141">
        <f ca="1">+RESUMEN!K20</f>
        <v>0</v>
      </c>
      <c r="D53" s="142">
        <f t="shared" ca="1" si="101"/>
        <v>0</v>
      </c>
      <c r="E53" s="144" t="s">
        <v>37</v>
      </c>
      <c r="F53" s="138" t="s">
        <v>38</v>
      </c>
      <c r="G53" s="139" t="s">
        <v>36</v>
      </c>
      <c r="H53" s="133"/>
      <c r="I53" s="288"/>
      <c r="J53" s="132">
        <v>50</v>
      </c>
      <c r="K53" s="36">
        <v>43062.33</v>
      </c>
      <c r="L53" s="36">
        <v>60241.81</v>
      </c>
      <c r="M53" s="36">
        <v>38224.53</v>
      </c>
      <c r="N53" s="36">
        <v>53474.01</v>
      </c>
      <c r="O53" s="36">
        <v>33844.639999999999</v>
      </c>
      <c r="P53" s="36">
        <v>47346.78</v>
      </c>
      <c r="Q53" s="105">
        <f t="shared" si="74"/>
        <v>170827.01</v>
      </c>
      <c r="R53" s="105">
        <f t="shared" si="75"/>
        <v>163674.94</v>
      </c>
      <c r="S53" s="105">
        <f t="shared" si="76"/>
        <v>137630.70000000001</v>
      </c>
      <c r="T53" s="105">
        <f t="shared" si="77"/>
        <v>114251</v>
      </c>
      <c r="U53" s="105">
        <f t="shared" si="78"/>
        <v>89007.360000000001</v>
      </c>
      <c r="V53" s="105">
        <f t="shared" si="79"/>
        <v>79967.649999999994</v>
      </c>
      <c r="W53" s="61"/>
      <c r="X53" s="106">
        <v>170827.01</v>
      </c>
      <c r="Y53" s="106">
        <v>163674.94</v>
      </c>
      <c r="Z53" s="105">
        <f t="shared" si="27"/>
        <v>178172.57143000001</v>
      </c>
      <c r="AA53" s="105">
        <f t="shared" si="28"/>
        <v>170712.96242</v>
      </c>
      <c r="AB53" s="105">
        <f t="shared" si="29"/>
        <v>191326.25120000003</v>
      </c>
      <c r="AC53" s="105">
        <f t="shared" si="30"/>
        <v>183315.93280000001</v>
      </c>
      <c r="AD53" s="107">
        <v>137630.70000000001</v>
      </c>
      <c r="AE53" s="107">
        <v>114251</v>
      </c>
      <c r="AF53" s="105">
        <f t="shared" si="31"/>
        <v>143548.82010000001</v>
      </c>
      <c r="AG53" s="105">
        <f t="shared" si="32"/>
        <v>119163.79299999999</v>
      </c>
      <c r="AH53" s="105">
        <f t="shared" si="33"/>
        <v>154146.38400000002</v>
      </c>
      <c r="AI53" s="105">
        <f t="shared" si="34"/>
        <v>127961.12000000001</v>
      </c>
      <c r="AJ53" s="106">
        <v>89007.360000000001</v>
      </c>
      <c r="AK53" s="106">
        <v>79967.649999999994</v>
      </c>
      <c r="AL53" s="105">
        <f t="shared" si="35"/>
        <v>92834.676479999995</v>
      </c>
      <c r="AM53" s="105">
        <f t="shared" si="36"/>
        <v>83406.258949999989</v>
      </c>
      <c r="AN53" s="105">
        <f t="shared" si="37"/>
        <v>99688.243200000012</v>
      </c>
      <c r="AO53" s="105">
        <f t="shared" si="38"/>
        <v>89563.767999999996</v>
      </c>
      <c r="AP53" s="61"/>
      <c r="AQ53" s="108">
        <v>50</v>
      </c>
      <c r="AR53" s="109">
        <f ca="1">+RESUMEN!F53</f>
        <v>0</v>
      </c>
      <c r="AS53" s="109">
        <f ca="1">+RESUMEN!G53</f>
        <v>0</v>
      </c>
      <c r="AT53" s="110">
        <f t="shared" ca="1" si="80"/>
        <v>0</v>
      </c>
      <c r="AU53" s="111">
        <f t="shared" si="39"/>
        <v>0</v>
      </c>
      <c r="AV53" s="111">
        <f t="shared" si="40"/>
        <v>0</v>
      </c>
      <c r="AW53" s="111">
        <f t="shared" si="41"/>
        <v>0</v>
      </c>
      <c r="AX53" s="111">
        <f t="shared" si="42"/>
        <v>0</v>
      </c>
      <c r="AY53" s="111">
        <f t="shared" ca="1" si="43"/>
        <v>0</v>
      </c>
      <c r="AZ53" s="110"/>
      <c r="BA53" s="111">
        <f t="shared" ca="1" si="81"/>
        <v>0</v>
      </c>
      <c r="BB53" s="111">
        <f t="shared" ca="1" si="82"/>
        <v>0</v>
      </c>
      <c r="BC53" s="112"/>
      <c r="BD53" s="113">
        <f t="shared" ca="1" si="44"/>
        <v>0</v>
      </c>
      <c r="BE53" s="113">
        <f t="shared" ca="1" si="102"/>
        <v>0</v>
      </c>
      <c r="BF53" s="114" t="str">
        <f t="shared" ca="1" si="83"/>
        <v/>
      </c>
      <c r="BG53" s="61"/>
      <c r="BH53" s="64">
        <f t="shared" ca="1" si="84"/>
        <v>0</v>
      </c>
      <c r="BI53" s="64">
        <f t="shared" ca="1" si="85"/>
        <v>0</v>
      </c>
      <c r="BJ53" s="112"/>
      <c r="BK53" s="115">
        <f t="shared" ca="1" si="46"/>
        <v>0</v>
      </c>
      <c r="BL53" s="115">
        <f t="shared" ca="1" si="104"/>
        <v>0</v>
      </c>
      <c r="BM53" s="116" t="str">
        <f t="shared" ca="1" si="86"/>
        <v/>
      </c>
      <c r="BN53" s="61"/>
      <c r="BO53" s="117">
        <f t="shared" ca="1" si="87"/>
        <v>0</v>
      </c>
      <c r="BP53" s="117">
        <f t="shared" ca="1" si="88"/>
        <v>0</v>
      </c>
      <c r="BQ53" s="112"/>
      <c r="BR53" s="118">
        <f t="shared" ca="1" si="48"/>
        <v>0</v>
      </c>
      <c r="BS53" s="118">
        <f t="shared" ca="1" si="103"/>
        <v>0</v>
      </c>
      <c r="BT53" s="119" t="str">
        <f t="shared" ca="1" si="89"/>
        <v/>
      </c>
      <c r="BU53" s="170"/>
      <c r="BV53" s="120">
        <f t="shared" ca="1" si="90"/>
        <v>0</v>
      </c>
      <c r="BW53" s="120">
        <f t="shared" ca="1" si="91"/>
        <v>0</v>
      </c>
      <c r="BX53" s="112"/>
      <c r="BY53" s="121">
        <f t="shared" ca="1" si="50"/>
        <v>0</v>
      </c>
      <c r="BZ53" s="121">
        <f t="shared" ca="1" si="105"/>
        <v>0</v>
      </c>
      <c r="CA53" s="122" t="str">
        <f t="shared" ca="1" si="92"/>
        <v/>
      </c>
      <c r="CB53" s="61"/>
      <c r="CC53" s="123">
        <f t="shared" ca="1" si="52"/>
        <v>0</v>
      </c>
      <c r="CD53" s="123">
        <f t="shared" ca="1" si="53"/>
        <v>0</v>
      </c>
      <c r="CE53" s="112"/>
      <c r="CF53" s="124">
        <f t="shared" ca="1" si="54"/>
        <v>0</v>
      </c>
      <c r="CG53" s="124">
        <f t="shared" ca="1" si="106"/>
        <v>0</v>
      </c>
      <c r="CH53" s="125" t="str">
        <f t="shared" ca="1" si="93"/>
        <v/>
      </c>
      <c r="CI53" s="61"/>
      <c r="CJ53" s="126">
        <f t="shared" ca="1" si="94"/>
        <v>0</v>
      </c>
      <c r="CK53" s="126">
        <f t="shared" ca="1" si="95"/>
        <v>0</v>
      </c>
      <c r="CL53" s="112"/>
      <c r="CM53" s="127">
        <f t="shared" ca="1" si="56"/>
        <v>0</v>
      </c>
      <c r="CN53" s="127">
        <f t="shared" ca="1" si="107"/>
        <v>0</v>
      </c>
      <c r="CO53" s="128" t="str">
        <f t="shared" ca="1" si="96"/>
        <v/>
      </c>
      <c r="CP53" s="61"/>
      <c r="CQ53" s="84">
        <v>50</v>
      </c>
      <c r="CR53" s="327">
        <v>0.15</v>
      </c>
      <c r="CS53" s="328">
        <f t="shared" si="58"/>
        <v>0</v>
      </c>
      <c r="CT53" s="329">
        <f t="shared" si="59"/>
        <v>0.15</v>
      </c>
      <c r="CU53" s="328">
        <f t="shared" si="60"/>
        <v>1</v>
      </c>
      <c r="CV53" s="330">
        <f t="shared" si="61"/>
        <v>1</v>
      </c>
      <c r="CW53" s="309">
        <f t="shared" ref="CW53:CW62" si="108">+IF(p=1,IF(g=1,134.47,133.45),146.8)</f>
        <v>134.47</v>
      </c>
      <c r="CX53" s="309">
        <f t="shared" ref="CX53:CX62" si="109">+IF(p=1,IF(g=1,65.95,65.45),72)</f>
        <v>65.95</v>
      </c>
      <c r="CY53" s="300">
        <f t="shared" ref="CY53:CY62" si="110">+IF(p=1,IF(g=1,266.99,264.24),291.47)</f>
        <v>266.99</v>
      </c>
      <c r="CZ53" s="309">
        <f t="shared" ref="CZ53:CZ62" si="111">+IF(p=1,148.43,0)</f>
        <v>148.43</v>
      </c>
      <c r="DA53" s="338"/>
      <c r="DC53" s="544">
        <v>510.27000000000004</v>
      </c>
    </row>
    <row r="54" spans="1:107">
      <c r="A54" s="140">
        <v>18</v>
      </c>
      <c r="B54" s="141">
        <f ca="1">RESUMEN!J21</f>
        <v>0</v>
      </c>
      <c r="C54" s="141">
        <f ca="1">+RESUMEN!K21</f>
        <v>0</v>
      </c>
      <c r="D54" s="142">
        <f t="shared" ca="1" si="101"/>
        <v>0</v>
      </c>
      <c r="E54" s="145">
        <f ca="1">+RESUMEN!T3</f>
        <v>0</v>
      </c>
      <c r="F54" s="141">
        <f ca="1">RESUMEN!P3</f>
        <v>0</v>
      </c>
      <c r="G54" s="142">
        <f t="shared" ref="G54:G80" ca="1" si="112">E54+F54</f>
        <v>0</v>
      </c>
      <c r="H54" s="133"/>
      <c r="I54" s="288"/>
      <c r="J54" s="132">
        <v>51</v>
      </c>
      <c r="K54" s="36">
        <v>45704.85</v>
      </c>
      <c r="L54" s="36">
        <v>60900.160000000003</v>
      </c>
      <c r="M54" s="36">
        <v>40570.19</v>
      </c>
      <c r="N54" s="36">
        <v>54058.39</v>
      </c>
      <c r="O54" s="36">
        <v>35921.519999999997</v>
      </c>
      <c r="P54" s="36">
        <v>47864.2</v>
      </c>
      <c r="Q54" s="105">
        <f t="shared" si="74"/>
        <v>180083.5</v>
      </c>
      <c r="R54" s="105">
        <f t="shared" si="75"/>
        <v>173099.05</v>
      </c>
      <c r="S54" s="105">
        <f t="shared" si="76"/>
        <v>143822.66</v>
      </c>
      <c r="T54" s="105">
        <f t="shared" si="77"/>
        <v>120430.84</v>
      </c>
      <c r="U54" s="105">
        <f t="shared" si="78"/>
        <v>93147.27</v>
      </c>
      <c r="V54" s="105">
        <f t="shared" si="79"/>
        <v>84344.51</v>
      </c>
      <c r="W54" s="61"/>
      <c r="X54" s="106">
        <v>180083.5</v>
      </c>
      <c r="Y54" s="106">
        <v>173099.05</v>
      </c>
      <c r="Z54" s="105">
        <f t="shared" si="27"/>
        <v>187827.09049999999</v>
      </c>
      <c r="AA54" s="105">
        <f t="shared" si="28"/>
        <v>180542.30914999999</v>
      </c>
      <c r="AB54" s="105">
        <f t="shared" si="29"/>
        <v>201693.52000000002</v>
      </c>
      <c r="AC54" s="105">
        <f t="shared" si="30"/>
        <v>193870.93600000002</v>
      </c>
      <c r="AD54" s="107">
        <v>143822.66</v>
      </c>
      <c r="AE54" s="107">
        <v>120430.84</v>
      </c>
      <c r="AF54" s="105">
        <f t="shared" si="31"/>
        <v>150007.03438</v>
      </c>
      <c r="AG54" s="105">
        <f t="shared" si="32"/>
        <v>125609.36611999999</v>
      </c>
      <c r="AH54" s="105">
        <f t="shared" si="33"/>
        <v>161081.37920000002</v>
      </c>
      <c r="AI54" s="105">
        <f t="shared" si="34"/>
        <v>134882.54080000002</v>
      </c>
      <c r="AJ54" s="106">
        <v>93147.27</v>
      </c>
      <c r="AK54" s="106">
        <v>84344.51</v>
      </c>
      <c r="AL54" s="105">
        <f t="shared" si="35"/>
        <v>97152.602610000002</v>
      </c>
      <c r="AM54" s="105">
        <f t="shared" si="36"/>
        <v>87971.323929999984</v>
      </c>
      <c r="AN54" s="105">
        <f t="shared" si="37"/>
        <v>104324.94240000001</v>
      </c>
      <c r="AO54" s="105">
        <f t="shared" si="38"/>
        <v>94465.851200000005</v>
      </c>
      <c r="AP54" s="61"/>
      <c r="AQ54" s="108">
        <v>51</v>
      </c>
      <c r="AR54" s="109">
        <f ca="1">+RESUMEN!F54</f>
        <v>0</v>
      </c>
      <c r="AS54" s="109">
        <f ca="1">+RESUMEN!G54</f>
        <v>0</v>
      </c>
      <c r="AT54" s="110">
        <f t="shared" ca="1" si="80"/>
        <v>0</v>
      </c>
      <c r="AU54" s="111">
        <f t="shared" si="39"/>
        <v>0</v>
      </c>
      <c r="AV54" s="111">
        <f t="shared" si="40"/>
        <v>0</v>
      </c>
      <c r="AW54" s="111">
        <f t="shared" si="41"/>
        <v>0</v>
      </c>
      <c r="AX54" s="111">
        <f t="shared" si="42"/>
        <v>0</v>
      </c>
      <c r="AY54" s="111">
        <f t="shared" ca="1" si="43"/>
        <v>0</v>
      </c>
      <c r="AZ54" s="110"/>
      <c r="BA54" s="111">
        <f t="shared" ca="1" si="81"/>
        <v>0</v>
      </c>
      <c r="BB54" s="111">
        <f t="shared" ca="1" si="82"/>
        <v>0</v>
      </c>
      <c r="BC54" s="112"/>
      <c r="BD54" s="113">
        <f t="shared" ca="1" si="44"/>
        <v>0</v>
      </c>
      <c r="BE54" s="113">
        <f t="shared" ca="1" si="102"/>
        <v>0</v>
      </c>
      <c r="BF54" s="114" t="str">
        <f t="shared" ca="1" si="83"/>
        <v/>
      </c>
      <c r="BG54" s="61"/>
      <c r="BH54" s="64">
        <f t="shared" ca="1" si="84"/>
        <v>0</v>
      </c>
      <c r="BI54" s="64">
        <f t="shared" ca="1" si="85"/>
        <v>0</v>
      </c>
      <c r="BJ54" s="112"/>
      <c r="BK54" s="115">
        <f t="shared" ca="1" si="46"/>
        <v>0</v>
      </c>
      <c r="BL54" s="115">
        <f t="shared" ca="1" si="104"/>
        <v>0</v>
      </c>
      <c r="BM54" s="116" t="str">
        <f t="shared" ca="1" si="86"/>
        <v/>
      </c>
      <c r="BN54" s="61"/>
      <c r="BO54" s="117">
        <f t="shared" ca="1" si="87"/>
        <v>0</v>
      </c>
      <c r="BP54" s="117">
        <f t="shared" ca="1" si="88"/>
        <v>0</v>
      </c>
      <c r="BQ54" s="112"/>
      <c r="BR54" s="118">
        <f t="shared" ca="1" si="48"/>
        <v>0</v>
      </c>
      <c r="BS54" s="118">
        <f t="shared" ca="1" si="103"/>
        <v>0</v>
      </c>
      <c r="BT54" s="119" t="str">
        <f t="shared" ca="1" si="89"/>
        <v/>
      </c>
      <c r="BU54" s="61"/>
      <c r="BV54" s="120">
        <f t="shared" ca="1" si="90"/>
        <v>0</v>
      </c>
      <c r="BW54" s="120">
        <f t="shared" ca="1" si="91"/>
        <v>0</v>
      </c>
      <c r="BX54" s="112"/>
      <c r="BY54" s="121">
        <f t="shared" ca="1" si="50"/>
        <v>0</v>
      </c>
      <c r="BZ54" s="121">
        <f t="shared" ca="1" si="105"/>
        <v>0</v>
      </c>
      <c r="CA54" s="122" t="str">
        <f t="shared" ca="1" si="92"/>
        <v/>
      </c>
      <c r="CB54" s="61"/>
      <c r="CC54" s="123">
        <f t="shared" ca="1" si="52"/>
        <v>0</v>
      </c>
      <c r="CD54" s="123">
        <f t="shared" ca="1" si="53"/>
        <v>0</v>
      </c>
      <c r="CE54" s="112"/>
      <c r="CF54" s="124">
        <f t="shared" ca="1" si="54"/>
        <v>0</v>
      </c>
      <c r="CG54" s="124">
        <f t="shared" ca="1" si="106"/>
        <v>0</v>
      </c>
      <c r="CH54" s="125" t="str">
        <f t="shared" ca="1" si="93"/>
        <v/>
      </c>
      <c r="CI54" s="61"/>
      <c r="CJ54" s="126">
        <f t="shared" ca="1" si="94"/>
        <v>0</v>
      </c>
      <c r="CK54" s="126">
        <f t="shared" ca="1" si="95"/>
        <v>0</v>
      </c>
      <c r="CL54" s="112"/>
      <c r="CM54" s="127">
        <f t="shared" ca="1" si="56"/>
        <v>0</v>
      </c>
      <c r="CN54" s="127">
        <f t="shared" ca="1" si="107"/>
        <v>0</v>
      </c>
      <c r="CO54" s="128" t="str">
        <f t="shared" ca="1" si="96"/>
        <v/>
      </c>
      <c r="CP54" s="61"/>
      <c r="CQ54" s="108">
        <v>51</v>
      </c>
      <c r="CR54" s="273">
        <v>0.15</v>
      </c>
      <c r="CS54" s="61">
        <f t="shared" si="58"/>
        <v>0</v>
      </c>
      <c r="CT54" s="278">
        <f t="shared" si="59"/>
        <v>0.15</v>
      </c>
      <c r="CU54" s="61">
        <f t="shared" si="60"/>
        <v>1</v>
      </c>
      <c r="CV54" s="287">
        <f t="shared" si="61"/>
        <v>1</v>
      </c>
      <c r="CW54" s="309">
        <f t="shared" si="108"/>
        <v>134.47</v>
      </c>
      <c r="CX54" s="309">
        <f t="shared" si="109"/>
        <v>65.95</v>
      </c>
      <c r="CY54" s="300">
        <f t="shared" si="110"/>
        <v>266.99</v>
      </c>
      <c r="CZ54" s="309">
        <f t="shared" si="111"/>
        <v>148.43</v>
      </c>
      <c r="DA54" s="338"/>
      <c r="DC54" s="544">
        <v>510.27000000000004</v>
      </c>
    </row>
    <row r="55" spans="1:107">
      <c r="A55" s="140">
        <v>19</v>
      </c>
      <c r="B55" s="141">
        <f ca="1">RESUMEN!J22</f>
        <v>0</v>
      </c>
      <c r="C55" s="141">
        <f ca="1">+RESUMEN!K22</f>
        <v>0</v>
      </c>
      <c r="D55" s="142">
        <f t="shared" ca="1" si="101"/>
        <v>0</v>
      </c>
      <c r="E55" s="145">
        <f ca="1">+RESUMEN!T4</f>
        <v>0</v>
      </c>
      <c r="F55" s="141">
        <f ca="1">RESUMEN!P4</f>
        <v>0</v>
      </c>
      <c r="G55" s="142">
        <f t="shared" ca="1" si="112"/>
        <v>0</v>
      </c>
      <c r="H55" s="133"/>
      <c r="I55" s="288"/>
      <c r="J55" s="132">
        <v>52</v>
      </c>
      <c r="K55" s="36">
        <v>47959.68</v>
      </c>
      <c r="L55" s="36">
        <v>62919.56</v>
      </c>
      <c r="M55" s="36">
        <v>42571.7</v>
      </c>
      <c r="N55" s="36">
        <v>55850.93</v>
      </c>
      <c r="O55" s="36">
        <v>37693.69</v>
      </c>
      <c r="P55" s="36">
        <v>49451.34</v>
      </c>
      <c r="Q55" s="105">
        <f t="shared" si="74"/>
        <v>182648.24</v>
      </c>
      <c r="R55" s="105">
        <f t="shared" si="75"/>
        <v>180076.28</v>
      </c>
      <c r="S55" s="105">
        <f t="shared" si="76"/>
        <v>148599.74</v>
      </c>
      <c r="T55" s="105">
        <f t="shared" si="77"/>
        <v>127192.08</v>
      </c>
      <c r="U55" s="105">
        <f t="shared" si="78"/>
        <v>97397.35</v>
      </c>
      <c r="V55" s="105">
        <f t="shared" si="79"/>
        <v>89390.99</v>
      </c>
      <c r="W55" s="61"/>
      <c r="X55" s="106">
        <v>182648.24</v>
      </c>
      <c r="Y55" s="106">
        <v>180076.28</v>
      </c>
      <c r="Z55" s="105">
        <f t="shared" si="27"/>
        <v>190502.11431999996</v>
      </c>
      <c r="AA55" s="105">
        <f t="shared" si="28"/>
        <v>187819.56003999998</v>
      </c>
      <c r="AB55" s="105">
        <f t="shared" si="29"/>
        <v>204566.0288</v>
      </c>
      <c r="AC55" s="105">
        <f t="shared" si="30"/>
        <v>201685.43360000002</v>
      </c>
      <c r="AD55" s="107">
        <v>148599.74</v>
      </c>
      <c r="AE55" s="107">
        <v>127192.08</v>
      </c>
      <c r="AF55" s="105">
        <f t="shared" si="31"/>
        <v>154989.52881999998</v>
      </c>
      <c r="AG55" s="105">
        <f t="shared" si="32"/>
        <v>132661.33943999998</v>
      </c>
      <c r="AH55" s="105">
        <f t="shared" si="33"/>
        <v>166431.70879999999</v>
      </c>
      <c r="AI55" s="105">
        <f t="shared" si="34"/>
        <v>142455.12960000001</v>
      </c>
      <c r="AJ55" s="106">
        <v>97397.35</v>
      </c>
      <c r="AK55" s="106">
        <v>89390.99</v>
      </c>
      <c r="AL55" s="105">
        <f t="shared" si="35"/>
        <v>101585.43605</v>
      </c>
      <c r="AM55" s="105">
        <f t="shared" si="36"/>
        <v>93234.80257</v>
      </c>
      <c r="AN55" s="105">
        <f t="shared" si="37"/>
        <v>109085.03200000002</v>
      </c>
      <c r="AO55" s="105">
        <f t="shared" si="38"/>
        <v>100117.90880000002</v>
      </c>
      <c r="AP55" s="61"/>
      <c r="AQ55" s="108">
        <v>52</v>
      </c>
      <c r="AR55" s="109">
        <f ca="1">+RESUMEN!F55</f>
        <v>0</v>
      </c>
      <c r="AS55" s="109">
        <f ca="1">+RESUMEN!G55</f>
        <v>0</v>
      </c>
      <c r="AT55" s="110">
        <f t="shared" ca="1" si="80"/>
        <v>0</v>
      </c>
      <c r="AU55" s="111">
        <f t="shared" si="39"/>
        <v>0</v>
      </c>
      <c r="AV55" s="111">
        <f t="shared" si="40"/>
        <v>0</v>
      </c>
      <c r="AW55" s="111">
        <f t="shared" si="41"/>
        <v>0</v>
      </c>
      <c r="AX55" s="111">
        <f t="shared" si="42"/>
        <v>0</v>
      </c>
      <c r="AY55" s="111">
        <f t="shared" ca="1" si="43"/>
        <v>0</v>
      </c>
      <c r="AZ55" s="110"/>
      <c r="BA55" s="111">
        <f t="shared" ca="1" si="81"/>
        <v>0</v>
      </c>
      <c r="BB55" s="111">
        <f t="shared" ca="1" si="82"/>
        <v>0</v>
      </c>
      <c r="BC55" s="112"/>
      <c r="BD55" s="113">
        <f t="shared" ca="1" si="44"/>
        <v>0</v>
      </c>
      <c r="BE55" s="113">
        <f t="shared" ca="1" si="102"/>
        <v>0</v>
      </c>
      <c r="BF55" s="114" t="str">
        <f t="shared" ca="1" si="83"/>
        <v/>
      </c>
      <c r="BG55" s="61"/>
      <c r="BH55" s="64">
        <f t="shared" ca="1" si="84"/>
        <v>0</v>
      </c>
      <c r="BI55" s="64">
        <f t="shared" ca="1" si="85"/>
        <v>0</v>
      </c>
      <c r="BJ55" s="112"/>
      <c r="BK55" s="115">
        <f t="shared" ca="1" si="46"/>
        <v>0</v>
      </c>
      <c r="BL55" s="115">
        <f t="shared" ca="1" si="104"/>
        <v>0</v>
      </c>
      <c r="BM55" s="116" t="str">
        <f t="shared" ca="1" si="86"/>
        <v/>
      </c>
      <c r="BN55" s="61"/>
      <c r="BO55" s="117">
        <f t="shared" ca="1" si="87"/>
        <v>0</v>
      </c>
      <c r="BP55" s="117">
        <f t="shared" ca="1" si="88"/>
        <v>0</v>
      </c>
      <c r="BQ55" s="112"/>
      <c r="BR55" s="118">
        <f t="shared" ca="1" si="48"/>
        <v>0</v>
      </c>
      <c r="BS55" s="118">
        <f t="shared" ca="1" si="103"/>
        <v>0</v>
      </c>
      <c r="BT55" s="119" t="str">
        <f t="shared" ca="1" si="89"/>
        <v/>
      </c>
      <c r="BU55" s="61"/>
      <c r="BV55" s="120">
        <f t="shared" ca="1" si="90"/>
        <v>0</v>
      </c>
      <c r="BW55" s="120">
        <f t="shared" ca="1" si="91"/>
        <v>0</v>
      </c>
      <c r="BX55" s="112"/>
      <c r="BY55" s="121">
        <f t="shared" ca="1" si="50"/>
        <v>0</v>
      </c>
      <c r="BZ55" s="121">
        <f t="shared" ca="1" si="105"/>
        <v>0</v>
      </c>
      <c r="CA55" s="122" t="str">
        <f t="shared" ca="1" si="92"/>
        <v/>
      </c>
      <c r="CB55" s="61"/>
      <c r="CC55" s="123">
        <f t="shared" ca="1" si="52"/>
        <v>0</v>
      </c>
      <c r="CD55" s="123">
        <f t="shared" ca="1" si="53"/>
        <v>0</v>
      </c>
      <c r="CE55" s="112"/>
      <c r="CF55" s="124">
        <f t="shared" ca="1" si="54"/>
        <v>0</v>
      </c>
      <c r="CG55" s="124">
        <f t="shared" ca="1" si="106"/>
        <v>0</v>
      </c>
      <c r="CH55" s="125" t="str">
        <f t="shared" ca="1" si="93"/>
        <v/>
      </c>
      <c r="CI55" s="61"/>
      <c r="CJ55" s="126">
        <f t="shared" ca="1" si="94"/>
        <v>0</v>
      </c>
      <c r="CK55" s="126">
        <f t="shared" ca="1" si="95"/>
        <v>0</v>
      </c>
      <c r="CL55" s="112"/>
      <c r="CM55" s="127">
        <f t="shared" ca="1" si="56"/>
        <v>0</v>
      </c>
      <c r="CN55" s="127">
        <f t="shared" ca="1" si="107"/>
        <v>0</v>
      </c>
      <c r="CO55" s="128" t="str">
        <f t="shared" ca="1" si="96"/>
        <v/>
      </c>
      <c r="CP55" s="61"/>
      <c r="CQ55" s="108">
        <v>52</v>
      </c>
      <c r="CR55" s="273">
        <v>0.15</v>
      </c>
      <c r="CS55" s="61">
        <f t="shared" si="58"/>
        <v>0</v>
      </c>
      <c r="CT55" s="278">
        <f t="shared" si="59"/>
        <v>0.15</v>
      </c>
      <c r="CU55" s="61">
        <f t="shared" si="60"/>
        <v>1</v>
      </c>
      <c r="CV55" s="287">
        <f t="shared" si="61"/>
        <v>1</v>
      </c>
      <c r="CW55" s="309">
        <f t="shared" si="108"/>
        <v>134.47</v>
      </c>
      <c r="CX55" s="309">
        <f t="shared" si="109"/>
        <v>65.95</v>
      </c>
      <c r="CY55" s="300">
        <f t="shared" si="110"/>
        <v>266.99</v>
      </c>
      <c r="CZ55" s="309">
        <f t="shared" si="111"/>
        <v>148.43</v>
      </c>
      <c r="DA55" s="338"/>
      <c r="DC55" s="544">
        <v>510.27000000000004</v>
      </c>
    </row>
    <row r="56" spans="1:107">
      <c r="A56" s="146">
        <v>20</v>
      </c>
      <c r="B56" s="141">
        <f ca="1">RESUMEN!J23</f>
        <v>0</v>
      </c>
      <c r="C56" s="141">
        <f ca="1">+RESUMEN!K23</f>
        <v>0</v>
      </c>
      <c r="D56" s="142">
        <f t="shared" ca="1" si="101"/>
        <v>0</v>
      </c>
      <c r="E56" s="145">
        <f ca="1">+RESUMEN!T5</f>
        <v>0</v>
      </c>
      <c r="F56" s="141">
        <f ca="1">RESUMEN!P5</f>
        <v>0</v>
      </c>
      <c r="G56" s="142">
        <f t="shared" ca="1" si="112"/>
        <v>0</v>
      </c>
      <c r="H56" s="133"/>
      <c r="I56" s="288"/>
      <c r="J56" s="132">
        <v>53</v>
      </c>
      <c r="K56" s="36">
        <v>51385</v>
      </c>
      <c r="L56" s="36">
        <v>66322.509999999995</v>
      </c>
      <c r="M56" s="36">
        <v>45612.21</v>
      </c>
      <c r="N56" s="36">
        <v>58871.57</v>
      </c>
      <c r="O56" s="36">
        <v>40385.81</v>
      </c>
      <c r="P56" s="36">
        <v>52125.87</v>
      </c>
      <c r="Q56" s="105">
        <f t="shared" si="74"/>
        <v>182754.84</v>
      </c>
      <c r="R56" s="105">
        <f t="shared" si="75"/>
        <v>177456.09</v>
      </c>
      <c r="S56" s="105">
        <f t="shared" si="76"/>
        <v>145526.79999999999</v>
      </c>
      <c r="T56" s="105">
        <f t="shared" si="77"/>
        <v>128072.91</v>
      </c>
      <c r="U56" s="105">
        <f t="shared" si="78"/>
        <v>96468.54</v>
      </c>
      <c r="V56" s="105">
        <f t="shared" si="79"/>
        <v>90176.78</v>
      </c>
      <c r="W56" s="61"/>
      <c r="X56" s="106">
        <v>182754.84</v>
      </c>
      <c r="Y56" s="106">
        <v>177456.09</v>
      </c>
      <c r="Z56" s="105">
        <f t="shared" si="27"/>
        <v>190613.29811999999</v>
      </c>
      <c r="AA56" s="105">
        <f t="shared" si="28"/>
        <v>185086.70186999999</v>
      </c>
      <c r="AB56" s="105">
        <f t="shared" si="29"/>
        <v>204685.42080000002</v>
      </c>
      <c r="AC56" s="105">
        <f t="shared" si="30"/>
        <v>198750.82080000002</v>
      </c>
      <c r="AD56" s="107">
        <v>145526.79999999999</v>
      </c>
      <c r="AE56" s="107">
        <v>128072.91</v>
      </c>
      <c r="AF56" s="105">
        <f t="shared" si="31"/>
        <v>151784.45239999998</v>
      </c>
      <c r="AG56" s="105">
        <f t="shared" si="32"/>
        <v>133580.04512999998</v>
      </c>
      <c r="AH56" s="105">
        <f t="shared" si="33"/>
        <v>162990.016</v>
      </c>
      <c r="AI56" s="105">
        <f t="shared" si="34"/>
        <v>143441.65920000002</v>
      </c>
      <c r="AJ56" s="106">
        <v>96468.54</v>
      </c>
      <c r="AK56" s="106">
        <v>90176.78</v>
      </c>
      <c r="AL56" s="105">
        <f t="shared" si="35"/>
        <v>100616.68721999999</v>
      </c>
      <c r="AM56" s="105">
        <f t="shared" si="36"/>
        <v>94054.381539999988</v>
      </c>
      <c r="AN56" s="105">
        <f t="shared" si="37"/>
        <v>108044.7648</v>
      </c>
      <c r="AO56" s="105">
        <f t="shared" si="38"/>
        <v>100997.9936</v>
      </c>
      <c r="AP56" s="61"/>
      <c r="AQ56" s="108">
        <v>53</v>
      </c>
      <c r="AR56" s="109">
        <f ca="1">+RESUMEN!F56</f>
        <v>0</v>
      </c>
      <c r="AS56" s="109">
        <f ca="1">+RESUMEN!G56</f>
        <v>0</v>
      </c>
      <c r="AT56" s="110">
        <f t="shared" ca="1" si="80"/>
        <v>0</v>
      </c>
      <c r="AU56" s="111">
        <f t="shared" si="39"/>
        <v>0</v>
      </c>
      <c r="AV56" s="111">
        <f t="shared" si="40"/>
        <v>0</v>
      </c>
      <c r="AW56" s="111">
        <f t="shared" si="41"/>
        <v>0</v>
      </c>
      <c r="AX56" s="111">
        <f t="shared" si="42"/>
        <v>0</v>
      </c>
      <c r="AY56" s="111">
        <f t="shared" ca="1" si="43"/>
        <v>0</v>
      </c>
      <c r="AZ56" s="110"/>
      <c r="BA56" s="111">
        <f t="shared" ca="1" si="81"/>
        <v>0</v>
      </c>
      <c r="BB56" s="111">
        <f t="shared" ca="1" si="82"/>
        <v>0</v>
      </c>
      <c r="BC56" s="112"/>
      <c r="BD56" s="113">
        <f t="shared" ca="1" si="44"/>
        <v>0</v>
      </c>
      <c r="BE56" s="113">
        <f t="shared" ca="1" si="102"/>
        <v>0</v>
      </c>
      <c r="BF56" s="114" t="str">
        <f t="shared" ca="1" si="83"/>
        <v/>
      </c>
      <c r="BG56" s="61"/>
      <c r="BH56" s="64">
        <f t="shared" ca="1" si="84"/>
        <v>0</v>
      </c>
      <c r="BI56" s="64">
        <f t="shared" ca="1" si="85"/>
        <v>0</v>
      </c>
      <c r="BJ56" s="112"/>
      <c r="BK56" s="115">
        <f t="shared" ca="1" si="46"/>
        <v>0</v>
      </c>
      <c r="BL56" s="115">
        <f t="shared" ca="1" si="104"/>
        <v>0</v>
      </c>
      <c r="BM56" s="116" t="str">
        <f t="shared" ca="1" si="86"/>
        <v/>
      </c>
      <c r="BN56" s="61"/>
      <c r="BO56" s="117">
        <f t="shared" ca="1" si="87"/>
        <v>0</v>
      </c>
      <c r="BP56" s="117">
        <f t="shared" ca="1" si="88"/>
        <v>0</v>
      </c>
      <c r="BQ56" s="112"/>
      <c r="BR56" s="118">
        <f t="shared" ca="1" si="48"/>
        <v>0</v>
      </c>
      <c r="BS56" s="118">
        <f t="shared" ca="1" si="103"/>
        <v>0</v>
      </c>
      <c r="BT56" s="119" t="str">
        <f t="shared" ca="1" si="89"/>
        <v/>
      </c>
      <c r="BU56" s="61"/>
      <c r="BV56" s="120">
        <f t="shared" ca="1" si="90"/>
        <v>0</v>
      </c>
      <c r="BW56" s="120">
        <f t="shared" ca="1" si="91"/>
        <v>0</v>
      </c>
      <c r="BX56" s="112"/>
      <c r="BY56" s="121">
        <f t="shared" ca="1" si="50"/>
        <v>0</v>
      </c>
      <c r="BZ56" s="121">
        <f t="shared" ca="1" si="105"/>
        <v>0</v>
      </c>
      <c r="CA56" s="122" t="str">
        <f t="shared" ca="1" si="92"/>
        <v/>
      </c>
      <c r="CB56" s="61"/>
      <c r="CC56" s="123">
        <f t="shared" ca="1" si="52"/>
        <v>0</v>
      </c>
      <c r="CD56" s="123">
        <f t="shared" ca="1" si="53"/>
        <v>0</v>
      </c>
      <c r="CE56" s="112"/>
      <c r="CF56" s="124">
        <f t="shared" ca="1" si="54"/>
        <v>0</v>
      </c>
      <c r="CG56" s="124">
        <f t="shared" ca="1" si="106"/>
        <v>0</v>
      </c>
      <c r="CH56" s="125" t="str">
        <f t="shared" ca="1" si="93"/>
        <v/>
      </c>
      <c r="CI56" s="61"/>
      <c r="CJ56" s="126">
        <f t="shared" ca="1" si="94"/>
        <v>0</v>
      </c>
      <c r="CK56" s="126">
        <f t="shared" ca="1" si="95"/>
        <v>0</v>
      </c>
      <c r="CL56" s="112"/>
      <c r="CM56" s="127">
        <f t="shared" ca="1" si="56"/>
        <v>0</v>
      </c>
      <c r="CN56" s="127">
        <f t="shared" ca="1" si="107"/>
        <v>0</v>
      </c>
      <c r="CO56" s="128" t="str">
        <f t="shared" ca="1" si="96"/>
        <v/>
      </c>
      <c r="CP56" s="61"/>
      <c r="CQ56" s="108">
        <v>53</v>
      </c>
      <c r="CR56" s="273">
        <v>0.15</v>
      </c>
      <c r="CS56" s="61">
        <f t="shared" si="58"/>
        <v>0</v>
      </c>
      <c r="CT56" s="278">
        <f t="shared" si="59"/>
        <v>0.15</v>
      </c>
      <c r="CU56" s="61">
        <f t="shared" si="60"/>
        <v>1</v>
      </c>
      <c r="CV56" s="287">
        <f t="shared" si="61"/>
        <v>1</v>
      </c>
      <c r="CW56" s="309">
        <f t="shared" si="108"/>
        <v>134.47</v>
      </c>
      <c r="CX56" s="309">
        <f t="shared" si="109"/>
        <v>65.95</v>
      </c>
      <c r="CY56" s="300">
        <f t="shared" si="110"/>
        <v>266.99</v>
      </c>
      <c r="CZ56" s="309">
        <f t="shared" si="111"/>
        <v>148.43</v>
      </c>
      <c r="DA56" s="338"/>
      <c r="DC56" s="544">
        <v>510.27000000000004</v>
      </c>
    </row>
    <row r="57" spans="1:107">
      <c r="A57" s="146">
        <v>21</v>
      </c>
      <c r="B57" s="141">
        <f ca="1">RESUMEN!J24</f>
        <v>0</v>
      </c>
      <c r="C57" s="141">
        <f ca="1">+RESUMEN!K24</f>
        <v>0</v>
      </c>
      <c r="D57" s="142">
        <f t="shared" ca="1" si="101"/>
        <v>0</v>
      </c>
      <c r="E57" s="145">
        <f ca="1">+RESUMEN!T6</f>
        <v>0</v>
      </c>
      <c r="F57" s="141">
        <f ca="1">RESUMEN!P6</f>
        <v>0</v>
      </c>
      <c r="G57" s="142">
        <f t="shared" ca="1" si="112"/>
        <v>0</v>
      </c>
      <c r="H57" s="133"/>
      <c r="I57" s="288"/>
      <c r="J57" s="132">
        <v>54</v>
      </c>
      <c r="K57" s="36">
        <v>56132.21</v>
      </c>
      <c r="L57" s="36">
        <v>68912.160000000003</v>
      </c>
      <c r="M57" s="36">
        <v>49826.1</v>
      </c>
      <c r="N57" s="36">
        <v>61170.3</v>
      </c>
      <c r="O57" s="36">
        <v>44116.86</v>
      </c>
      <c r="P57" s="36">
        <v>54161.2</v>
      </c>
      <c r="Q57" s="105">
        <f t="shared" si="74"/>
        <v>185357.62</v>
      </c>
      <c r="R57" s="105">
        <f t="shared" si="75"/>
        <v>196939</v>
      </c>
      <c r="S57" s="105">
        <f t="shared" si="76"/>
        <v>151548.1</v>
      </c>
      <c r="T57" s="105">
        <f t="shared" si="77"/>
        <v>135633.89000000001</v>
      </c>
      <c r="U57" s="105">
        <f t="shared" si="78"/>
        <v>100676.77</v>
      </c>
      <c r="V57" s="105">
        <f t="shared" si="79"/>
        <v>94407.23</v>
      </c>
      <c r="W57" s="61"/>
      <c r="X57" s="106">
        <v>185357.62</v>
      </c>
      <c r="Y57" s="106">
        <v>196939</v>
      </c>
      <c r="Z57" s="105">
        <f t="shared" si="27"/>
        <v>193327.99765999999</v>
      </c>
      <c r="AA57" s="105">
        <f t="shared" si="28"/>
        <v>205407.37699999998</v>
      </c>
      <c r="AB57" s="105">
        <f t="shared" si="29"/>
        <v>207600.5344</v>
      </c>
      <c r="AC57" s="105">
        <f t="shared" si="30"/>
        <v>220571.68000000002</v>
      </c>
      <c r="AD57" s="107">
        <v>151548.1</v>
      </c>
      <c r="AE57" s="107">
        <v>135633.89000000001</v>
      </c>
      <c r="AF57" s="105">
        <f t="shared" si="31"/>
        <v>158064.66829999999</v>
      </c>
      <c r="AG57" s="105">
        <f t="shared" si="32"/>
        <v>141466.14727000002</v>
      </c>
      <c r="AH57" s="105">
        <f t="shared" si="33"/>
        <v>169733.87200000003</v>
      </c>
      <c r="AI57" s="105">
        <f t="shared" si="34"/>
        <v>151909.95680000004</v>
      </c>
      <c r="AJ57" s="106">
        <v>100676.77</v>
      </c>
      <c r="AK57" s="106">
        <v>94407.23</v>
      </c>
      <c r="AL57" s="105">
        <f t="shared" si="35"/>
        <v>105005.87110999999</v>
      </c>
      <c r="AM57" s="105">
        <f t="shared" si="36"/>
        <v>98466.740889999986</v>
      </c>
      <c r="AN57" s="105">
        <f t="shared" si="37"/>
        <v>112757.98240000001</v>
      </c>
      <c r="AO57" s="105">
        <f t="shared" si="38"/>
        <v>105736.09760000001</v>
      </c>
      <c r="AP57" s="61"/>
      <c r="AQ57" s="108">
        <v>54</v>
      </c>
      <c r="AR57" s="109">
        <f ca="1">+RESUMEN!F57</f>
        <v>0</v>
      </c>
      <c r="AS57" s="109">
        <f ca="1">+RESUMEN!G57</f>
        <v>0</v>
      </c>
      <c r="AT57" s="110">
        <f t="shared" ca="1" si="80"/>
        <v>0</v>
      </c>
      <c r="AU57" s="111">
        <f t="shared" si="39"/>
        <v>0</v>
      </c>
      <c r="AV57" s="111">
        <f t="shared" si="40"/>
        <v>0</v>
      </c>
      <c r="AW57" s="111">
        <f t="shared" si="41"/>
        <v>0</v>
      </c>
      <c r="AX57" s="111">
        <f t="shared" si="42"/>
        <v>0</v>
      </c>
      <c r="AY57" s="111">
        <f t="shared" ca="1" si="43"/>
        <v>0</v>
      </c>
      <c r="AZ57" s="110"/>
      <c r="BA57" s="111">
        <f t="shared" ca="1" si="81"/>
        <v>0</v>
      </c>
      <c r="BB57" s="111">
        <f t="shared" ca="1" si="82"/>
        <v>0</v>
      </c>
      <c r="BC57" s="112"/>
      <c r="BD57" s="113">
        <f t="shared" ca="1" si="44"/>
        <v>0</v>
      </c>
      <c r="BE57" s="113">
        <f t="shared" ca="1" si="102"/>
        <v>0</v>
      </c>
      <c r="BF57" s="114" t="str">
        <f t="shared" ca="1" si="83"/>
        <v/>
      </c>
      <c r="BG57" s="61"/>
      <c r="BH57" s="64">
        <f t="shared" ca="1" si="84"/>
        <v>0</v>
      </c>
      <c r="BI57" s="64">
        <f t="shared" ca="1" si="85"/>
        <v>0</v>
      </c>
      <c r="BJ57" s="112"/>
      <c r="BK57" s="115">
        <f t="shared" ca="1" si="46"/>
        <v>0</v>
      </c>
      <c r="BL57" s="115">
        <f t="shared" ca="1" si="104"/>
        <v>0</v>
      </c>
      <c r="BM57" s="116" t="str">
        <f t="shared" ca="1" si="86"/>
        <v/>
      </c>
      <c r="BN57" s="61"/>
      <c r="BO57" s="117">
        <f t="shared" ca="1" si="87"/>
        <v>0</v>
      </c>
      <c r="BP57" s="117">
        <f t="shared" ca="1" si="88"/>
        <v>0</v>
      </c>
      <c r="BQ57" s="112"/>
      <c r="BR57" s="118">
        <f t="shared" ca="1" si="48"/>
        <v>0</v>
      </c>
      <c r="BS57" s="118">
        <f t="shared" ca="1" si="103"/>
        <v>0</v>
      </c>
      <c r="BT57" s="119" t="str">
        <f t="shared" ca="1" si="89"/>
        <v/>
      </c>
      <c r="BU57" s="61"/>
      <c r="BV57" s="120">
        <f t="shared" ca="1" si="90"/>
        <v>0</v>
      </c>
      <c r="BW57" s="120">
        <f t="shared" ca="1" si="91"/>
        <v>0</v>
      </c>
      <c r="BX57" s="112"/>
      <c r="BY57" s="121">
        <f t="shared" ca="1" si="50"/>
        <v>0</v>
      </c>
      <c r="BZ57" s="121">
        <f t="shared" ca="1" si="105"/>
        <v>0</v>
      </c>
      <c r="CA57" s="122" t="str">
        <f t="shared" ca="1" si="92"/>
        <v/>
      </c>
      <c r="CB57" s="61"/>
      <c r="CC57" s="123">
        <f t="shared" ca="1" si="52"/>
        <v>0</v>
      </c>
      <c r="CD57" s="123">
        <f t="shared" ca="1" si="53"/>
        <v>0</v>
      </c>
      <c r="CE57" s="112"/>
      <c r="CF57" s="124">
        <f t="shared" ca="1" si="54"/>
        <v>0</v>
      </c>
      <c r="CG57" s="124">
        <f t="shared" ca="1" si="106"/>
        <v>0</v>
      </c>
      <c r="CH57" s="125" t="str">
        <f t="shared" ca="1" si="93"/>
        <v/>
      </c>
      <c r="CI57" s="61"/>
      <c r="CJ57" s="126">
        <f t="shared" ca="1" si="94"/>
        <v>0</v>
      </c>
      <c r="CK57" s="126">
        <f t="shared" ca="1" si="95"/>
        <v>0</v>
      </c>
      <c r="CL57" s="112"/>
      <c r="CM57" s="127">
        <f t="shared" ca="1" si="56"/>
        <v>0</v>
      </c>
      <c r="CN57" s="127">
        <f t="shared" ca="1" si="107"/>
        <v>0</v>
      </c>
      <c r="CO57" s="128" t="str">
        <f t="shared" ca="1" si="96"/>
        <v/>
      </c>
      <c r="CP57" s="61"/>
      <c r="CQ57" s="108">
        <v>54</v>
      </c>
      <c r="CR57" s="273">
        <v>0.15</v>
      </c>
      <c r="CS57" s="61">
        <f t="shared" si="58"/>
        <v>0</v>
      </c>
      <c r="CT57" s="278">
        <f t="shared" si="59"/>
        <v>0.15</v>
      </c>
      <c r="CU57" s="61">
        <f t="shared" si="60"/>
        <v>1</v>
      </c>
      <c r="CV57" s="287">
        <f t="shared" si="61"/>
        <v>1</v>
      </c>
      <c r="CW57" s="309">
        <f t="shared" si="108"/>
        <v>134.47</v>
      </c>
      <c r="CX57" s="309">
        <f t="shared" si="109"/>
        <v>65.95</v>
      </c>
      <c r="CY57" s="300">
        <f t="shared" si="110"/>
        <v>266.99</v>
      </c>
      <c r="CZ57" s="309">
        <f t="shared" si="111"/>
        <v>148.43</v>
      </c>
      <c r="DA57" s="338"/>
      <c r="DC57" s="544">
        <v>510.27000000000004</v>
      </c>
    </row>
    <row r="58" spans="1:107" ht="16" thickBot="1">
      <c r="A58" s="146">
        <v>22</v>
      </c>
      <c r="B58" s="141">
        <f ca="1">RESUMEN!J25</f>
        <v>0</v>
      </c>
      <c r="C58" s="141">
        <f ca="1">+RESUMEN!K25</f>
        <v>0</v>
      </c>
      <c r="D58" s="142">
        <f t="shared" ca="1" si="101"/>
        <v>0</v>
      </c>
      <c r="E58" s="145">
        <f ca="1">+RESUMEN!T7</f>
        <v>0</v>
      </c>
      <c r="F58" s="141">
        <f ca="1">RESUMEN!P7</f>
        <v>0</v>
      </c>
      <c r="G58" s="142">
        <f t="shared" ca="1" si="112"/>
        <v>0</v>
      </c>
      <c r="H58" s="451"/>
      <c r="I58" s="288"/>
      <c r="J58" s="132">
        <v>55</v>
      </c>
      <c r="K58" s="36">
        <v>56142.65</v>
      </c>
      <c r="L58" s="36">
        <v>70074.02</v>
      </c>
      <c r="M58" s="36">
        <v>49835.360000000001</v>
      </c>
      <c r="N58" s="36">
        <v>62201.62</v>
      </c>
      <c r="O58" s="36">
        <v>44125.06</v>
      </c>
      <c r="P58" s="36">
        <v>55074.35</v>
      </c>
      <c r="Q58" s="105">
        <f t="shared" si="74"/>
        <v>212662.88</v>
      </c>
      <c r="R58" s="105">
        <f t="shared" si="75"/>
        <v>208617.48</v>
      </c>
      <c r="S58" s="105">
        <f t="shared" si="76"/>
        <v>151577.96</v>
      </c>
      <c r="T58" s="105">
        <f t="shared" si="77"/>
        <v>145187.75</v>
      </c>
      <c r="U58" s="105">
        <f t="shared" si="78"/>
        <v>100764.49</v>
      </c>
      <c r="V58" s="105">
        <f t="shared" si="79"/>
        <v>102027.34</v>
      </c>
      <c r="W58" s="61"/>
      <c r="X58" s="106">
        <v>212662.88</v>
      </c>
      <c r="Y58" s="106">
        <v>208617.48</v>
      </c>
      <c r="Z58" s="105">
        <f t="shared" si="27"/>
        <v>221807.38383999999</v>
      </c>
      <c r="AA58" s="105">
        <f t="shared" si="28"/>
        <v>217588.03164</v>
      </c>
      <c r="AB58" s="105">
        <f t="shared" si="29"/>
        <v>238182.42560000002</v>
      </c>
      <c r="AC58" s="105">
        <f t="shared" si="30"/>
        <v>233651.57760000005</v>
      </c>
      <c r="AD58" s="107">
        <v>151577.96</v>
      </c>
      <c r="AE58" s="107">
        <v>145187.75</v>
      </c>
      <c r="AF58" s="105">
        <f t="shared" si="31"/>
        <v>158095.81227999998</v>
      </c>
      <c r="AG58" s="105">
        <f t="shared" si="32"/>
        <v>151430.82324999999</v>
      </c>
      <c r="AH58" s="105">
        <f t="shared" si="33"/>
        <v>169767.31520000001</v>
      </c>
      <c r="AI58" s="105">
        <f t="shared" si="34"/>
        <v>162610.28000000003</v>
      </c>
      <c r="AJ58" s="106">
        <v>100764.49</v>
      </c>
      <c r="AK58" s="106">
        <v>102027.34</v>
      </c>
      <c r="AL58" s="105">
        <f t="shared" si="35"/>
        <v>105097.36306999999</v>
      </c>
      <c r="AM58" s="105">
        <f t="shared" si="36"/>
        <v>106414.51561999999</v>
      </c>
      <c r="AN58" s="105">
        <f t="shared" si="37"/>
        <v>112856.22880000001</v>
      </c>
      <c r="AO58" s="105">
        <f t="shared" si="38"/>
        <v>114270.6208</v>
      </c>
      <c r="AP58" s="61"/>
      <c r="AQ58" s="325">
        <v>55</v>
      </c>
      <c r="AR58" s="471">
        <f ca="1">+RESUMEN!F58</f>
        <v>0</v>
      </c>
      <c r="AS58" s="471">
        <f ca="1">+RESUMEN!G58</f>
        <v>0</v>
      </c>
      <c r="AT58" s="472">
        <f t="shared" ca="1" si="80"/>
        <v>0</v>
      </c>
      <c r="AU58" s="473">
        <f t="shared" si="39"/>
        <v>0</v>
      </c>
      <c r="AV58" s="473">
        <f t="shared" si="40"/>
        <v>0</v>
      </c>
      <c r="AW58" s="473">
        <f t="shared" si="41"/>
        <v>0</v>
      </c>
      <c r="AX58" s="473">
        <f t="shared" si="42"/>
        <v>0</v>
      </c>
      <c r="AY58" s="473">
        <f t="shared" ca="1" si="43"/>
        <v>0</v>
      </c>
      <c r="AZ58" s="472"/>
      <c r="BA58" s="473">
        <f t="shared" ca="1" si="81"/>
        <v>0</v>
      </c>
      <c r="BB58" s="473">
        <f t="shared" ca="1" si="82"/>
        <v>0</v>
      </c>
      <c r="BC58" s="474"/>
      <c r="BD58" s="475">
        <f t="shared" ca="1" si="44"/>
        <v>0</v>
      </c>
      <c r="BE58" s="475">
        <f t="shared" ca="1" si="102"/>
        <v>0</v>
      </c>
      <c r="BF58" s="476" t="str">
        <f t="shared" ca="1" si="83"/>
        <v/>
      </c>
      <c r="BG58" s="61"/>
      <c r="BH58" s="477">
        <f t="shared" ca="1" si="84"/>
        <v>0</v>
      </c>
      <c r="BI58" s="477">
        <f t="shared" ca="1" si="85"/>
        <v>0</v>
      </c>
      <c r="BJ58" s="474"/>
      <c r="BK58" s="478">
        <f t="shared" ca="1" si="46"/>
        <v>0</v>
      </c>
      <c r="BL58" s="478">
        <f t="shared" ca="1" si="104"/>
        <v>0</v>
      </c>
      <c r="BM58" s="479" t="str">
        <f t="shared" ca="1" si="86"/>
        <v/>
      </c>
      <c r="BN58" s="61"/>
      <c r="BO58" s="480">
        <f t="shared" ca="1" si="87"/>
        <v>0</v>
      </c>
      <c r="BP58" s="480">
        <f t="shared" ca="1" si="88"/>
        <v>0</v>
      </c>
      <c r="BQ58" s="474"/>
      <c r="BR58" s="481">
        <f t="shared" ca="1" si="48"/>
        <v>0</v>
      </c>
      <c r="BS58" s="481">
        <f t="shared" ca="1" si="103"/>
        <v>0</v>
      </c>
      <c r="BT58" s="482" t="str">
        <f t="shared" ca="1" si="89"/>
        <v/>
      </c>
      <c r="BU58" s="61"/>
      <c r="BV58" s="483">
        <f t="shared" ca="1" si="90"/>
        <v>0</v>
      </c>
      <c r="BW58" s="483">
        <f t="shared" ca="1" si="91"/>
        <v>0</v>
      </c>
      <c r="BX58" s="474"/>
      <c r="BY58" s="484">
        <f t="shared" ca="1" si="50"/>
        <v>0</v>
      </c>
      <c r="BZ58" s="484">
        <f t="shared" ca="1" si="105"/>
        <v>0</v>
      </c>
      <c r="CA58" s="485" t="str">
        <f t="shared" ca="1" si="92"/>
        <v/>
      </c>
      <c r="CB58" s="61"/>
      <c r="CC58" s="123">
        <f t="shared" ca="1" si="52"/>
        <v>0</v>
      </c>
      <c r="CD58" s="123">
        <f t="shared" ca="1" si="53"/>
        <v>0</v>
      </c>
      <c r="CE58" s="474"/>
      <c r="CF58" s="124">
        <f t="shared" ca="1" si="54"/>
        <v>0</v>
      </c>
      <c r="CG58" s="124">
        <f t="shared" ca="1" si="106"/>
        <v>0</v>
      </c>
      <c r="CH58" s="486" t="str">
        <f t="shared" ca="1" si="93"/>
        <v/>
      </c>
      <c r="CI58" s="61"/>
      <c r="CJ58" s="487">
        <f t="shared" ca="1" si="94"/>
        <v>0</v>
      </c>
      <c r="CK58" s="487">
        <f t="shared" ca="1" si="95"/>
        <v>0</v>
      </c>
      <c r="CL58" s="474"/>
      <c r="CM58" s="488">
        <f t="shared" ca="1" si="56"/>
        <v>0</v>
      </c>
      <c r="CN58" s="488">
        <f t="shared" ca="1" si="107"/>
        <v>0</v>
      </c>
      <c r="CO58" s="489" t="str">
        <f t="shared" ca="1" si="96"/>
        <v/>
      </c>
      <c r="CP58" s="61"/>
      <c r="CQ58" s="325">
        <v>55</v>
      </c>
      <c r="CR58" s="326">
        <v>0.15</v>
      </c>
      <c r="CS58" s="61">
        <f t="shared" si="58"/>
        <v>0</v>
      </c>
      <c r="CT58" s="278">
        <f t="shared" si="59"/>
        <v>0.15</v>
      </c>
      <c r="CU58" s="61">
        <f t="shared" si="60"/>
        <v>1</v>
      </c>
      <c r="CV58" s="287">
        <f t="shared" si="61"/>
        <v>1</v>
      </c>
      <c r="CW58" s="309">
        <f t="shared" si="108"/>
        <v>134.47</v>
      </c>
      <c r="CX58" s="309">
        <f t="shared" si="109"/>
        <v>65.95</v>
      </c>
      <c r="CY58" s="300">
        <f t="shared" si="110"/>
        <v>266.99</v>
      </c>
      <c r="CZ58" s="309">
        <f t="shared" si="111"/>
        <v>148.43</v>
      </c>
      <c r="DA58" s="338"/>
      <c r="DC58" s="544">
        <v>510.27000000000004</v>
      </c>
    </row>
    <row r="59" spans="1:107">
      <c r="A59" s="146">
        <v>23</v>
      </c>
      <c r="B59" s="141">
        <f ca="1">RESUMEN!J26</f>
        <v>0</v>
      </c>
      <c r="C59" s="141">
        <f ca="1">+RESUMEN!K26</f>
        <v>0</v>
      </c>
      <c r="D59" s="142">
        <f t="shared" ca="1" si="101"/>
        <v>0</v>
      </c>
      <c r="E59" s="145">
        <f ca="1">+RESUMEN!T8</f>
        <v>0</v>
      </c>
      <c r="F59" s="141">
        <f ca="1">RESUMEN!P8</f>
        <v>0</v>
      </c>
      <c r="G59" s="142">
        <f t="shared" ca="1" si="112"/>
        <v>0</v>
      </c>
      <c r="H59" s="288"/>
      <c r="I59" s="288"/>
      <c r="J59" s="132">
        <v>56</v>
      </c>
      <c r="K59" s="36">
        <v>62347.69</v>
      </c>
      <c r="L59" s="36">
        <v>77123.360000000001</v>
      </c>
      <c r="M59" s="36">
        <v>55343.3</v>
      </c>
      <c r="N59" s="36">
        <v>68459.009999999995</v>
      </c>
      <c r="O59" s="36">
        <v>49001.88</v>
      </c>
      <c r="P59" s="36">
        <v>60614.75</v>
      </c>
      <c r="Q59" s="105">
        <f t="shared" si="74"/>
        <v>213694.3</v>
      </c>
      <c r="R59" s="105">
        <f t="shared" si="75"/>
        <v>220988.5</v>
      </c>
      <c r="S59" s="105">
        <f t="shared" si="76"/>
        <v>153398.51</v>
      </c>
      <c r="T59" s="105">
        <f t="shared" si="77"/>
        <v>162834.47</v>
      </c>
      <c r="U59" s="105">
        <f t="shared" si="78"/>
        <v>103733.75</v>
      </c>
      <c r="V59" s="105">
        <f t="shared" si="79"/>
        <v>115251.63</v>
      </c>
      <c r="W59" s="61"/>
      <c r="X59" s="106">
        <v>213694.3</v>
      </c>
      <c r="Y59" s="106">
        <v>220988.5</v>
      </c>
      <c r="Z59" s="105">
        <f t="shared" si="27"/>
        <v>222883.15489999996</v>
      </c>
      <c r="AA59" s="105">
        <f t="shared" si="28"/>
        <v>230491.00549999997</v>
      </c>
      <c r="AB59" s="105">
        <f t="shared" si="29"/>
        <v>239337.61600000001</v>
      </c>
      <c r="AC59" s="105">
        <f t="shared" si="30"/>
        <v>247507.12000000002</v>
      </c>
      <c r="AD59" s="107">
        <v>153398.51</v>
      </c>
      <c r="AE59" s="107">
        <v>162834.47</v>
      </c>
      <c r="AF59" s="105">
        <f t="shared" si="31"/>
        <v>159994.64593</v>
      </c>
      <c r="AG59" s="105">
        <f t="shared" si="32"/>
        <v>169836.35220999998</v>
      </c>
      <c r="AH59" s="105">
        <f t="shared" si="33"/>
        <v>171806.33120000002</v>
      </c>
      <c r="AI59" s="105">
        <f t="shared" si="34"/>
        <v>182374.60640000002</v>
      </c>
      <c r="AJ59" s="106">
        <v>103733.75</v>
      </c>
      <c r="AK59" s="106">
        <v>115251.63</v>
      </c>
      <c r="AL59" s="105">
        <f t="shared" si="35"/>
        <v>108194.30124999999</v>
      </c>
      <c r="AM59" s="105">
        <f t="shared" si="36"/>
        <v>120207.45009</v>
      </c>
      <c r="AN59" s="105">
        <f t="shared" si="37"/>
        <v>116181.80000000002</v>
      </c>
      <c r="AO59" s="105">
        <f t="shared" si="38"/>
        <v>129081.82560000001</v>
      </c>
      <c r="AP59" s="61"/>
      <c r="AQ59" s="84">
        <v>56</v>
      </c>
      <c r="AR59" s="497">
        <f ca="1">+RESUMEN!F59</f>
        <v>0</v>
      </c>
      <c r="AS59" s="497">
        <f ca="1">+RESUMEN!G59</f>
        <v>0</v>
      </c>
      <c r="AT59" s="498">
        <f t="shared" ca="1" si="80"/>
        <v>0</v>
      </c>
      <c r="AU59" s="499">
        <f t="shared" si="39"/>
        <v>0</v>
      </c>
      <c r="AV59" s="499">
        <f t="shared" si="40"/>
        <v>0</v>
      </c>
      <c r="AW59" s="499">
        <f t="shared" si="41"/>
        <v>0</v>
      </c>
      <c r="AX59" s="499">
        <f t="shared" si="42"/>
        <v>0</v>
      </c>
      <c r="AY59" s="499">
        <f t="shared" ca="1" si="43"/>
        <v>0</v>
      </c>
      <c r="AZ59" s="498"/>
      <c r="BA59" s="499">
        <f ca="1">+O59*$C$26</f>
        <v>0</v>
      </c>
      <c r="BB59" s="499">
        <f ca="1">+P59*$C$26</f>
        <v>0</v>
      </c>
      <c r="BC59" s="500"/>
      <c r="BD59" s="501">
        <f t="shared" ca="1" si="44"/>
        <v>0</v>
      </c>
      <c r="BE59" s="501">
        <f t="shared" ca="1" si="102"/>
        <v>0</v>
      </c>
      <c r="BF59" s="502" t="str">
        <f t="shared" ca="1" si="83"/>
        <v/>
      </c>
      <c r="BG59" s="328"/>
      <c r="BH59" s="503">
        <f ca="1">M59*$C$26</f>
        <v>0</v>
      </c>
      <c r="BI59" s="503">
        <f ca="1">N59*$C$26</f>
        <v>0</v>
      </c>
      <c r="BJ59" s="500"/>
      <c r="BK59" s="504">
        <f t="shared" ca="1" si="46"/>
        <v>0</v>
      </c>
      <c r="BL59" s="504">
        <f t="shared" ca="1" si="104"/>
        <v>0</v>
      </c>
      <c r="BM59" s="505" t="str">
        <f t="shared" ca="1" si="86"/>
        <v/>
      </c>
      <c r="BN59" s="328"/>
      <c r="BO59" s="506">
        <f ca="1">K59*$C$26</f>
        <v>0</v>
      </c>
      <c r="BP59" s="506">
        <f ca="1">L59*$C$26</f>
        <v>0</v>
      </c>
      <c r="BQ59" s="500"/>
      <c r="BR59" s="507">
        <f t="shared" ca="1" si="48"/>
        <v>0</v>
      </c>
      <c r="BS59" s="507">
        <f t="shared" ca="1" si="103"/>
        <v>0</v>
      </c>
      <c r="BT59" s="508" t="str">
        <f t="shared" ca="1" si="89"/>
        <v/>
      </c>
      <c r="BU59" s="328"/>
      <c r="BV59" s="509">
        <f t="shared" ca="1" si="90"/>
        <v>0</v>
      </c>
      <c r="BW59" s="509">
        <f t="shared" ca="1" si="91"/>
        <v>0</v>
      </c>
      <c r="BX59" s="500"/>
      <c r="BY59" s="510">
        <f t="shared" ca="1" si="50"/>
        <v>0</v>
      </c>
      <c r="BZ59" s="510">
        <f t="shared" ca="1" si="105"/>
        <v>0</v>
      </c>
      <c r="CA59" s="511" t="str">
        <f t="shared" ca="1" si="92"/>
        <v/>
      </c>
      <c r="CB59" s="328"/>
      <c r="CC59" s="123">
        <f t="shared" ca="1" si="52"/>
        <v>0</v>
      </c>
      <c r="CD59" s="123">
        <f t="shared" ca="1" si="53"/>
        <v>0</v>
      </c>
      <c r="CE59" s="500"/>
      <c r="CF59" s="124">
        <f t="shared" ca="1" si="54"/>
        <v>0</v>
      </c>
      <c r="CG59" s="124">
        <f t="shared" ca="1" si="106"/>
        <v>0</v>
      </c>
      <c r="CH59" s="512" t="str">
        <f t="shared" ca="1" si="93"/>
        <v/>
      </c>
      <c r="CI59" s="328"/>
      <c r="CJ59" s="487">
        <f t="shared" ref="CJ59:CJ103" ca="1" si="113">U59*$B$26</f>
        <v>0</v>
      </c>
      <c r="CK59" s="487">
        <f t="shared" ref="CK59:CK103" ca="1" si="114">V59*$B$26</f>
        <v>0</v>
      </c>
      <c r="CL59" s="500"/>
      <c r="CM59" s="513">
        <f t="shared" ca="1" si="56"/>
        <v>0</v>
      </c>
      <c r="CN59" s="513">
        <f t="shared" ca="1" si="107"/>
        <v>0</v>
      </c>
      <c r="CO59" s="514" t="str">
        <f t="shared" ca="1" si="96"/>
        <v/>
      </c>
      <c r="CP59" s="328"/>
      <c r="CQ59" s="84">
        <v>56</v>
      </c>
      <c r="CR59" s="327">
        <v>0.15</v>
      </c>
      <c r="CS59" s="328">
        <f t="shared" si="58"/>
        <v>0</v>
      </c>
      <c r="CT59" s="329">
        <f t="shared" si="59"/>
        <v>0.15</v>
      </c>
      <c r="CU59" s="328">
        <f t="shared" si="60"/>
        <v>1</v>
      </c>
      <c r="CV59" s="330">
        <f t="shared" si="61"/>
        <v>1</v>
      </c>
      <c r="CW59" s="309">
        <f t="shared" si="108"/>
        <v>134.47</v>
      </c>
      <c r="CX59" s="309">
        <f t="shared" si="109"/>
        <v>65.95</v>
      </c>
      <c r="CY59" s="300">
        <f t="shared" si="110"/>
        <v>266.99</v>
      </c>
      <c r="CZ59" s="309">
        <f t="shared" si="111"/>
        <v>148.43</v>
      </c>
      <c r="DA59" s="470"/>
      <c r="DC59" s="544">
        <v>510.27000000000004</v>
      </c>
    </row>
    <row r="60" spans="1:107">
      <c r="A60" s="146">
        <v>24</v>
      </c>
      <c r="B60" s="141">
        <f ca="1">RESUMEN!J27</f>
        <v>0</v>
      </c>
      <c r="C60" s="141">
        <f ca="1">+RESUMEN!K27</f>
        <v>0</v>
      </c>
      <c r="D60" s="142">
        <f t="shared" ca="1" si="101"/>
        <v>0</v>
      </c>
      <c r="E60" s="145">
        <f ca="1">+RESUMEN!T9</f>
        <v>0</v>
      </c>
      <c r="F60" s="141">
        <f ca="1">RESUMEN!P9</f>
        <v>0</v>
      </c>
      <c r="G60" s="142">
        <f t="shared" ca="1" si="112"/>
        <v>0</v>
      </c>
      <c r="H60" s="133"/>
      <c r="I60" s="288"/>
      <c r="J60" s="132">
        <v>57</v>
      </c>
      <c r="K60" s="36">
        <v>64281.67</v>
      </c>
      <c r="L60" s="36">
        <v>77864.289999999994</v>
      </c>
      <c r="M60" s="36">
        <v>57060.01</v>
      </c>
      <c r="N60" s="36">
        <v>69116.7</v>
      </c>
      <c r="O60" s="36">
        <v>50521.89</v>
      </c>
      <c r="P60" s="36">
        <v>61197.08</v>
      </c>
      <c r="Q60" s="105">
        <f t="shared" si="74"/>
        <v>217904.08</v>
      </c>
      <c r="R60" s="105">
        <f t="shared" si="75"/>
        <v>234093.11</v>
      </c>
      <c r="S60" s="105">
        <f t="shared" si="76"/>
        <v>161616.10999999999</v>
      </c>
      <c r="T60" s="105">
        <f t="shared" si="77"/>
        <v>174062.07999999999</v>
      </c>
      <c r="U60" s="105">
        <f t="shared" si="78"/>
        <v>109539.86</v>
      </c>
      <c r="V60" s="105">
        <f t="shared" si="79"/>
        <v>123422.89</v>
      </c>
      <c r="W60" s="61"/>
      <c r="X60" s="106">
        <v>217904.08</v>
      </c>
      <c r="Y60" s="106">
        <v>234093.11</v>
      </c>
      <c r="Z60" s="105">
        <f t="shared" si="27"/>
        <v>227273.95543999996</v>
      </c>
      <c r="AA60" s="105">
        <f t="shared" si="28"/>
        <v>244159.11372999998</v>
      </c>
      <c r="AB60" s="105">
        <f t="shared" si="29"/>
        <v>244052.56960000002</v>
      </c>
      <c r="AC60" s="105">
        <f t="shared" si="30"/>
        <v>262184.28320000001</v>
      </c>
      <c r="AD60" s="107">
        <v>161616.10999999999</v>
      </c>
      <c r="AE60" s="107">
        <v>174062.07999999999</v>
      </c>
      <c r="AF60" s="105">
        <f t="shared" si="31"/>
        <v>168565.60272999998</v>
      </c>
      <c r="AG60" s="105">
        <f t="shared" si="32"/>
        <v>181546.74943999999</v>
      </c>
      <c r="AH60" s="105">
        <f t="shared" si="33"/>
        <v>181010.04320000001</v>
      </c>
      <c r="AI60" s="105">
        <f t="shared" si="34"/>
        <v>194949.52960000001</v>
      </c>
      <c r="AJ60" s="106">
        <v>109539.86</v>
      </c>
      <c r="AK60" s="106">
        <v>123422.89</v>
      </c>
      <c r="AL60" s="105">
        <f t="shared" si="35"/>
        <v>114250.07397999999</v>
      </c>
      <c r="AM60" s="105">
        <f t="shared" si="36"/>
        <v>128730.07427</v>
      </c>
      <c r="AN60" s="105">
        <f t="shared" si="37"/>
        <v>122684.64320000001</v>
      </c>
      <c r="AO60" s="105">
        <f t="shared" si="38"/>
        <v>138233.63680000001</v>
      </c>
      <c r="AP60" s="61"/>
      <c r="AQ60" s="108">
        <v>57</v>
      </c>
      <c r="AR60" s="109">
        <f ca="1">+RESUMEN!F60</f>
        <v>0</v>
      </c>
      <c r="AS60" s="109">
        <f ca="1">+RESUMEN!G60</f>
        <v>0</v>
      </c>
      <c r="AT60" s="110">
        <f t="shared" ca="1" si="80"/>
        <v>0</v>
      </c>
      <c r="AU60" s="111">
        <f t="shared" si="39"/>
        <v>0</v>
      </c>
      <c r="AV60" s="111">
        <f t="shared" si="40"/>
        <v>0</v>
      </c>
      <c r="AW60" s="111">
        <f t="shared" si="41"/>
        <v>0</v>
      </c>
      <c r="AX60" s="111">
        <f t="shared" si="42"/>
        <v>0</v>
      </c>
      <c r="AY60" s="111">
        <f t="shared" ca="1" si="43"/>
        <v>0</v>
      </c>
      <c r="AZ60" s="110"/>
      <c r="BA60" s="111">
        <f ca="1">+O60*$C$26</f>
        <v>0</v>
      </c>
      <c r="BB60" s="111">
        <f ca="1">+P60*$C$26</f>
        <v>0</v>
      </c>
      <c r="BC60" s="112"/>
      <c r="BD60" s="113">
        <f t="shared" ca="1" si="44"/>
        <v>0</v>
      </c>
      <c r="BE60" s="113">
        <f t="shared" ca="1" si="102"/>
        <v>0</v>
      </c>
      <c r="BF60" s="114" t="str">
        <f t="shared" ca="1" si="83"/>
        <v/>
      </c>
      <c r="BG60" s="61"/>
      <c r="BH60" s="64">
        <f ca="1">M60*$C$26</f>
        <v>0</v>
      </c>
      <c r="BI60" s="64">
        <f ca="1">N60*$C$26</f>
        <v>0</v>
      </c>
      <c r="BJ60" s="112"/>
      <c r="BK60" s="115">
        <f t="shared" ca="1" si="46"/>
        <v>0</v>
      </c>
      <c r="BL60" s="115">
        <f t="shared" ca="1" si="104"/>
        <v>0</v>
      </c>
      <c r="BM60" s="116" t="str">
        <f t="shared" ca="1" si="86"/>
        <v/>
      </c>
      <c r="BN60" s="61"/>
      <c r="BO60" s="117">
        <f ca="1">K60*$C$26</f>
        <v>0</v>
      </c>
      <c r="BP60" s="117">
        <f ca="1">L60*$C$26</f>
        <v>0</v>
      </c>
      <c r="BQ60" s="112"/>
      <c r="BR60" s="118">
        <f t="shared" ca="1" si="48"/>
        <v>0</v>
      </c>
      <c r="BS60" s="118">
        <f t="shared" ca="1" si="103"/>
        <v>0</v>
      </c>
      <c r="BT60" s="119" t="str">
        <f t="shared" ca="1" si="89"/>
        <v/>
      </c>
      <c r="BU60" s="61"/>
      <c r="BV60" s="120">
        <f t="shared" ca="1" si="90"/>
        <v>0</v>
      </c>
      <c r="BW60" s="120">
        <f t="shared" ca="1" si="91"/>
        <v>0</v>
      </c>
      <c r="BX60" s="112"/>
      <c r="BY60" s="121">
        <f t="shared" ca="1" si="50"/>
        <v>0</v>
      </c>
      <c r="BZ60" s="121">
        <f t="shared" ca="1" si="105"/>
        <v>0</v>
      </c>
      <c r="CA60" s="122" t="str">
        <f t="shared" ca="1" si="92"/>
        <v/>
      </c>
      <c r="CB60" s="61"/>
      <c r="CC60" s="123">
        <f t="shared" ca="1" si="52"/>
        <v>0</v>
      </c>
      <c r="CD60" s="123">
        <f t="shared" ca="1" si="53"/>
        <v>0</v>
      </c>
      <c r="CE60" s="112"/>
      <c r="CF60" s="124">
        <f t="shared" ca="1" si="54"/>
        <v>0</v>
      </c>
      <c r="CG60" s="124">
        <f t="shared" ca="1" si="106"/>
        <v>0</v>
      </c>
      <c r="CH60" s="125" t="str">
        <f t="shared" ca="1" si="93"/>
        <v/>
      </c>
      <c r="CI60" s="61"/>
      <c r="CJ60" s="487">
        <f t="shared" ca="1" si="113"/>
        <v>0</v>
      </c>
      <c r="CK60" s="487">
        <f t="shared" ca="1" si="114"/>
        <v>0</v>
      </c>
      <c r="CL60" s="112"/>
      <c r="CM60" s="127">
        <f t="shared" ca="1" si="56"/>
        <v>0</v>
      </c>
      <c r="CN60" s="127">
        <f t="shared" ca="1" si="107"/>
        <v>0</v>
      </c>
      <c r="CO60" s="128" t="str">
        <f t="shared" ca="1" si="96"/>
        <v/>
      </c>
      <c r="CP60" s="61"/>
      <c r="CQ60" s="108">
        <v>57</v>
      </c>
      <c r="CR60" s="273">
        <v>0.15</v>
      </c>
      <c r="CS60" s="61">
        <f t="shared" si="58"/>
        <v>0</v>
      </c>
      <c r="CT60" s="278">
        <f t="shared" si="59"/>
        <v>0.15</v>
      </c>
      <c r="CU60" s="61">
        <f t="shared" si="60"/>
        <v>1</v>
      </c>
      <c r="CV60" s="287">
        <f t="shared" si="61"/>
        <v>1</v>
      </c>
      <c r="CW60" s="309">
        <f t="shared" si="108"/>
        <v>134.47</v>
      </c>
      <c r="CX60" s="309">
        <f t="shared" si="109"/>
        <v>65.95</v>
      </c>
      <c r="CY60" s="300">
        <f t="shared" si="110"/>
        <v>266.99</v>
      </c>
      <c r="CZ60" s="309">
        <f t="shared" si="111"/>
        <v>148.43</v>
      </c>
      <c r="DA60" s="338"/>
      <c r="DC60" s="544">
        <v>510.27000000000004</v>
      </c>
    </row>
    <row r="61" spans="1:107">
      <c r="A61" s="146">
        <v>25</v>
      </c>
      <c r="B61" s="141">
        <f ca="1">RESUMEN!J28</f>
        <v>0</v>
      </c>
      <c r="C61" s="141">
        <f ca="1">+RESUMEN!K28</f>
        <v>0</v>
      </c>
      <c r="D61" s="142">
        <f t="shared" ca="1" si="101"/>
        <v>0</v>
      </c>
      <c r="E61" s="145">
        <f ca="1">+RESUMEN!T10</f>
        <v>0</v>
      </c>
      <c r="F61" s="141">
        <f ca="1">RESUMEN!P10</f>
        <v>0</v>
      </c>
      <c r="G61" s="142">
        <f t="shared" ca="1" si="112"/>
        <v>0</v>
      </c>
      <c r="H61" s="133"/>
      <c r="I61" s="288"/>
      <c r="J61" s="132">
        <v>58</v>
      </c>
      <c r="K61" s="36">
        <v>67332.33</v>
      </c>
      <c r="L61" s="36">
        <v>83752.289999999994</v>
      </c>
      <c r="M61" s="36">
        <v>59767.95</v>
      </c>
      <c r="N61" s="36">
        <v>74343.22</v>
      </c>
      <c r="O61" s="36">
        <v>52919.54</v>
      </c>
      <c r="P61" s="36">
        <v>65824.73</v>
      </c>
      <c r="Q61" s="105">
        <f t="shared" si="74"/>
        <v>226511.29</v>
      </c>
      <c r="R61" s="105">
        <f t="shared" si="75"/>
        <v>278607.26</v>
      </c>
      <c r="S61" s="105">
        <f t="shared" si="76"/>
        <v>170588.44</v>
      </c>
      <c r="T61" s="105">
        <f t="shared" si="77"/>
        <v>186419.93</v>
      </c>
      <c r="U61" s="105">
        <f t="shared" si="78"/>
        <v>118022.28</v>
      </c>
      <c r="V61" s="105">
        <f t="shared" si="79"/>
        <v>132438.25</v>
      </c>
      <c r="W61" s="61"/>
      <c r="X61" s="106">
        <v>226511.29</v>
      </c>
      <c r="Y61" s="106">
        <v>278607.26</v>
      </c>
      <c r="Z61" s="105">
        <f t="shared" si="27"/>
        <v>236251.27546999999</v>
      </c>
      <c r="AA61" s="105">
        <f t="shared" si="28"/>
        <v>290587.37218000001</v>
      </c>
      <c r="AB61" s="105">
        <f t="shared" si="29"/>
        <v>253692.64480000004</v>
      </c>
      <c r="AC61" s="105">
        <f t="shared" si="30"/>
        <v>312040.13120000006</v>
      </c>
      <c r="AD61" s="107">
        <v>170588.44</v>
      </c>
      <c r="AE61" s="107">
        <v>186419.93</v>
      </c>
      <c r="AF61" s="105">
        <f t="shared" si="31"/>
        <v>177923.74291999999</v>
      </c>
      <c r="AG61" s="105">
        <f t="shared" si="32"/>
        <v>194435.98698999998</v>
      </c>
      <c r="AH61" s="105">
        <f t="shared" si="33"/>
        <v>191059.05280000003</v>
      </c>
      <c r="AI61" s="105">
        <f t="shared" si="34"/>
        <v>208790.32160000002</v>
      </c>
      <c r="AJ61" s="106">
        <v>118022.28</v>
      </c>
      <c r="AK61" s="106">
        <v>132438.25</v>
      </c>
      <c r="AL61" s="105">
        <f t="shared" si="35"/>
        <v>123097.23804</v>
      </c>
      <c r="AM61" s="105">
        <f t="shared" si="36"/>
        <v>138133.09474999999</v>
      </c>
      <c r="AN61" s="105">
        <f t="shared" si="37"/>
        <v>132184.95360000001</v>
      </c>
      <c r="AO61" s="105">
        <f t="shared" si="38"/>
        <v>148330.84000000003</v>
      </c>
      <c r="AP61" s="61"/>
      <c r="AQ61" s="108">
        <v>58</v>
      </c>
      <c r="AR61" s="109">
        <f ca="1">+RESUMEN!F61</f>
        <v>0</v>
      </c>
      <c r="AS61" s="109">
        <f ca="1">+RESUMEN!G61</f>
        <v>0</v>
      </c>
      <c r="AT61" s="110">
        <f t="shared" ca="1" si="80"/>
        <v>0</v>
      </c>
      <c r="AU61" s="111">
        <f t="shared" si="39"/>
        <v>0</v>
      </c>
      <c r="AV61" s="111">
        <f t="shared" si="40"/>
        <v>0</v>
      </c>
      <c r="AW61" s="111">
        <f t="shared" si="41"/>
        <v>0</v>
      </c>
      <c r="AX61" s="111">
        <f t="shared" si="42"/>
        <v>0</v>
      </c>
      <c r="AY61" s="111">
        <f t="shared" ca="1" si="43"/>
        <v>0</v>
      </c>
      <c r="AZ61" s="110"/>
      <c r="BA61" s="111">
        <f t="shared" ref="BA61:BA103" ca="1" si="115">+O61*$C$26</f>
        <v>0</v>
      </c>
      <c r="BB61" s="111">
        <f t="shared" ref="BB61:BB103" ca="1" si="116">+P61*$C$26</f>
        <v>0</v>
      </c>
      <c r="BC61" s="112"/>
      <c r="BD61" s="113">
        <f t="shared" ca="1" si="44"/>
        <v>0</v>
      </c>
      <c r="BE61" s="113">
        <f t="shared" ca="1" si="102"/>
        <v>0</v>
      </c>
      <c r="BF61" s="114" t="str">
        <f t="shared" ca="1" si="83"/>
        <v/>
      </c>
      <c r="BG61" s="61"/>
      <c r="BH61" s="64">
        <f t="shared" ref="BH61:BH103" ca="1" si="117">M61*$C$26</f>
        <v>0</v>
      </c>
      <c r="BI61" s="64">
        <f t="shared" ref="BI61:BI103" ca="1" si="118">N61*$C$26</f>
        <v>0</v>
      </c>
      <c r="BJ61" s="112"/>
      <c r="BK61" s="115">
        <f t="shared" ca="1" si="46"/>
        <v>0</v>
      </c>
      <c r="BL61" s="115">
        <f t="shared" ca="1" si="104"/>
        <v>0</v>
      </c>
      <c r="BM61" s="116" t="str">
        <f t="shared" ca="1" si="86"/>
        <v/>
      </c>
      <c r="BN61" s="61"/>
      <c r="BO61" s="117">
        <f t="shared" ref="BO61:BO103" ca="1" si="119">K61*$C$26</f>
        <v>0</v>
      </c>
      <c r="BP61" s="117">
        <f t="shared" ref="BP61:BP103" ca="1" si="120">L61*$C$26</f>
        <v>0</v>
      </c>
      <c r="BQ61" s="112"/>
      <c r="BR61" s="118">
        <f t="shared" ca="1" si="48"/>
        <v>0</v>
      </c>
      <c r="BS61" s="118">
        <f t="shared" ca="1" si="103"/>
        <v>0</v>
      </c>
      <c r="BT61" s="119" t="str">
        <f t="shared" ca="1" si="89"/>
        <v/>
      </c>
      <c r="BU61" s="61"/>
      <c r="BV61" s="120">
        <f t="shared" ca="1" si="90"/>
        <v>0</v>
      </c>
      <c r="BW61" s="120">
        <f t="shared" ca="1" si="91"/>
        <v>0</v>
      </c>
      <c r="BX61" s="112"/>
      <c r="BY61" s="121">
        <f t="shared" ca="1" si="50"/>
        <v>0</v>
      </c>
      <c r="BZ61" s="121">
        <f t="shared" ca="1" si="105"/>
        <v>0</v>
      </c>
      <c r="CA61" s="122" t="str">
        <f t="shared" ca="1" si="92"/>
        <v/>
      </c>
      <c r="CB61" s="61"/>
      <c r="CC61" s="123">
        <f t="shared" ca="1" si="52"/>
        <v>0</v>
      </c>
      <c r="CD61" s="123">
        <f t="shared" ca="1" si="53"/>
        <v>0</v>
      </c>
      <c r="CE61" s="112"/>
      <c r="CF61" s="124">
        <f t="shared" ca="1" si="54"/>
        <v>0</v>
      </c>
      <c r="CG61" s="124">
        <f t="shared" ca="1" si="106"/>
        <v>0</v>
      </c>
      <c r="CH61" s="125" t="str">
        <f t="shared" ca="1" si="93"/>
        <v/>
      </c>
      <c r="CI61" s="61"/>
      <c r="CJ61" s="487">
        <f t="shared" ca="1" si="113"/>
        <v>0</v>
      </c>
      <c r="CK61" s="487">
        <f t="shared" ca="1" si="114"/>
        <v>0</v>
      </c>
      <c r="CL61" s="112"/>
      <c r="CM61" s="127">
        <f t="shared" ca="1" si="56"/>
        <v>0</v>
      </c>
      <c r="CN61" s="127">
        <f t="shared" ca="1" si="107"/>
        <v>0</v>
      </c>
      <c r="CO61" s="128" t="str">
        <f t="shared" ca="1" si="96"/>
        <v/>
      </c>
      <c r="CP61" s="61"/>
      <c r="CQ61" s="108">
        <v>58</v>
      </c>
      <c r="CR61" s="273">
        <v>0.15</v>
      </c>
      <c r="CS61" s="61">
        <f t="shared" si="58"/>
        <v>0</v>
      </c>
      <c r="CT61" s="278">
        <f t="shared" si="59"/>
        <v>0.15</v>
      </c>
      <c r="CU61" s="61">
        <f t="shared" si="60"/>
        <v>1</v>
      </c>
      <c r="CV61" s="287">
        <f t="shared" si="61"/>
        <v>1</v>
      </c>
      <c r="CW61" s="309">
        <f t="shared" si="108"/>
        <v>134.47</v>
      </c>
      <c r="CX61" s="309">
        <f t="shared" si="109"/>
        <v>65.95</v>
      </c>
      <c r="CY61" s="300">
        <f t="shared" si="110"/>
        <v>266.99</v>
      </c>
      <c r="CZ61" s="309">
        <f t="shared" si="111"/>
        <v>148.43</v>
      </c>
      <c r="DA61" s="338"/>
      <c r="DC61" s="544">
        <v>510.27000000000004</v>
      </c>
    </row>
    <row r="62" spans="1:107" ht="16" thickBot="1">
      <c r="A62" s="146">
        <v>26</v>
      </c>
      <c r="B62" s="141">
        <f ca="1">RESUMEN!J29</f>
        <v>0</v>
      </c>
      <c r="C62" s="141">
        <f ca="1">+RESUMEN!K29</f>
        <v>0</v>
      </c>
      <c r="D62" s="142">
        <f t="shared" ca="1" si="101"/>
        <v>0</v>
      </c>
      <c r="E62" s="145">
        <f ca="1">+RESUMEN!T11</f>
        <v>0</v>
      </c>
      <c r="F62" s="141">
        <f ca="1">RESUMEN!P11</f>
        <v>0</v>
      </c>
      <c r="G62" s="142">
        <f t="shared" ca="1" si="112"/>
        <v>0</v>
      </c>
      <c r="H62" s="133"/>
      <c r="I62" s="288"/>
      <c r="J62" s="132">
        <v>59</v>
      </c>
      <c r="K62" s="36">
        <v>70025.62</v>
      </c>
      <c r="L62" s="36">
        <v>87649.65</v>
      </c>
      <c r="M62" s="36">
        <v>62158.66</v>
      </c>
      <c r="N62" s="36">
        <v>77802.740000000005</v>
      </c>
      <c r="O62" s="36">
        <v>55036.32</v>
      </c>
      <c r="P62" s="36">
        <v>68887.850000000006</v>
      </c>
      <c r="Q62" s="105">
        <f t="shared" si="74"/>
        <v>239943.41</v>
      </c>
      <c r="R62" s="105">
        <f t="shared" si="75"/>
        <v>298168.96000000002</v>
      </c>
      <c r="S62" s="105">
        <f t="shared" si="76"/>
        <v>180383.35999999999</v>
      </c>
      <c r="T62" s="105">
        <f t="shared" si="77"/>
        <v>199894.73</v>
      </c>
      <c r="U62" s="105">
        <f t="shared" si="78"/>
        <v>123964.11</v>
      </c>
      <c r="V62" s="105">
        <f t="shared" si="79"/>
        <v>142413.57999999999</v>
      </c>
      <c r="W62" s="61"/>
      <c r="X62" s="106">
        <v>239943.41</v>
      </c>
      <c r="Y62" s="106">
        <v>298168.96000000002</v>
      </c>
      <c r="Z62" s="105">
        <f t="shared" si="27"/>
        <v>250260.97662999999</v>
      </c>
      <c r="AA62" s="105">
        <f t="shared" si="28"/>
        <v>310990.22528000001</v>
      </c>
      <c r="AB62" s="105">
        <f t="shared" si="29"/>
        <v>268736.61920000002</v>
      </c>
      <c r="AC62" s="105">
        <f t="shared" si="30"/>
        <v>333949.23520000005</v>
      </c>
      <c r="AD62" s="107">
        <v>180383.35999999999</v>
      </c>
      <c r="AE62" s="107">
        <v>199894.73</v>
      </c>
      <c r="AF62" s="105">
        <f t="shared" si="31"/>
        <v>188139.84447999997</v>
      </c>
      <c r="AG62" s="105">
        <f t="shared" si="32"/>
        <v>208490.20339000001</v>
      </c>
      <c r="AH62" s="105">
        <f t="shared" si="33"/>
        <v>202029.36319999999</v>
      </c>
      <c r="AI62" s="105">
        <f t="shared" si="34"/>
        <v>223882.09760000004</v>
      </c>
      <c r="AJ62" s="106">
        <v>123964.11</v>
      </c>
      <c r="AK62" s="106">
        <v>142413.57999999999</v>
      </c>
      <c r="AL62" s="105">
        <f t="shared" si="35"/>
        <v>129294.56672999999</v>
      </c>
      <c r="AM62" s="105">
        <f t="shared" si="36"/>
        <v>148537.36393999998</v>
      </c>
      <c r="AN62" s="105">
        <f t="shared" si="37"/>
        <v>138839.80320000002</v>
      </c>
      <c r="AO62" s="105">
        <f t="shared" si="38"/>
        <v>159503.2096</v>
      </c>
      <c r="AP62" s="61"/>
      <c r="AQ62" s="108">
        <v>59</v>
      </c>
      <c r="AR62" s="109">
        <f ca="1">+RESUMEN!F62</f>
        <v>0</v>
      </c>
      <c r="AS62" s="109">
        <f ca="1">+RESUMEN!G62</f>
        <v>0</v>
      </c>
      <c r="AT62" s="110">
        <f t="shared" ca="1" si="80"/>
        <v>0</v>
      </c>
      <c r="AU62" s="111">
        <f t="shared" si="39"/>
        <v>0</v>
      </c>
      <c r="AV62" s="111">
        <f t="shared" si="40"/>
        <v>0</v>
      </c>
      <c r="AW62" s="111">
        <f t="shared" si="41"/>
        <v>0</v>
      </c>
      <c r="AX62" s="111">
        <f t="shared" si="42"/>
        <v>0</v>
      </c>
      <c r="AY62" s="111">
        <f t="shared" ca="1" si="43"/>
        <v>0</v>
      </c>
      <c r="AZ62" s="110"/>
      <c r="BA62" s="111">
        <f t="shared" ca="1" si="115"/>
        <v>0</v>
      </c>
      <c r="BB62" s="111">
        <f t="shared" ca="1" si="116"/>
        <v>0</v>
      </c>
      <c r="BC62" s="112"/>
      <c r="BD62" s="113">
        <f t="shared" ca="1" si="44"/>
        <v>0</v>
      </c>
      <c r="BE62" s="113">
        <f t="shared" ca="1" si="102"/>
        <v>0</v>
      </c>
      <c r="BF62" s="114" t="str">
        <f t="shared" ca="1" si="83"/>
        <v/>
      </c>
      <c r="BG62" s="61"/>
      <c r="BH62" s="64">
        <f t="shared" ca="1" si="117"/>
        <v>0</v>
      </c>
      <c r="BI62" s="64">
        <f t="shared" ca="1" si="118"/>
        <v>0</v>
      </c>
      <c r="BJ62" s="112"/>
      <c r="BK62" s="115">
        <f t="shared" ca="1" si="46"/>
        <v>0</v>
      </c>
      <c r="BL62" s="115">
        <f t="shared" ca="1" si="104"/>
        <v>0</v>
      </c>
      <c r="BM62" s="116" t="str">
        <f t="shared" ca="1" si="86"/>
        <v/>
      </c>
      <c r="BN62" s="61"/>
      <c r="BO62" s="117">
        <f t="shared" ca="1" si="119"/>
        <v>0</v>
      </c>
      <c r="BP62" s="117">
        <f t="shared" ca="1" si="120"/>
        <v>0</v>
      </c>
      <c r="BQ62" s="112"/>
      <c r="BR62" s="118">
        <f t="shared" ca="1" si="48"/>
        <v>0</v>
      </c>
      <c r="BS62" s="118">
        <f t="shared" ca="1" si="103"/>
        <v>0</v>
      </c>
      <c r="BT62" s="119" t="str">
        <f t="shared" ca="1" si="89"/>
        <v/>
      </c>
      <c r="BU62" s="195"/>
      <c r="BV62" s="120">
        <f t="shared" ca="1" si="90"/>
        <v>0</v>
      </c>
      <c r="BW62" s="120">
        <f t="shared" ca="1" si="91"/>
        <v>0</v>
      </c>
      <c r="BX62" s="112"/>
      <c r="BY62" s="121">
        <f t="shared" ca="1" si="50"/>
        <v>0</v>
      </c>
      <c r="BZ62" s="121">
        <f t="shared" ca="1" si="105"/>
        <v>0</v>
      </c>
      <c r="CA62" s="122" t="str">
        <f t="shared" ca="1" si="92"/>
        <v/>
      </c>
      <c r="CB62" s="61"/>
      <c r="CC62" s="123">
        <f t="shared" ca="1" si="52"/>
        <v>0</v>
      </c>
      <c r="CD62" s="123">
        <f t="shared" ca="1" si="53"/>
        <v>0</v>
      </c>
      <c r="CE62" s="112"/>
      <c r="CF62" s="124">
        <f t="shared" ca="1" si="54"/>
        <v>0</v>
      </c>
      <c r="CG62" s="124">
        <f t="shared" ca="1" si="106"/>
        <v>0</v>
      </c>
      <c r="CH62" s="125" t="str">
        <f t="shared" ca="1" si="93"/>
        <v/>
      </c>
      <c r="CI62" s="61"/>
      <c r="CJ62" s="487">
        <f t="shared" ca="1" si="113"/>
        <v>0</v>
      </c>
      <c r="CK62" s="487">
        <f t="shared" ca="1" si="114"/>
        <v>0</v>
      </c>
      <c r="CL62" s="112"/>
      <c r="CM62" s="127">
        <f t="shared" ca="1" si="56"/>
        <v>0</v>
      </c>
      <c r="CN62" s="127">
        <f t="shared" ca="1" si="107"/>
        <v>0</v>
      </c>
      <c r="CO62" s="128" t="str">
        <f t="shared" ca="1" si="96"/>
        <v/>
      </c>
      <c r="CP62" s="61"/>
      <c r="CQ62" s="331">
        <v>59</v>
      </c>
      <c r="CR62" s="332">
        <v>0.15</v>
      </c>
      <c r="CS62" s="333">
        <f t="shared" si="58"/>
        <v>0</v>
      </c>
      <c r="CT62" s="334">
        <f t="shared" si="59"/>
        <v>0.15</v>
      </c>
      <c r="CU62" s="333">
        <f t="shared" si="60"/>
        <v>1</v>
      </c>
      <c r="CV62" s="335">
        <f t="shared" si="61"/>
        <v>1</v>
      </c>
      <c r="CW62" s="309">
        <f t="shared" si="108"/>
        <v>134.47</v>
      </c>
      <c r="CX62" s="309">
        <f t="shared" si="109"/>
        <v>65.95</v>
      </c>
      <c r="CY62" s="300">
        <f t="shared" si="110"/>
        <v>266.99</v>
      </c>
      <c r="CZ62" s="309">
        <f t="shared" si="111"/>
        <v>148.43</v>
      </c>
      <c r="DA62" s="338"/>
      <c r="DC62" s="544">
        <v>510.27000000000004</v>
      </c>
    </row>
    <row r="63" spans="1:107">
      <c r="A63" s="146">
        <v>27</v>
      </c>
      <c r="B63" s="141">
        <f ca="1">RESUMEN!J30</f>
        <v>0</v>
      </c>
      <c r="C63" s="141">
        <f ca="1">+RESUMEN!K30</f>
        <v>0</v>
      </c>
      <c r="D63" s="142">
        <f t="shared" ca="1" si="101"/>
        <v>0</v>
      </c>
      <c r="E63" s="145">
        <f ca="1">+RESUMEN!T12</f>
        <v>0</v>
      </c>
      <c r="F63" s="141">
        <f ca="1">RESUMEN!P12</f>
        <v>0</v>
      </c>
      <c r="G63" s="142">
        <f t="shared" ca="1" si="112"/>
        <v>0</v>
      </c>
      <c r="H63" s="133"/>
      <c r="I63" s="288"/>
      <c r="J63" s="132">
        <v>60</v>
      </c>
      <c r="K63" s="36">
        <v>72906.960000000006</v>
      </c>
      <c r="L63" s="36">
        <v>90300.86</v>
      </c>
      <c r="M63" s="36">
        <v>64716.31</v>
      </c>
      <c r="N63" s="36">
        <v>80156.100000000006</v>
      </c>
      <c r="O63" s="36">
        <v>57300.9</v>
      </c>
      <c r="P63" s="36">
        <v>70971.55</v>
      </c>
      <c r="Q63" s="105">
        <f t="shared" si="74"/>
        <v>249421.17</v>
      </c>
      <c r="R63" s="105">
        <f t="shared" si="75"/>
        <v>314352.58</v>
      </c>
      <c r="S63" s="105">
        <f t="shared" si="76"/>
        <v>189443.41</v>
      </c>
      <c r="T63" s="105">
        <f t="shared" si="77"/>
        <v>214968.49</v>
      </c>
      <c r="U63" s="105">
        <f t="shared" si="78"/>
        <v>140862.74</v>
      </c>
      <c r="V63" s="105">
        <f t="shared" si="79"/>
        <v>153987.73000000001</v>
      </c>
      <c r="W63" s="61"/>
      <c r="X63" s="106">
        <v>249421.17</v>
      </c>
      <c r="Y63" s="106">
        <v>314352.58</v>
      </c>
      <c r="Z63" s="105">
        <f t="shared" si="27"/>
        <v>260146.28031</v>
      </c>
      <c r="AA63" s="105">
        <f t="shared" si="28"/>
        <v>327869.74093999999</v>
      </c>
      <c r="AB63" s="105">
        <f t="shared" si="29"/>
        <v>279351.71040000004</v>
      </c>
      <c r="AC63" s="105">
        <f t="shared" si="30"/>
        <v>352074.88960000005</v>
      </c>
      <c r="AD63" s="107">
        <v>189443.41</v>
      </c>
      <c r="AE63" s="107">
        <v>214968.49</v>
      </c>
      <c r="AF63" s="105">
        <f t="shared" si="31"/>
        <v>197589.47662999999</v>
      </c>
      <c r="AG63" s="105">
        <f t="shared" si="32"/>
        <v>224212.13506999996</v>
      </c>
      <c r="AH63" s="105">
        <f t="shared" si="33"/>
        <v>212176.61920000002</v>
      </c>
      <c r="AI63" s="105">
        <f t="shared" si="34"/>
        <v>240764.70880000002</v>
      </c>
      <c r="AJ63" s="106">
        <v>140862.74</v>
      </c>
      <c r="AK63" s="106">
        <v>153987.73000000001</v>
      </c>
      <c r="AL63" s="105">
        <f t="shared" si="35"/>
        <v>146919.83781999999</v>
      </c>
      <c r="AM63" s="105">
        <f t="shared" si="36"/>
        <v>160609.20238999999</v>
      </c>
      <c r="AN63" s="105">
        <f t="shared" si="37"/>
        <v>157766.26879999999</v>
      </c>
      <c r="AO63" s="105">
        <f t="shared" si="38"/>
        <v>172466.25760000004</v>
      </c>
      <c r="AP63" s="61"/>
      <c r="AQ63" s="108">
        <v>60</v>
      </c>
      <c r="AR63" s="109">
        <f ca="1">+RESUMEN!F63</f>
        <v>0</v>
      </c>
      <c r="AS63" s="109">
        <f ca="1">+RESUMEN!G63</f>
        <v>0</v>
      </c>
      <c r="AT63" s="110">
        <f t="shared" ca="1" si="80"/>
        <v>0</v>
      </c>
      <c r="AU63" s="111">
        <f t="shared" si="39"/>
        <v>0</v>
      </c>
      <c r="AV63" s="111">
        <f t="shared" si="40"/>
        <v>0</v>
      </c>
      <c r="AW63" s="111">
        <f t="shared" si="41"/>
        <v>0</v>
      </c>
      <c r="AX63" s="111">
        <f t="shared" si="42"/>
        <v>0</v>
      </c>
      <c r="AY63" s="111">
        <f t="shared" ca="1" si="43"/>
        <v>0</v>
      </c>
      <c r="AZ63" s="110"/>
      <c r="BA63" s="111">
        <f t="shared" ca="1" si="115"/>
        <v>0</v>
      </c>
      <c r="BB63" s="111">
        <f t="shared" ca="1" si="116"/>
        <v>0</v>
      </c>
      <c r="BC63" s="112"/>
      <c r="BD63" s="113">
        <f t="shared" ca="1" si="44"/>
        <v>0</v>
      </c>
      <c r="BE63" s="113">
        <f t="shared" ca="1" si="102"/>
        <v>0</v>
      </c>
      <c r="BF63" s="114" t="str">
        <f t="shared" ca="1" si="83"/>
        <v/>
      </c>
      <c r="BG63" s="61"/>
      <c r="BH63" s="64">
        <f t="shared" ca="1" si="117"/>
        <v>0</v>
      </c>
      <c r="BI63" s="64">
        <f t="shared" ca="1" si="118"/>
        <v>0</v>
      </c>
      <c r="BJ63" s="112"/>
      <c r="BK63" s="115">
        <f t="shared" ca="1" si="46"/>
        <v>0</v>
      </c>
      <c r="BL63" s="115">
        <f t="shared" ca="1" si="104"/>
        <v>0</v>
      </c>
      <c r="BM63" s="116" t="str">
        <f t="shared" ca="1" si="86"/>
        <v/>
      </c>
      <c r="BN63" s="61"/>
      <c r="BO63" s="117">
        <f t="shared" ca="1" si="119"/>
        <v>0</v>
      </c>
      <c r="BP63" s="117">
        <f t="shared" ca="1" si="120"/>
        <v>0</v>
      </c>
      <c r="BQ63" s="112"/>
      <c r="BR63" s="118">
        <f t="shared" ca="1" si="48"/>
        <v>0</v>
      </c>
      <c r="BS63" s="118">
        <f t="shared" ca="1" si="103"/>
        <v>0</v>
      </c>
      <c r="BT63" s="119" t="str">
        <f t="shared" ca="1" si="89"/>
        <v/>
      </c>
      <c r="BU63" s="61"/>
      <c r="BV63" s="120">
        <f t="shared" ca="1" si="90"/>
        <v>0</v>
      </c>
      <c r="BW63" s="120">
        <f t="shared" ca="1" si="91"/>
        <v>0</v>
      </c>
      <c r="BX63" s="112"/>
      <c r="BY63" s="121">
        <f t="shared" ca="1" si="50"/>
        <v>0</v>
      </c>
      <c r="BZ63" s="121">
        <f t="shared" ca="1" si="105"/>
        <v>0</v>
      </c>
      <c r="CA63" s="122" t="str">
        <f t="shared" ca="1" si="92"/>
        <v/>
      </c>
      <c r="CB63" s="61"/>
      <c r="CC63" s="123">
        <f t="shared" ca="1" si="52"/>
        <v>0</v>
      </c>
      <c r="CD63" s="123">
        <f t="shared" ca="1" si="53"/>
        <v>0</v>
      </c>
      <c r="CE63" s="112"/>
      <c r="CF63" s="124">
        <f t="shared" ca="1" si="54"/>
        <v>0</v>
      </c>
      <c r="CG63" s="124">
        <f t="shared" ca="1" si="106"/>
        <v>0</v>
      </c>
      <c r="CH63" s="125" t="str">
        <f t="shared" ca="1" si="93"/>
        <v/>
      </c>
      <c r="CI63" s="61"/>
      <c r="CJ63" s="487">
        <f t="shared" ca="1" si="113"/>
        <v>0</v>
      </c>
      <c r="CK63" s="487">
        <f t="shared" ca="1" si="114"/>
        <v>0</v>
      </c>
      <c r="CL63" s="112"/>
      <c r="CM63" s="127">
        <f t="shared" ca="1" si="56"/>
        <v>0</v>
      </c>
      <c r="CN63" s="127">
        <f t="shared" ca="1" si="107"/>
        <v>0</v>
      </c>
      <c r="CO63" s="128" t="str">
        <f t="shared" ca="1" si="96"/>
        <v/>
      </c>
      <c r="CP63" s="61"/>
      <c r="CQ63" s="307">
        <v>60</v>
      </c>
      <c r="CR63" s="308">
        <v>0.12</v>
      </c>
      <c r="CS63" s="61">
        <f t="shared" si="58"/>
        <v>0</v>
      </c>
      <c r="CT63" s="278">
        <f t="shared" si="59"/>
        <v>0.12</v>
      </c>
      <c r="CU63" s="61">
        <f t="shared" si="60"/>
        <v>1</v>
      </c>
      <c r="CV63" s="287">
        <f>+IF($C$13="NO",1,1.075)</f>
        <v>1</v>
      </c>
      <c r="CW63" s="309">
        <f t="shared" ref="CW63:CW103" si="121">+IF(p=1,IF(g=1,128.58,127.65),139.81)</f>
        <v>128.58000000000001</v>
      </c>
      <c r="CX63" s="309">
        <f t="shared" ref="CX63:CX103" si="122">+IF(p=1,IF(g=1,63.07,62.61),68.57)</f>
        <v>63.07</v>
      </c>
      <c r="CY63" s="300">
        <f t="shared" ref="CY63:CY103" si="123">+IF(p=1,IF(g=1,255.3,252.75),277.59)</f>
        <v>255.3</v>
      </c>
      <c r="CZ63" s="309">
        <f t="shared" ref="CZ63:CZ103" si="124">+IF(p=1,141.73,0)</f>
        <v>141.72999999999999</v>
      </c>
      <c r="DA63"/>
      <c r="DC63" s="544">
        <v>485.96999999999997</v>
      </c>
    </row>
    <row r="64" spans="1:107">
      <c r="A64" s="146">
        <v>28</v>
      </c>
      <c r="B64" s="141">
        <f ca="1">RESUMEN!J31</f>
        <v>0</v>
      </c>
      <c r="C64" s="141">
        <f ca="1">+RESUMEN!K31</f>
        <v>0</v>
      </c>
      <c r="D64" s="142">
        <f t="shared" ca="1" si="101"/>
        <v>0</v>
      </c>
      <c r="E64" s="145">
        <f ca="1">+RESUMEN!T13</f>
        <v>0</v>
      </c>
      <c r="F64" s="141">
        <f ca="1">RESUMEN!P13</f>
        <v>0</v>
      </c>
      <c r="G64" s="142">
        <f t="shared" ca="1" si="112"/>
        <v>0</v>
      </c>
      <c r="H64" s="133"/>
      <c r="I64" s="288"/>
      <c r="J64" s="132">
        <v>61</v>
      </c>
      <c r="K64" s="36">
        <v>73835.820000000007</v>
      </c>
      <c r="L64" s="36">
        <v>94265.97</v>
      </c>
      <c r="M64" s="36">
        <v>65540.81</v>
      </c>
      <c r="N64" s="36">
        <v>83675.75</v>
      </c>
      <c r="O64" s="36">
        <v>58030.93</v>
      </c>
      <c r="P64" s="36">
        <v>74087.91</v>
      </c>
      <c r="Q64" s="105">
        <f t="shared" si="74"/>
        <v>276558.2</v>
      </c>
      <c r="R64" s="105">
        <f t="shared" si="75"/>
        <v>326385.07</v>
      </c>
      <c r="S64" s="105">
        <f t="shared" si="76"/>
        <v>227755.79</v>
      </c>
      <c r="T64" s="105">
        <f t="shared" si="77"/>
        <v>239753.33</v>
      </c>
      <c r="U64" s="105">
        <f t="shared" si="78"/>
        <v>149558.67000000001</v>
      </c>
      <c r="V64" s="105">
        <f t="shared" si="79"/>
        <v>154640.22</v>
      </c>
      <c r="W64" s="61"/>
      <c r="X64" s="106">
        <v>276558.2</v>
      </c>
      <c r="Y64" s="106">
        <v>326385.07</v>
      </c>
      <c r="Z64" s="105">
        <f t="shared" si="27"/>
        <v>288450.20260000002</v>
      </c>
      <c r="AA64" s="105">
        <f t="shared" si="28"/>
        <v>340419.62800999999</v>
      </c>
      <c r="AB64" s="105">
        <f t="shared" si="29"/>
        <v>309745.18400000007</v>
      </c>
      <c r="AC64" s="105">
        <f t="shared" si="30"/>
        <v>365551.27840000007</v>
      </c>
      <c r="AD64" s="107">
        <v>227755.79</v>
      </c>
      <c r="AE64" s="107">
        <v>239753.33</v>
      </c>
      <c r="AF64" s="105">
        <f t="shared" si="31"/>
        <v>237549.28896999999</v>
      </c>
      <c r="AG64" s="105">
        <f t="shared" si="32"/>
        <v>250062.72318999996</v>
      </c>
      <c r="AH64" s="105">
        <f t="shared" si="33"/>
        <v>255086.48480000003</v>
      </c>
      <c r="AI64" s="105">
        <f t="shared" si="34"/>
        <v>268523.72960000002</v>
      </c>
      <c r="AJ64" s="106">
        <v>149558.67000000001</v>
      </c>
      <c r="AK64" s="106">
        <v>154640.22</v>
      </c>
      <c r="AL64" s="105">
        <f t="shared" si="35"/>
        <v>155989.69281000001</v>
      </c>
      <c r="AM64" s="105">
        <f t="shared" si="36"/>
        <v>161289.74945999999</v>
      </c>
      <c r="AN64" s="105">
        <f t="shared" si="37"/>
        <v>167505.71040000004</v>
      </c>
      <c r="AO64" s="105">
        <f t="shared" si="38"/>
        <v>173197.04640000002</v>
      </c>
      <c r="AP64" s="61"/>
      <c r="AQ64" s="108">
        <v>61</v>
      </c>
      <c r="AR64" s="109">
        <f ca="1">+RESUMEN!F64</f>
        <v>0</v>
      </c>
      <c r="AS64" s="109">
        <f ca="1">+RESUMEN!G64</f>
        <v>0</v>
      </c>
      <c r="AT64" s="110">
        <f t="shared" ca="1" si="80"/>
        <v>0</v>
      </c>
      <c r="AU64" s="111">
        <f t="shared" si="39"/>
        <v>0</v>
      </c>
      <c r="AV64" s="111">
        <f t="shared" si="40"/>
        <v>0</v>
      </c>
      <c r="AW64" s="111">
        <f t="shared" si="41"/>
        <v>0</v>
      </c>
      <c r="AX64" s="111">
        <f t="shared" si="42"/>
        <v>0</v>
      </c>
      <c r="AY64" s="111">
        <f t="shared" ca="1" si="43"/>
        <v>0</v>
      </c>
      <c r="AZ64" s="110"/>
      <c r="BA64" s="111">
        <f t="shared" ca="1" si="115"/>
        <v>0</v>
      </c>
      <c r="BB64" s="111">
        <f t="shared" ca="1" si="116"/>
        <v>0</v>
      </c>
      <c r="BC64" s="112"/>
      <c r="BD64" s="113">
        <f t="shared" ca="1" si="44"/>
        <v>0</v>
      </c>
      <c r="BE64" s="113">
        <f t="shared" ca="1" si="102"/>
        <v>0</v>
      </c>
      <c r="BF64" s="114" t="str">
        <f t="shared" ca="1" si="83"/>
        <v/>
      </c>
      <c r="BG64" s="61"/>
      <c r="BH64" s="64">
        <f t="shared" ca="1" si="117"/>
        <v>0</v>
      </c>
      <c r="BI64" s="64">
        <f t="shared" ca="1" si="118"/>
        <v>0</v>
      </c>
      <c r="BJ64" s="112"/>
      <c r="BK64" s="115">
        <f t="shared" ca="1" si="46"/>
        <v>0</v>
      </c>
      <c r="BL64" s="115">
        <f t="shared" ca="1" si="104"/>
        <v>0</v>
      </c>
      <c r="BM64" s="116" t="str">
        <f t="shared" ca="1" si="86"/>
        <v/>
      </c>
      <c r="BN64" s="61"/>
      <c r="BO64" s="117">
        <f t="shared" ca="1" si="119"/>
        <v>0</v>
      </c>
      <c r="BP64" s="117">
        <f t="shared" ca="1" si="120"/>
        <v>0</v>
      </c>
      <c r="BQ64" s="112"/>
      <c r="BR64" s="118">
        <f t="shared" ca="1" si="48"/>
        <v>0</v>
      </c>
      <c r="BS64" s="118">
        <f t="shared" ca="1" si="103"/>
        <v>0</v>
      </c>
      <c r="BT64" s="119" t="str">
        <f t="shared" ca="1" si="89"/>
        <v/>
      </c>
      <c r="BU64" s="61"/>
      <c r="BV64" s="120">
        <f t="shared" ca="1" si="90"/>
        <v>0</v>
      </c>
      <c r="BW64" s="120">
        <f t="shared" ca="1" si="91"/>
        <v>0</v>
      </c>
      <c r="BX64" s="112"/>
      <c r="BY64" s="121">
        <f t="shared" ca="1" si="50"/>
        <v>0</v>
      </c>
      <c r="BZ64" s="121">
        <f t="shared" ca="1" si="105"/>
        <v>0</v>
      </c>
      <c r="CA64" s="122" t="str">
        <f t="shared" ca="1" si="92"/>
        <v/>
      </c>
      <c r="CB64" s="61"/>
      <c r="CC64" s="123">
        <f t="shared" ca="1" si="52"/>
        <v>0</v>
      </c>
      <c r="CD64" s="123">
        <f t="shared" ca="1" si="53"/>
        <v>0</v>
      </c>
      <c r="CE64" s="112"/>
      <c r="CF64" s="124">
        <f t="shared" ca="1" si="54"/>
        <v>0</v>
      </c>
      <c r="CG64" s="124">
        <f t="shared" ca="1" si="106"/>
        <v>0</v>
      </c>
      <c r="CH64" s="125" t="str">
        <f t="shared" ca="1" si="93"/>
        <v/>
      </c>
      <c r="CI64" s="61"/>
      <c r="CJ64" s="487">
        <f t="shared" ca="1" si="113"/>
        <v>0</v>
      </c>
      <c r="CK64" s="487">
        <f t="shared" ca="1" si="114"/>
        <v>0</v>
      </c>
      <c r="CL64" s="112"/>
      <c r="CM64" s="127">
        <f t="shared" ca="1" si="56"/>
        <v>0</v>
      </c>
      <c r="CN64" s="127">
        <f t="shared" ca="1" si="107"/>
        <v>0</v>
      </c>
      <c r="CO64" s="128" t="str">
        <f t="shared" ca="1" si="96"/>
        <v/>
      </c>
      <c r="CP64" s="61"/>
      <c r="CQ64" s="108">
        <v>61</v>
      </c>
      <c r="CR64" s="273">
        <v>0.12</v>
      </c>
      <c r="CS64" s="61">
        <f t="shared" si="58"/>
        <v>0</v>
      </c>
      <c r="CT64" s="278">
        <f t="shared" si="59"/>
        <v>0.12</v>
      </c>
      <c r="CU64" s="61">
        <f t="shared" si="60"/>
        <v>1</v>
      </c>
      <c r="CV64" s="287">
        <f t="shared" ref="CV64:CV103" si="125">+IF($C$13="NO",1,1.075)</f>
        <v>1</v>
      </c>
      <c r="CW64" s="309">
        <f t="shared" si="121"/>
        <v>128.58000000000001</v>
      </c>
      <c r="CX64" s="309">
        <f t="shared" si="122"/>
        <v>63.07</v>
      </c>
      <c r="CY64" s="300">
        <f t="shared" si="123"/>
        <v>255.3</v>
      </c>
      <c r="CZ64" s="309">
        <f t="shared" si="124"/>
        <v>141.72999999999999</v>
      </c>
      <c r="DA64"/>
      <c r="DC64" s="544">
        <v>485.96999999999997</v>
      </c>
    </row>
    <row r="65" spans="1:107">
      <c r="A65" s="146">
        <v>29</v>
      </c>
      <c r="B65" s="141">
        <f ca="1">RESUMEN!J32</f>
        <v>0</v>
      </c>
      <c r="C65" s="141">
        <f ca="1">+RESUMEN!K32</f>
        <v>0</v>
      </c>
      <c r="D65" s="142">
        <f t="shared" ca="1" si="101"/>
        <v>0</v>
      </c>
      <c r="E65" s="145">
        <f ca="1">+RESUMEN!T14</f>
        <v>0</v>
      </c>
      <c r="F65" s="141">
        <f ca="1">RESUMEN!P14</f>
        <v>0</v>
      </c>
      <c r="G65" s="142">
        <f t="shared" ca="1" si="112"/>
        <v>0</v>
      </c>
      <c r="H65" s="133"/>
      <c r="I65" s="288"/>
      <c r="J65" s="132">
        <v>62</v>
      </c>
      <c r="K65" s="36">
        <v>82262.600000000006</v>
      </c>
      <c r="L65" s="36">
        <v>102261.3</v>
      </c>
      <c r="M65" s="36">
        <v>73020.899999999994</v>
      </c>
      <c r="N65" s="36">
        <v>90772.86</v>
      </c>
      <c r="O65" s="36">
        <v>64653.919999999998</v>
      </c>
      <c r="P65" s="36">
        <v>80371.8</v>
      </c>
      <c r="Q65" s="105">
        <f t="shared" si="74"/>
        <v>312533.62</v>
      </c>
      <c r="R65" s="105">
        <f t="shared" si="75"/>
        <v>333411.49</v>
      </c>
      <c r="S65" s="105">
        <f t="shared" si="76"/>
        <v>238164.75</v>
      </c>
      <c r="T65" s="105">
        <f t="shared" si="77"/>
        <v>252375.65</v>
      </c>
      <c r="U65" s="105">
        <f t="shared" si="78"/>
        <v>160053.69</v>
      </c>
      <c r="V65" s="105">
        <f t="shared" si="79"/>
        <v>159360.64000000001</v>
      </c>
      <c r="W65" s="61"/>
      <c r="X65" s="106">
        <v>312533.62</v>
      </c>
      <c r="Y65" s="106">
        <v>333411.49</v>
      </c>
      <c r="Z65" s="105">
        <f t="shared" si="27"/>
        <v>325972.56565999996</v>
      </c>
      <c r="AA65" s="105">
        <f t="shared" si="28"/>
        <v>347748.18406999996</v>
      </c>
      <c r="AB65" s="105">
        <f t="shared" si="29"/>
        <v>350037.6544</v>
      </c>
      <c r="AC65" s="105">
        <f t="shared" si="30"/>
        <v>373420.8688</v>
      </c>
      <c r="AD65" s="107">
        <v>238164.75</v>
      </c>
      <c r="AE65" s="107">
        <v>252375.65</v>
      </c>
      <c r="AF65" s="105">
        <f t="shared" si="31"/>
        <v>248405.83424999999</v>
      </c>
      <c r="AG65" s="105">
        <f t="shared" si="32"/>
        <v>263227.80294999998</v>
      </c>
      <c r="AH65" s="105">
        <f t="shared" si="33"/>
        <v>266744.52</v>
      </c>
      <c r="AI65" s="105">
        <f t="shared" si="34"/>
        <v>282660.728</v>
      </c>
      <c r="AJ65" s="106">
        <v>160053.69</v>
      </c>
      <c r="AK65" s="106">
        <v>159360.64000000001</v>
      </c>
      <c r="AL65" s="105">
        <f t="shared" si="35"/>
        <v>166935.99867</v>
      </c>
      <c r="AM65" s="105">
        <f t="shared" si="36"/>
        <v>166213.14752</v>
      </c>
      <c r="AN65" s="105">
        <f t="shared" si="37"/>
        <v>179260.13280000002</v>
      </c>
      <c r="AO65" s="105">
        <f t="shared" si="38"/>
        <v>178483.91680000004</v>
      </c>
      <c r="AP65" s="61"/>
      <c r="AQ65" s="108">
        <v>62</v>
      </c>
      <c r="AR65" s="109">
        <f ca="1">+RESUMEN!F65</f>
        <v>0</v>
      </c>
      <c r="AS65" s="109">
        <f ca="1">+RESUMEN!G65</f>
        <v>0</v>
      </c>
      <c r="AT65" s="110">
        <f t="shared" ca="1" si="80"/>
        <v>0</v>
      </c>
      <c r="AU65" s="111">
        <f t="shared" si="39"/>
        <v>0</v>
      </c>
      <c r="AV65" s="111">
        <f t="shared" si="40"/>
        <v>0</v>
      </c>
      <c r="AW65" s="111">
        <f t="shared" si="41"/>
        <v>0</v>
      </c>
      <c r="AX65" s="111">
        <f t="shared" si="42"/>
        <v>0</v>
      </c>
      <c r="AY65" s="111">
        <f t="shared" ca="1" si="43"/>
        <v>0</v>
      </c>
      <c r="AZ65" s="110"/>
      <c r="BA65" s="111">
        <f t="shared" ca="1" si="115"/>
        <v>0</v>
      </c>
      <c r="BB65" s="111">
        <f t="shared" ca="1" si="116"/>
        <v>0</v>
      </c>
      <c r="BC65" s="112"/>
      <c r="BD65" s="113">
        <f t="shared" ca="1" si="44"/>
        <v>0</v>
      </c>
      <c r="BE65" s="113">
        <f t="shared" ca="1" si="102"/>
        <v>0</v>
      </c>
      <c r="BF65" s="114" t="str">
        <f t="shared" ca="1" si="83"/>
        <v/>
      </c>
      <c r="BG65" s="61"/>
      <c r="BH65" s="64">
        <f t="shared" ca="1" si="117"/>
        <v>0</v>
      </c>
      <c r="BI65" s="64">
        <f t="shared" ca="1" si="118"/>
        <v>0</v>
      </c>
      <c r="BJ65" s="112"/>
      <c r="BK65" s="115">
        <f t="shared" ca="1" si="46"/>
        <v>0</v>
      </c>
      <c r="BL65" s="115">
        <f t="shared" ca="1" si="104"/>
        <v>0</v>
      </c>
      <c r="BM65" s="116" t="str">
        <f t="shared" ca="1" si="86"/>
        <v/>
      </c>
      <c r="BN65" s="61"/>
      <c r="BO65" s="117">
        <f t="shared" ca="1" si="119"/>
        <v>0</v>
      </c>
      <c r="BP65" s="117">
        <f t="shared" ca="1" si="120"/>
        <v>0</v>
      </c>
      <c r="BQ65" s="112"/>
      <c r="BR65" s="118">
        <f t="shared" ca="1" si="48"/>
        <v>0</v>
      </c>
      <c r="BS65" s="118">
        <f t="shared" ca="1" si="103"/>
        <v>0</v>
      </c>
      <c r="BT65" s="119" t="str">
        <f t="shared" ca="1" si="89"/>
        <v/>
      </c>
      <c r="BU65" s="61"/>
      <c r="BV65" s="120">
        <f t="shared" ca="1" si="90"/>
        <v>0</v>
      </c>
      <c r="BW65" s="120">
        <f t="shared" ca="1" si="91"/>
        <v>0</v>
      </c>
      <c r="BX65" s="112"/>
      <c r="BY65" s="121">
        <f t="shared" ca="1" si="50"/>
        <v>0</v>
      </c>
      <c r="BZ65" s="121">
        <f t="shared" ca="1" si="105"/>
        <v>0</v>
      </c>
      <c r="CA65" s="122" t="str">
        <f t="shared" ca="1" si="92"/>
        <v/>
      </c>
      <c r="CB65" s="61"/>
      <c r="CC65" s="123">
        <f t="shared" ca="1" si="52"/>
        <v>0</v>
      </c>
      <c r="CD65" s="123">
        <f t="shared" ca="1" si="53"/>
        <v>0</v>
      </c>
      <c r="CE65" s="112"/>
      <c r="CF65" s="124">
        <f t="shared" ca="1" si="54"/>
        <v>0</v>
      </c>
      <c r="CG65" s="124">
        <f t="shared" ca="1" si="106"/>
        <v>0</v>
      </c>
      <c r="CH65" s="125" t="str">
        <f t="shared" ca="1" si="93"/>
        <v/>
      </c>
      <c r="CI65" s="61"/>
      <c r="CJ65" s="487">
        <f t="shared" ca="1" si="113"/>
        <v>0</v>
      </c>
      <c r="CK65" s="487">
        <f t="shared" ca="1" si="114"/>
        <v>0</v>
      </c>
      <c r="CL65" s="112"/>
      <c r="CM65" s="127">
        <f t="shared" ca="1" si="56"/>
        <v>0</v>
      </c>
      <c r="CN65" s="127">
        <f t="shared" ca="1" si="107"/>
        <v>0</v>
      </c>
      <c r="CO65" s="128" t="str">
        <f t="shared" ca="1" si="96"/>
        <v/>
      </c>
      <c r="CP65" s="61"/>
      <c r="CQ65" s="108">
        <v>62</v>
      </c>
      <c r="CR65" s="273">
        <v>0.12</v>
      </c>
      <c r="CS65" s="61">
        <f t="shared" si="58"/>
        <v>0</v>
      </c>
      <c r="CT65" s="278">
        <f t="shared" si="59"/>
        <v>0.12</v>
      </c>
      <c r="CU65" s="61">
        <f t="shared" si="60"/>
        <v>1</v>
      </c>
      <c r="CV65" s="287">
        <f t="shared" si="125"/>
        <v>1</v>
      </c>
      <c r="CW65" s="309">
        <f t="shared" si="121"/>
        <v>128.58000000000001</v>
      </c>
      <c r="CX65" s="309">
        <f t="shared" si="122"/>
        <v>63.07</v>
      </c>
      <c r="CY65" s="300">
        <f t="shared" si="123"/>
        <v>255.3</v>
      </c>
      <c r="CZ65" s="309">
        <f t="shared" si="124"/>
        <v>141.72999999999999</v>
      </c>
      <c r="DA65"/>
      <c r="DC65" s="544">
        <v>485.96999999999997</v>
      </c>
    </row>
    <row r="66" spans="1:107">
      <c r="A66" s="146">
        <v>30</v>
      </c>
      <c r="B66" s="141">
        <f ca="1">RESUMEN!J33</f>
        <v>0</v>
      </c>
      <c r="C66" s="141">
        <f ca="1">+RESUMEN!K33</f>
        <v>0</v>
      </c>
      <c r="D66" s="142">
        <f t="shared" ca="1" si="101"/>
        <v>0</v>
      </c>
      <c r="E66" s="145">
        <f ca="1">+RESUMEN!T15</f>
        <v>0</v>
      </c>
      <c r="F66" s="141">
        <f ca="1">RESUMEN!P15</f>
        <v>0</v>
      </c>
      <c r="G66" s="142">
        <f t="shared" ca="1" si="112"/>
        <v>0</v>
      </c>
      <c r="H66" s="133"/>
      <c r="I66" s="288"/>
      <c r="J66" s="132">
        <v>63</v>
      </c>
      <c r="K66" s="36">
        <v>91623</v>
      </c>
      <c r="L66" s="36">
        <v>105486.19</v>
      </c>
      <c r="M66" s="36">
        <v>81329.710000000006</v>
      </c>
      <c r="N66" s="36">
        <v>93635.45</v>
      </c>
      <c r="O66" s="36">
        <v>72010.679999999993</v>
      </c>
      <c r="P66" s="36">
        <v>82906.39</v>
      </c>
      <c r="Q66" s="105">
        <f t="shared" si="74"/>
        <v>316492.39</v>
      </c>
      <c r="R66" s="105">
        <f t="shared" si="75"/>
        <v>328197.86</v>
      </c>
      <c r="S66" s="105">
        <f t="shared" si="76"/>
        <v>238439.13</v>
      </c>
      <c r="T66" s="105">
        <f t="shared" si="77"/>
        <v>245533.36</v>
      </c>
      <c r="U66" s="105">
        <f t="shared" si="78"/>
        <v>162545.21</v>
      </c>
      <c r="V66" s="105">
        <f t="shared" si="79"/>
        <v>161036.99</v>
      </c>
      <c r="W66" s="61"/>
      <c r="X66" s="106">
        <v>316492.39</v>
      </c>
      <c r="Y66" s="106">
        <v>328197.86</v>
      </c>
      <c r="Z66" s="105">
        <f t="shared" si="27"/>
        <v>330101.56277000002</v>
      </c>
      <c r="AA66" s="105">
        <f t="shared" si="28"/>
        <v>342310.36797999998</v>
      </c>
      <c r="AB66" s="105">
        <f t="shared" si="29"/>
        <v>354471.47680000006</v>
      </c>
      <c r="AC66" s="105">
        <f t="shared" si="30"/>
        <v>367581.60320000001</v>
      </c>
      <c r="AD66" s="107">
        <v>238439.13</v>
      </c>
      <c r="AE66" s="107">
        <v>245533.36</v>
      </c>
      <c r="AF66" s="105">
        <f t="shared" si="31"/>
        <v>248692.01259</v>
      </c>
      <c r="AG66" s="105">
        <f t="shared" si="32"/>
        <v>256091.29447999995</v>
      </c>
      <c r="AH66" s="105">
        <f t="shared" si="33"/>
        <v>267051.82560000004</v>
      </c>
      <c r="AI66" s="105">
        <f t="shared" si="34"/>
        <v>274997.36320000002</v>
      </c>
      <c r="AJ66" s="106">
        <v>162545.21</v>
      </c>
      <c r="AK66" s="106">
        <v>161036.99</v>
      </c>
      <c r="AL66" s="105">
        <f t="shared" si="35"/>
        <v>169534.65402999998</v>
      </c>
      <c r="AM66" s="105">
        <f t="shared" si="36"/>
        <v>167961.58056999999</v>
      </c>
      <c r="AN66" s="105">
        <f t="shared" si="37"/>
        <v>182050.63520000002</v>
      </c>
      <c r="AO66" s="105">
        <f t="shared" si="38"/>
        <v>180361.42879999999</v>
      </c>
      <c r="AP66" s="61"/>
      <c r="AQ66" s="108">
        <v>63</v>
      </c>
      <c r="AR66" s="109">
        <f ca="1">+RESUMEN!F66</f>
        <v>0</v>
      </c>
      <c r="AS66" s="109">
        <f ca="1">+RESUMEN!G66</f>
        <v>0</v>
      </c>
      <c r="AT66" s="110">
        <f t="shared" ca="1" si="80"/>
        <v>0</v>
      </c>
      <c r="AU66" s="111">
        <f t="shared" si="39"/>
        <v>0</v>
      </c>
      <c r="AV66" s="111">
        <f t="shared" si="40"/>
        <v>0</v>
      </c>
      <c r="AW66" s="111">
        <f t="shared" si="41"/>
        <v>0</v>
      </c>
      <c r="AX66" s="111">
        <f t="shared" si="42"/>
        <v>0</v>
      </c>
      <c r="AY66" s="111">
        <f t="shared" ca="1" si="43"/>
        <v>0</v>
      </c>
      <c r="AZ66" s="110"/>
      <c r="BA66" s="111">
        <f t="shared" ca="1" si="115"/>
        <v>0</v>
      </c>
      <c r="BB66" s="111">
        <f t="shared" ca="1" si="116"/>
        <v>0</v>
      </c>
      <c r="BC66" s="112"/>
      <c r="BD66" s="113">
        <f t="shared" ca="1" si="44"/>
        <v>0</v>
      </c>
      <c r="BE66" s="113">
        <f t="shared" ca="1" si="102"/>
        <v>0</v>
      </c>
      <c r="BF66" s="114" t="str">
        <f t="shared" ca="1" si="83"/>
        <v/>
      </c>
      <c r="BG66" s="61"/>
      <c r="BH66" s="64">
        <f t="shared" ca="1" si="117"/>
        <v>0</v>
      </c>
      <c r="BI66" s="64">
        <f t="shared" ca="1" si="118"/>
        <v>0</v>
      </c>
      <c r="BJ66" s="112"/>
      <c r="BK66" s="115">
        <f t="shared" ca="1" si="46"/>
        <v>0</v>
      </c>
      <c r="BL66" s="115">
        <f t="shared" ca="1" si="104"/>
        <v>0</v>
      </c>
      <c r="BM66" s="116" t="str">
        <f t="shared" ca="1" si="86"/>
        <v/>
      </c>
      <c r="BN66" s="61"/>
      <c r="BO66" s="117">
        <f t="shared" ca="1" si="119"/>
        <v>0</v>
      </c>
      <c r="BP66" s="117">
        <f t="shared" ca="1" si="120"/>
        <v>0</v>
      </c>
      <c r="BQ66" s="112"/>
      <c r="BR66" s="118">
        <f t="shared" ca="1" si="48"/>
        <v>0</v>
      </c>
      <c r="BS66" s="118">
        <f t="shared" ca="1" si="103"/>
        <v>0</v>
      </c>
      <c r="BT66" s="119" t="str">
        <f t="shared" ca="1" si="89"/>
        <v/>
      </c>
      <c r="BU66" s="61"/>
      <c r="BV66" s="120">
        <f t="shared" ca="1" si="90"/>
        <v>0</v>
      </c>
      <c r="BW66" s="120">
        <f t="shared" ca="1" si="91"/>
        <v>0</v>
      </c>
      <c r="BX66" s="112"/>
      <c r="BY66" s="121">
        <f t="shared" ca="1" si="50"/>
        <v>0</v>
      </c>
      <c r="BZ66" s="121">
        <f t="shared" ca="1" si="105"/>
        <v>0</v>
      </c>
      <c r="CA66" s="122" t="str">
        <f t="shared" ca="1" si="92"/>
        <v/>
      </c>
      <c r="CB66" s="61"/>
      <c r="CC66" s="123">
        <f t="shared" ca="1" si="52"/>
        <v>0</v>
      </c>
      <c r="CD66" s="123">
        <f t="shared" ca="1" si="53"/>
        <v>0</v>
      </c>
      <c r="CE66" s="112"/>
      <c r="CF66" s="124">
        <f t="shared" ca="1" si="54"/>
        <v>0</v>
      </c>
      <c r="CG66" s="124">
        <f t="shared" ca="1" si="106"/>
        <v>0</v>
      </c>
      <c r="CH66" s="125" t="str">
        <f t="shared" ca="1" si="93"/>
        <v/>
      </c>
      <c r="CI66" s="61"/>
      <c r="CJ66" s="487">
        <f t="shared" ca="1" si="113"/>
        <v>0</v>
      </c>
      <c r="CK66" s="487">
        <f t="shared" ca="1" si="114"/>
        <v>0</v>
      </c>
      <c r="CL66" s="112"/>
      <c r="CM66" s="127">
        <f t="shared" ca="1" si="56"/>
        <v>0</v>
      </c>
      <c r="CN66" s="127">
        <f t="shared" ca="1" si="107"/>
        <v>0</v>
      </c>
      <c r="CO66" s="128" t="str">
        <f t="shared" ca="1" si="96"/>
        <v/>
      </c>
      <c r="CP66" s="61"/>
      <c r="CQ66" s="108">
        <v>63</v>
      </c>
      <c r="CR66" s="273">
        <v>0.12</v>
      </c>
      <c r="CS66" s="61">
        <f t="shared" si="58"/>
        <v>0</v>
      </c>
      <c r="CT66" s="278">
        <f t="shared" si="59"/>
        <v>0.12</v>
      </c>
      <c r="CU66" s="61">
        <f t="shared" si="60"/>
        <v>1</v>
      </c>
      <c r="CV66" s="287">
        <f t="shared" si="125"/>
        <v>1</v>
      </c>
      <c r="CW66" s="309">
        <f t="shared" si="121"/>
        <v>128.58000000000001</v>
      </c>
      <c r="CX66" s="309">
        <f t="shared" si="122"/>
        <v>63.07</v>
      </c>
      <c r="CY66" s="300">
        <f t="shared" si="123"/>
        <v>255.3</v>
      </c>
      <c r="CZ66" s="309">
        <f t="shared" si="124"/>
        <v>141.72999999999999</v>
      </c>
      <c r="DA66"/>
      <c r="DC66" s="544">
        <v>485.96999999999997</v>
      </c>
    </row>
    <row r="67" spans="1:107">
      <c r="A67" s="146">
        <v>31</v>
      </c>
      <c r="B67" s="141">
        <f ca="1">RESUMEN!J34</f>
        <v>0</v>
      </c>
      <c r="C67" s="141">
        <f ca="1">+RESUMEN!K34</f>
        <v>0</v>
      </c>
      <c r="D67" s="142">
        <f t="shared" ca="1" si="101"/>
        <v>0</v>
      </c>
      <c r="E67" s="145">
        <f ca="1">+RESUMEN!T16</f>
        <v>0</v>
      </c>
      <c r="F67" s="141">
        <f ca="1">RESUMEN!P16</f>
        <v>0</v>
      </c>
      <c r="G67" s="142">
        <f t="shared" ca="1" si="112"/>
        <v>0</v>
      </c>
      <c r="H67" s="133"/>
      <c r="I67" s="288"/>
      <c r="J67" s="132">
        <v>64</v>
      </c>
      <c r="K67" s="36">
        <v>99304.89</v>
      </c>
      <c r="L67" s="36">
        <v>112221.54</v>
      </c>
      <c r="M67" s="36">
        <v>88148.59</v>
      </c>
      <c r="N67" s="36">
        <v>99614.13</v>
      </c>
      <c r="O67" s="36">
        <v>78048.23</v>
      </c>
      <c r="P67" s="36">
        <v>88200.01</v>
      </c>
      <c r="Q67" s="105">
        <f t="shared" ref="Q67:Q103" si="126">(IF($C$11="A",AB67,IF($C$11="B",Z67,IF($C$11="C",X67," "))))</f>
        <v>337248.01</v>
      </c>
      <c r="R67" s="105">
        <f t="shared" ref="R67:R103" si="127">(IF($C$11="A",AC67,IF($C$11="B",AA67,IF($C$11="C",Y67," "))))</f>
        <v>348825.98</v>
      </c>
      <c r="S67" s="105">
        <f t="shared" ref="S67:S103" si="128">(IF($C$11="A",AH67,IF($C$11="B",AF67,IF($C$11="C",AD67," "))))</f>
        <v>259730.25</v>
      </c>
      <c r="T67" s="105">
        <f t="shared" ref="T67:T103" si="129">(IF($C$11="A",AI67,IF($C$11="B",AG67,IF($C$11="C",AE67," "))))</f>
        <v>255650.95</v>
      </c>
      <c r="U67" s="105">
        <f t="shared" ref="U67:U103" si="130">(IF($C$11="A",AN67,IF($C$11="B",AL67,IF($C$11="C",AJ67," "))))</f>
        <v>176463.67</v>
      </c>
      <c r="V67" s="105">
        <f t="shared" ref="V67:V103" si="131">(IF($C$11="A",AO67,IF($C$11="B",AM67,IF($C$11="C",AK67," "))))</f>
        <v>167649.76999999999</v>
      </c>
      <c r="W67" s="61"/>
      <c r="X67" s="106">
        <v>337248.01</v>
      </c>
      <c r="Y67" s="106">
        <v>348825.98</v>
      </c>
      <c r="Z67" s="105">
        <f t="shared" si="27"/>
        <v>351749.67443000001</v>
      </c>
      <c r="AA67" s="105">
        <f t="shared" si="28"/>
        <v>363825.49713999993</v>
      </c>
      <c r="AB67" s="105">
        <f t="shared" si="29"/>
        <v>377717.77120000002</v>
      </c>
      <c r="AC67" s="105">
        <f t="shared" si="30"/>
        <v>390685.09760000004</v>
      </c>
      <c r="AD67" s="107">
        <v>259730.25</v>
      </c>
      <c r="AE67" s="107">
        <v>255650.95</v>
      </c>
      <c r="AF67" s="105">
        <f t="shared" si="31"/>
        <v>270898.65074999997</v>
      </c>
      <c r="AG67" s="105">
        <f t="shared" si="32"/>
        <v>266643.94085000001</v>
      </c>
      <c r="AH67" s="105">
        <f t="shared" si="33"/>
        <v>290897.88</v>
      </c>
      <c r="AI67" s="105">
        <f t="shared" si="34"/>
        <v>286329.06400000001</v>
      </c>
      <c r="AJ67" s="106">
        <v>176463.67</v>
      </c>
      <c r="AK67" s="106">
        <v>167649.76999999999</v>
      </c>
      <c r="AL67" s="105">
        <f t="shared" si="35"/>
        <v>184051.60780999999</v>
      </c>
      <c r="AM67" s="105">
        <f t="shared" si="36"/>
        <v>174858.71010999999</v>
      </c>
      <c r="AN67" s="105">
        <f t="shared" si="37"/>
        <v>197639.31040000005</v>
      </c>
      <c r="AO67" s="105">
        <f t="shared" si="38"/>
        <v>187767.74240000002</v>
      </c>
      <c r="AP67" s="61"/>
      <c r="AQ67" s="108">
        <v>64</v>
      </c>
      <c r="AR67" s="109">
        <f ca="1">+RESUMEN!F67</f>
        <v>0</v>
      </c>
      <c r="AS67" s="109">
        <f ca="1">+RESUMEN!G67</f>
        <v>0</v>
      </c>
      <c r="AT67" s="110">
        <f t="shared" ref="AT67:AT98" ca="1" si="132">AR67+AS67</f>
        <v>0</v>
      </c>
      <c r="AU67" s="111">
        <f t="shared" si="39"/>
        <v>0</v>
      </c>
      <c r="AV67" s="111">
        <f t="shared" si="40"/>
        <v>0</v>
      </c>
      <c r="AW67" s="111">
        <f t="shared" si="41"/>
        <v>0</v>
      </c>
      <c r="AX67" s="111">
        <f t="shared" si="42"/>
        <v>0</v>
      </c>
      <c r="AY67" s="111">
        <f t="shared" ca="1" si="43"/>
        <v>0</v>
      </c>
      <c r="AZ67" s="110"/>
      <c r="BA67" s="111">
        <f t="shared" ca="1" si="115"/>
        <v>0</v>
      </c>
      <c r="BB67" s="111">
        <f t="shared" ca="1" si="116"/>
        <v>0</v>
      </c>
      <c r="BC67" s="112"/>
      <c r="BD67" s="113">
        <f t="shared" ca="1" si="44"/>
        <v>0</v>
      </c>
      <c r="BE67" s="113">
        <f t="shared" ca="1" si="102"/>
        <v>0</v>
      </c>
      <c r="BF67" s="114" t="str">
        <f t="shared" ref="BF67:BF98" ca="1" si="133">IF(BA67=0,"",(SUM(BD67:BE67)))</f>
        <v/>
      </c>
      <c r="BG67" s="61"/>
      <c r="BH67" s="64">
        <f t="shared" ca="1" si="117"/>
        <v>0</v>
      </c>
      <c r="BI67" s="64">
        <f t="shared" ca="1" si="118"/>
        <v>0</v>
      </c>
      <c r="BJ67" s="112"/>
      <c r="BK67" s="115">
        <f t="shared" ca="1" si="46"/>
        <v>0</v>
      </c>
      <c r="BL67" s="115">
        <f t="shared" ca="1" si="104"/>
        <v>0</v>
      </c>
      <c r="BM67" s="116" t="str">
        <f t="shared" ref="BM67:BM98" ca="1" si="134">IF(BH67=0,"",(SUM(BK67:BL67)))</f>
        <v/>
      </c>
      <c r="BN67" s="61"/>
      <c r="BO67" s="117">
        <f t="shared" ca="1" si="119"/>
        <v>0</v>
      </c>
      <c r="BP67" s="117">
        <f t="shared" ca="1" si="120"/>
        <v>0</v>
      </c>
      <c r="BQ67" s="112"/>
      <c r="BR67" s="118">
        <f t="shared" ca="1" si="48"/>
        <v>0</v>
      </c>
      <c r="BS67" s="118">
        <f t="shared" ca="1" si="103"/>
        <v>0</v>
      </c>
      <c r="BT67" s="119" t="str">
        <f t="shared" ref="BT67:BT98" ca="1" si="135">IF(BO67=0,"",(SUM(BR67:BS67)))</f>
        <v/>
      </c>
      <c r="BU67" s="61"/>
      <c r="BV67" s="120">
        <f t="shared" ref="BV67:BV103" ca="1" si="136">Q67*$B$26</f>
        <v>0</v>
      </c>
      <c r="BW67" s="120">
        <f t="shared" ref="BW67:BW103" ca="1" si="137">R67*$B$26</f>
        <v>0</v>
      </c>
      <c r="BX67" s="112"/>
      <c r="BY67" s="121">
        <f t="shared" ca="1" si="50"/>
        <v>0</v>
      </c>
      <c r="BZ67" s="121">
        <f t="shared" ca="1" si="105"/>
        <v>0</v>
      </c>
      <c r="CA67" s="122" t="str">
        <f t="shared" ref="CA67:CA98" ca="1" si="138">IF(BV67=0,"",(SUM(BY67:BZ67)))</f>
        <v/>
      </c>
      <c r="CB67" s="61"/>
      <c r="CC67" s="123">
        <f t="shared" ca="1" si="52"/>
        <v>0</v>
      </c>
      <c r="CD67" s="123">
        <f t="shared" ca="1" si="53"/>
        <v>0</v>
      </c>
      <c r="CE67" s="112"/>
      <c r="CF67" s="124">
        <f t="shared" ca="1" si="54"/>
        <v>0</v>
      </c>
      <c r="CG67" s="124">
        <f t="shared" ca="1" si="106"/>
        <v>0</v>
      </c>
      <c r="CH67" s="125" t="str">
        <f t="shared" ref="CH67:CH98" ca="1" si="139">IF(CC67=0,"",(SUM(CF67:CG67)))</f>
        <v/>
      </c>
      <c r="CI67" s="61"/>
      <c r="CJ67" s="487">
        <f t="shared" ca="1" si="113"/>
        <v>0</v>
      </c>
      <c r="CK67" s="487">
        <f t="shared" ca="1" si="114"/>
        <v>0</v>
      </c>
      <c r="CL67" s="112"/>
      <c r="CM67" s="127">
        <f t="shared" ca="1" si="56"/>
        <v>0</v>
      </c>
      <c r="CN67" s="127">
        <f t="shared" ca="1" si="107"/>
        <v>0</v>
      </c>
      <c r="CO67" s="128" t="str">
        <f t="shared" ref="CO67:CO98" ca="1" si="140">IF(CJ67=0,"",(SUM(CM67:CN67)))</f>
        <v/>
      </c>
      <c r="CP67" s="61"/>
      <c r="CQ67" s="108">
        <v>64</v>
      </c>
      <c r="CR67" s="273">
        <v>0.12</v>
      </c>
      <c r="CS67" s="61">
        <f t="shared" si="58"/>
        <v>0</v>
      </c>
      <c r="CT67" s="278">
        <f t="shared" si="59"/>
        <v>0.12</v>
      </c>
      <c r="CU67" s="61">
        <f t="shared" si="60"/>
        <v>1</v>
      </c>
      <c r="CV67" s="287">
        <f t="shared" si="125"/>
        <v>1</v>
      </c>
      <c r="CW67" s="309">
        <f t="shared" si="121"/>
        <v>128.58000000000001</v>
      </c>
      <c r="CX67" s="309">
        <f t="shared" si="122"/>
        <v>63.07</v>
      </c>
      <c r="CY67" s="300">
        <f t="shared" si="123"/>
        <v>255.3</v>
      </c>
      <c r="CZ67" s="309">
        <f t="shared" si="124"/>
        <v>141.72999999999999</v>
      </c>
      <c r="DA67"/>
      <c r="DC67" s="544">
        <v>485.96999999999997</v>
      </c>
    </row>
    <row r="68" spans="1:107">
      <c r="A68" s="146">
        <v>32</v>
      </c>
      <c r="B68" s="141">
        <f ca="1">RESUMEN!J35</f>
        <v>0</v>
      </c>
      <c r="C68" s="141">
        <f ca="1">+RESUMEN!K35</f>
        <v>0</v>
      </c>
      <c r="D68" s="142">
        <f t="shared" ref="D68:D99" ca="1" si="141">B68+C68</f>
        <v>0</v>
      </c>
      <c r="E68" s="145">
        <f ca="1">+RESUMEN!T17</f>
        <v>0</v>
      </c>
      <c r="F68" s="141">
        <f ca="1">RESUMEN!P17</f>
        <v>0</v>
      </c>
      <c r="G68" s="142">
        <f t="shared" ca="1" si="112"/>
        <v>0</v>
      </c>
      <c r="H68" s="133"/>
      <c r="I68" s="288"/>
      <c r="J68" s="132">
        <v>65</v>
      </c>
      <c r="K68" s="36">
        <v>111294.36</v>
      </c>
      <c r="L68" s="36">
        <v>121738.55</v>
      </c>
      <c r="M68" s="36">
        <v>98791.11</v>
      </c>
      <c r="N68" s="36">
        <v>108061.96</v>
      </c>
      <c r="O68" s="36">
        <v>87471.3</v>
      </c>
      <c r="P68" s="36">
        <v>95679.86</v>
      </c>
      <c r="Q68" s="105">
        <f t="shared" si="126"/>
        <v>359802.29</v>
      </c>
      <c r="R68" s="105">
        <f t="shared" si="127"/>
        <v>350637.89</v>
      </c>
      <c r="S68" s="105">
        <f t="shared" si="128"/>
        <v>268939.39</v>
      </c>
      <c r="T68" s="105">
        <f t="shared" si="129"/>
        <v>259862.55</v>
      </c>
      <c r="U68" s="105">
        <f t="shared" si="130"/>
        <v>180182.29</v>
      </c>
      <c r="V68" s="105">
        <f t="shared" si="131"/>
        <v>173937.29</v>
      </c>
      <c r="W68" s="61"/>
      <c r="X68" s="106">
        <v>359802.29</v>
      </c>
      <c r="Y68" s="106">
        <v>350637.89</v>
      </c>
      <c r="Z68" s="105">
        <f t="shared" ref="Z68:Z103" si="142">X68*1.043</f>
        <v>375273.78846999997</v>
      </c>
      <c r="AA68" s="105">
        <f t="shared" ref="AA68:AA103" si="143">Y68*1.043</f>
        <v>365715.31926999998</v>
      </c>
      <c r="AB68" s="105">
        <f t="shared" ref="AB68:AB103" si="144">X68*1.12</f>
        <v>402978.56479999999</v>
      </c>
      <c r="AC68" s="105">
        <f t="shared" ref="AC68:AC103" si="145">Y68*1.12</f>
        <v>392714.43680000002</v>
      </c>
      <c r="AD68" s="107">
        <v>268939.39</v>
      </c>
      <c r="AE68" s="107">
        <v>259862.55</v>
      </c>
      <c r="AF68" s="105">
        <f t="shared" ref="AF68:AF103" si="146">AD68*1.043</f>
        <v>280503.78376999998</v>
      </c>
      <c r="AG68" s="105">
        <f t="shared" ref="AG68:AG103" si="147">AE68*1.043</f>
        <v>271036.63964999997</v>
      </c>
      <c r="AH68" s="105">
        <f t="shared" ref="AH68:AH103" si="148">AD68*1.12</f>
        <v>301212.11680000002</v>
      </c>
      <c r="AI68" s="105">
        <f t="shared" ref="AI68:AI103" si="149">AE68*1.12</f>
        <v>291046.05600000004</v>
      </c>
      <c r="AJ68" s="106">
        <v>180182.29</v>
      </c>
      <c r="AK68" s="106">
        <v>173937.29</v>
      </c>
      <c r="AL68" s="105">
        <f t="shared" ref="AL68:AL103" si="150">AJ68*1.043</f>
        <v>187930.12847</v>
      </c>
      <c r="AM68" s="105">
        <f t="shared" ref="AM68:AM103" si="151">AK68*1.043</f>
        <v>181416.59346999999</v>
      </c>
      <c r="AN68" s="105">
        <f t="shared" ref="AN68:AN103" si="152">AJ68*1.12</f>
        <v>201804.16480000003</v>
      </c>
      <c r="AO68" s="105">
        <f t="shared" ref="AO68:AO103" si="153">AK68*1.12</f>
        <v>194809.76480000003</v>
      </c>
      <c r="AP68" s="61"/>
      <c r="AQ68" s="108">
        <v>65</v>
      </c>
      <c r="AR68" s="109">
        <f ca="1">+RESUMEN!F68</f>
        <v>0</v>
      </c>
      <c r="AS68" s="109">
        <f ca="1">+RESUMEN!G68</f>
        <v>0</v>
      </c>
      <c r="AT68" s="110">
        <f t="shared" ca="1" si="132"/>
        <v>0</v>
      </c>
      <c r="AU68" s="111">
        <f t="shared" ref="AU68:AU103" si="154">+((IF($G$9="SI",$K172*$B$24,0))*(VLOOKUP($F$10,$L$107:$N$123,3,0)))*IF($F$20=1,1,$B$25)</f>
        <v>0</v>
      </c>
      <c r="AV68" s="111">
        <f t="shared" ref="AV68:AV103" si="155">((IF($G$12="SI",$K172*$B$24,0))*(VLOOKUP($F$13,$L$107:$N$123,3,0)))*IF($F$20=1,1,$B$25)</f>
        <v>0</v>
      </c>
      <c r="AW68" s="111">
        <f t="shared" ref="AW68:AW103" si="156">((IF($G$26="SI",$G172*$B$24,0))*(VLOOKUP($F$27,$F$95:$H$99,3,0)))*IF($F$20=1,1,$B$25)</f>
        <v>0</v>
      </c>
      <c r="AX68" s="111">
        <f t="shared" ref="AX68:AX103" si="157">((IF($G$26="SI",$H172*$B$24,0))*(VLOOKUP($F$27,$F$95:$H$99,3,0)))*IF($F$20=1,1,$B$25)</f>
        <v>0</v>
      </c>
      <c r="AY68" s="111">
        <f t="shared" ref="AY68:AY103" ca="1" si="158">SUM(CW68:CZ68)*IF($F$20=1,1,$B$25)*$B$24</f>
        <v>0</v>
      </c>
      <c r="AZ68" s="110"/>
      <c r="BA68" s="111">
        <f t="shared" ca="1" si="115"/>
        <v>0</v>
      </c>
      <c r="BB68" s="111">
        <f t="shared" ca="1" si="116"/>
        <v>0</v>
      </c>
      <c r="BC68" s="112"/>
      <c r="BD68" s="113">
        <f t="shared" ref="BD68:BD103" ca="1" si="159">(($BA68*$AR68*CV68)+($AU68*$B207)+($AV68*$B101)+($AW68*$AR68)+($AR68*$AY68))*CU68</f>
        <v>0</v>
      </c>
      <c r="BE68" s="113">
        <f t="shared" ca="1" si="102"/>
        <v>0</v>
      </c>
      <c r="BF68" s="114" t="str">
        <f t="shared" ca="1" si="133"/>
        <v/>
      </c>
      <c r="BG68" s="61"/>
      <c r="BH68" s="64">
        <f t="shared" ca="1" si="117"/>
        <v>0</v>
      </c>
      <c r="BI68" s="64">
        <f t="shared" ca="1" si="118"/>
        <v>0</v>
      </c>
      <c r="BJ68" s="112"/>
      <c r="BK68" s="115">
        <f t="shared" ref="BK68:BK103" ca="1" si="160">(($BH68*$AR68*CV68)+($AU68*$B207)+($AV68*$B101)+($AW68*$AR68)+($AR68*$AY68))*CU68</f>
        <v>0</v>
      </c>
      <c r="BL68" s="115">
        <f t="shared" ca="1" si="104"/>
        <v>0</v>
      </c>
      <c r="BM68" s="116" t="str">
        <f t="shared" ca="1" si="134"/>
        <v/>
      </c>
      <c r="BN68" s="61"/>
      <c r="BO68" s="117">
        <f t="shared" ca="1" si="119"/>
        <v>0</v>
      </c>
      <c r="BP68" s="117">
        <f t="shared" ca="1" si="120"/>
        <v>0</v>
      </c>
      <c r="BQ68" s="112"/>
      <c r="BR68" s="118">
        <f t="shared" ref="BR68:BR103" ca="1" si="161">(($BO68*$AR68*CV68)+($AU68*$B207)+($AV68*$B101)+($AW68*$AR68)+($AR68*$AY68))*CU68</f>
        <v>0</v>
      </c>
      <c r="BS68" s="118">
        <f t="shared" ca="1" si="103"/>
        <v>0</v>
      </c>
      <c r="BT68" s="119" t="str">
        <f t="shared" ca="1" si="135"/>
        <v/>
      </c>
      <c r="BU68" s="61"/>
      <c r="BV68" s="120">
        <f t="shared" ca="1" si="136"/>
        <v>0</v>
      </c>
      <c r="BW68" s="120">
        <f t="shared" ca="1" si="137"/>
        <v>0</v>
      </c>
      <c r="BX68" s="112"/>
      <c r="BY68" s="121">
        <f t="shared" ref="BY68:BY103" ca="1" si="162">(($BV68*$AR68*CV68)+($AU68*$B207)+($AV68*$B101)+($AR68*$AY68))*CU68</f>
        <v>0</v>
      </c>
      <c r="BZ68" s="121">
        <f t="shared" ca="1" si="105"/>
        <v>0</v>
      </c>
      <c r="CA68" s="122" t="str">
        <f t="shared" ca="1" si="138"/>
        <v/>
      </c>
      <c r="CB68" s="61"/>
      <c r="CC68" s="123">
        <f t="shared" ref="CC68:CC103" ca="1" si="163">U68*$CD$118</f>
        <v>0</v>
      </c>
      <c r="CD68" s="123">
        <f t="shared" ref="CD68:CD103" ca="1" si="164">V68*$CD$118</f>
        <v>0</v>
      </c>
      <c r="CE68" s="112"/>
      <c r="CF68" s="124">
        <f t="shared" ref="CF68:CF103" ca="1" si="165">(($CC68*$AR68*CV68)+($AU68*$B207)+($AV68*$B101)+($AR68*$DC68))*CU68</f>
        <v>0</v>
      </c>
      <c r="CG68" s="124">
        <f t="shared" ca="1" si="106"/>
        <v>0</v>
      </c>
      <c r="CH68" s="125" t="str">
        <f t="shared" ca="1" si="139"/>
        <v/>
      </c>
      <c r="CI68" s="61"/>
      <c r="CJ68" s="487">
        <f t="shared" ca="1" si="113"/>
        <v>0</v>
      </c>
      <c r="CK68" s="487">
        <f t="shared" ca="1" si="114"/>
        <v>0</v>
      </c>
      <c r="CL68" s="112"/>
      <c r="CM68" s="127">
        <f t="shared" ref="CM68:CM103" ca="1" si="166">(($CJ68*$AR68*CV68)+($AU68*$B207)+($AV68*$B101)+($AR68*$AY68))*CU68</f>
        <v>0</v>
      </c>
      <c r="CN68" s="127">
        <f t="shared" ca="1" si="107"/>
        <v>0</v>
      </c>
      <c r="CO68" s="128" t="str">
        <f t="shared" ca="1" si="140"/>
        <v/>
      </c>
      <c r="CP68" s="61"/>
      <c r="CQ68" s="108">
        <v>65</v>
      </c>
      <c r="CR68" s="273">
        <v>0.12</v>
      </c>
      <c r="CS68" s="61">
        <f t="shared" ref="CS68:CS103" si="167">+CR68*$CS$2</f>
        <v>0</v>
      </c>
      <c r="CT68" s="278">
        <f t="shared" ref="CT68:CT103" si="168">ROUND(CR68-CS68,4)</f>
        <v>0.12</v>
      </c>
      <c r="CU68" s="61">
        <f t="shared" ref="CU68:CU103" si="169">1-CS68</f>
        <v>1</v>
      </c>
      <c r="CV68" s="287">
        <f t="shared" si="125"/>
        <v>1</v>
      </c>
      <c r="CW68" s="309">
        <f t="shared" si="121"/>
        <v>128.58000000000001</v>
      </c>
      <c r="CX68" s="309">
        <f t="shared" si="122"/>
        <v>63.07</v>
      </c>
      <c r="CY68" s="300">
        <f t="shared" si="123"/>
        <v>255.3</v>
      </c>
      <c r="CZ68" s="309">
        <f t="shared" si="124"/>
        <v>141.72999999999999</v>
      </c>
      <c r="DA68"/>
      <c r="DC68" s="544">
        <v>485.96999999999997</v>
      </c>
    </row>
    <row r="69" spans="1:107">
      <c r="A69" s="146">
        <v>33</v>
      </c>
      <c r="B69" s="141">
        <f ca="1">RESUMEN!J36</f>
        <v>0</v>
      </c>
      <c r="C69" s="141">
        <f ca="1">+RESUMEN!K36</f>
        <v>0</v>
      </c>
      <c r="D69" s="142">
        <f t="shared" ca="1" si="141"/>
        <v>0</v>
      </c>
      <c r="E69" s="145">
        <f ca="1">+RESUMEN!T18</f>
        <v>0</v>
      </c>
      <c r="F69" s="141">
        <f ca="1">RESUMEN!P18</f>
        <v>0</v>
      </c>
      <c r="G69" s="142">
        <f t="shared" ca="1" si="112"/>
        <v>0</v>
      </c>
      <c r="H69" s="133"/>
      <c r="I69" s="288"/>
      <c r="J69" s="132">
        <v>66</v>
      </c>
      <c r="K69" s="36">
        <v>117274.17</v>
      </c>
      <c r="L69" s="36">
        <v>128198.8</v>
      </c>
      <c r="M69" s="36">
        <v>104099.13</v>
      </c>
      <c r="N69" s="36">
        <v>113796.44</v>
      </c>
      <c r="O69" s="36">
        <v>92171.1</v>
      </c>
      <c r="P69" s="36">
        <v>100757.26</v>
      </c>
      <c r="Q69" s="105">
        <f t="shared" si="126"/>
        <v>373197.84</v>
      </c>
      <c r="R69" s="105">
        <f t="shared" si="127"/>
        <v>352338.49</v>
      </c>
      <c r="S69" s="105">
        <f t="shared" si="128"/>
        <v>269185.37</v>
      </c>
      <c r="T69" s="105">
        <f t="shared" si="129"/>
        <v>260854.75</v>
      </c>
      <c r="U69" s="105">
        <f t="shared" si="130"/>
        <v>183674.11</v>
      </c>
      <c r="V69" s="105">
        <f t="shared" si="131"/>
        <v>178871.87</v>
      </c>
      <c r="W69" s="61"/>
      <c r="X69" s="106">
        <v>373197.84</v>
      </c>
      <c r="Y69" s="106">
        <v>352338.49</v>
      </c>
      <c r="Z69" s="105">
        <f t="shared" si="142"/>
        <v>389245.34711999999</v>
      </c>
      <c r="AA69" s="105">
        <f t="shared" si="143"/>
        <v>367489.04506999999</v>
      </c>
      <c r="AB69" s="105">
        <f t="shared" si="144"/>
        <v>417981.58080000005</v>
      </c>
      <c r="AC69" s="105">
        <f t="shared" si="145"/>
        <v>394619.10880000005</v>
      </c>
      <c r="AD69" s="107">
        <v>269185.37</v>
      </c>
      <c r="AE69" s="107">
        <v>260854.75</v>
      </c>
      <c r="AF69" s="105">
        <f t="shared" si="146"/>
        <v>280760.34090999997</v>
      </c>
      <c r="AG69" s="105">
        <f t="shared" si="147"/>
        <v>272071.50425</v>
      </c>
      <c r="AH69" s="105">
        <f t="shared" si="148"/>
        <v>301487.61440000002</v>
      </c>
      <c r="AI69" s="105">
        <f t="shared" si="149"/>
        <v>292157.32</v>
      </c>
      <c r="AJ69" s="106">
        <v>183674.11</v>
      </c>
      <c r="AK69" s="106">
        <v>178871.87</v>
      </c>
      <c r="AL69" s="105">
        <f t="shared" si="150"/>
        <v>191572.09672999996</v>
      </c>
      <c r="AM69" s="105">
        <f t="shared" si="151"/>
        <v>186563.36040999999</v>
      </c>
      <c r="AN69" s="105">
        <f t="shared" si="152"/>
        <v>205715.00320000001</v>
      </c>
      <c r="AO69" s="105">
        <f t="shared" si="153"/>
        <v>200336.49440000003</v>
      </c>
      <c r="AP69" s="61"/>
      <c r="AQ69" s="108">
        <v>66</v>
      </c>
      <c r="AR69" s="109">
        <f ca="1">+RESUMEN!F69</f>
        <v>0</v>
      </c>
      <c r="AS69" s="109">
        <f ca="1">+RESUMEN!G69</f>
        <v>0</v>
      </c>
      <c r="AT69" s="110">
        <f t="shared" ca="1" si="132"/>
        <v>0</v>
      </c>
      <c r="AU69" s="111">
        <f t="shared" si="154"/>
        <v>0</v>
      </c>
      <c r="AV69" s="111">
        <f t="shared" si="155"/>
        <v>0</v>
      </c>
      <c r="AW69" s="111">
        <f t="shared" si="156"/>
        <v>0</v>
      </c>
      <c r="AX69" s="111">
        <f t="shared" si="157"/>
        <v>0</v>
      </c>
      <c r="AY69" s="111">
        <f t="shared" ca="1" si="158"/>
        <v>0</v>
      </c>
      <c r="AZ69" s="110"/>
      <c r="BA69" s="111">
        <f t="shared" ca="1" si="115"/>
        <v>0</v>
      </c>
      <c r="BB69" s="111">
        <f t="shared" ca="1" si="116"/>
        <v>0</v>
      </c>
      <c r="BC69" s="112"/>
      <c r="BD69" s="113">
        <f t="shared" ca="1" si="159"/>
        <v>0</v>
      </c>
      <c r="BE69" s="113">
        <f t="shared" ca="1" si="102"/>
        <v>0</v>
      </c>
      <c r="BF69" s="114" t="str">
        <f t="shared" ca="1" si="133"/>
        <v/>
      </c>
      <c r="BG69" s="61"/>
      <c r="BH69" s="64">
        <f t="shared" ca="1" si="117"/>
        <v>0</v>
      </c>
      <c r="BI69" s="64">
        <f t="shared" ca="1" si="118"/>
        <v>0</v>
      </c>
      <c r="BJ69" s="112"/>
      <c r="BK69" s="115">
        <f t="shared" ca="1" si="160"/>
        <v>0</v>
      </c>
      <c r="BL69" s="115">
        <f t="shared" ca="1" si="104"/>
        <v>0</v>
      </c>
      <c r="BM69" s="116" t="str">
        <f t="shared" ca="1" si="134"/>
        <v/>
      </c>
      <c r="BN69" s="61"/>
      <c r="BO69" s="117">
        <f t="shared" ca="1" si="119"/>
        <v>0</v>
      </c>
      <c r="BP69" s="117">
        <f t="shared" ca="1" si="120"/>
        <v>0</v>
      </c>
      <c r="BQ69" s="112"/>
      <c r="BR69" s="118">
        <f t="shared" ca="1" si="161"/>
        <v>0</v>
      </c>
      <c r="BS69" s="118">
        <f t="shared" ca="1" si="103"/>
        <v>0</v>
      </c>
      <c r="BT69" s="119" t="str">
        <f t="shared" ca="1" si="135"/>
        <v/>
      </c>
      <c r="BU69" s="61"/>
      <c r="BV69" s="120">
        <f t="shared" ca="1" si="136"/>
        <v>0</v>
      </c>
      <c r="BW69" s="120">
        <f t="shared" ca="1" si="137"/>
        <v>0</v>
      </c>
      <c r="BX69" s="112"/>
      <c r="BY69" s="121">
        <f t="shared" ca="1" si="162"/>
        <v>0</v>
      </c>
      <c r="BZ69" s="121">
        <f t="shared" ca="1" si="105"/>
        <v>0</v>
      </c>
      <c r="CA69" s="122" t="str">
        <f t="shared" ca="1" si="138"/>
        <v/>
      </c>
      <c r="CB69" s="61"/>
      <c r="CC69" s="123">
        <f t="shared" ca="1" si="163"/>
        <v>0</v>
      </c>
      <c r="CD69" s="123">
        <f t="shared" ca="1" si="164"/>
        <v>0</v>
      </c>
      <c r="CE69" s="112"/>
      <c r="CF69" s="124">
        <f t="shared" ca="1" si="165"/>
        <v>0</v>
      </c>
      <c r="CG69" s="124">
        <f t="shared" ca="1" si="106"/>
        <v>0</v>
      </c>
      <c r="CH69" s="125" t="str">
        <f t="shared" ca="1" si="139"/>
        <v/>
      </c>
      <c r="CI69" s="61"/>
      <c r="CJ69" s="487">
        <f t="shared" ca="1" si="113"/>
        <v>0</v>
      </c>
      <c r="CK69" s="487">
        <f t="shared" ca="1" si="114"/>
        <v>0</v>
      </c>
      <c r="CL69" s="112"/>
      <c r="CM69" s="127">
        <f t="shared" ca="1" si="166"/>
        <v>0</v>
      </c>
      <c r="CN69" s="127">
        <f t="shared" ca="1" si="107"/>
        <v>0</v>
      </c>
      <c r="CO69" s="128" t="str">
        <f t="shared" ca="1" si="140"/>
        <v/>
      </c>
      <c r="CP69" s="61"/>
      <c r="CQ69" s="108">
        <v>66</v>
      </c>
      <c r="CR69" s="273">
        <v>0.12</v>
      </c>
      <c r="CS69" s="61">
        <f t="shared" si="167"/>
        <v>0</v>
      </c>
      <c r="CT69" s="278">
        <f t="shared" si="168"/>
        <v>0.12</v>
      </c>
      <c r="CU69" s="61">
        <f t="shared" si="169"/>
        <v>1</v>
      </c>
      <c r="CV69" s="287">
        <f t="shared" si="125"/>
        <v>1</v>
      </c>
      <c r="CW69" s="309">
        <f t="shared" si="121"/>
        <v>128.58000000000001</v>
      </c>
      <c r="CX69" s="309">
        <f t="shared" si="122"/>
        <v>63.07</v>
      </c>
      <c r="CY69" s="300">
        <f t="shared" si="123"/>
        <v>255.3</v>
      </c>
      <c r="CZ69" s="309">
        <f t="shared" si="124"/>
        <v>141.72999999999999</v>
      </c>
      <c r="DA69"/>
      <c r="DC69" s="544">
        <v>485.96999999999997</v>
      </c>
    </row>
    <row r="70" spans="1:107">
      <c r="A70" s="146">
        <v>34</v>
      </c>
      <c r="B70" s="141">
        <f ca="1">RESUMEN!J37</f>
        <v>0</v>
      </c>
      <c r="C70" s="141">
        <f ca="1">+RESUMEN!K37</f>
        <v>0</v>
      </c>
      <c r="D70" s="142">
        <f t="shared" ca="1" si="141"/>
        <v>0</v>
      </c>
      <c r="E70" s="145">
        <f ca="1">+RESUMEN!T19</f>
        <v>0</v>
      </c>
      <c r="F70" s="141">
        <f ca="1">RESUMEN!P19</f>
        <v>0</v>
      </c>
      <c r="G70" s="142">
        <f t="shared" ca="1" si="112"/>
        <v>0</v>
      </c>
      <c r="H70" s="133"/>
      <c r="I70" s="288"/>
      <c r="J70" s="132">
        <v>67</v>
      </c>
      <c r="K70" s="36">
        <v>120360.84</v>
      </c>
      <c r="L70" s="36">
        <v>130555.07</v>
      </c>
      <c r="M70" s="36">
        <v>106839.03</v>
      </c>
      <c r="N70" s="36">
        <v>115888</v>
      </c>
      <c r="O70" s="36">
        <v>94597.05</v>
      </c>
      <c r="P70" s="36">
        <v>102609.16</v>
      </c>
      <c r="Q70" s="105">
        <f t="shared" si="126"/>
        <v>390540.38</v>
      </c>
      <c r="R70" s="105">
        <f t="shared" si="127"/>
        <v>369744.01</v>
      </c>
      <c r="S70" s="105">
        <f t="shared" si="128"/>
        <v>283150.8</v>
      </c>
      <c r="T70" s="105">
        <f t="shared" si="129"/>
        <v>275141.82</v>
      </c>
      <c r="U70" s="105">
        <f t="shared" si="130"/>
        <v>199521.96</v>
      </c>
      <c r="V70" s="105">
        <f t="shared" si="131"/>
        <v>192409.89</v>
      </c>
      <c r="W70" s="61"/>
      <c r="X70" s="106">
        <v>390540.38</v>
      </c>
      <c r="Y70" s="106">
        <v>369744.01</v>
      </c>
      <c r="Z70" s="105">
        <f t="shared" si="142"/>
        <v>407333.61633999995</v>
      </c>
      <c r="AA70" s="105">
        <f t="shared" si="143"/>
        <v>385643.00242999999</v>
      </c>
      <c r="AB70" s="105">
        <f t="shared" si="144"/>
        <v>437405.22560000006</v>
      </c>
      <c r="AC70" s="105">
        <f t="shared" si="145"/>
        <v>414113.29120000004</v>
      </c>
      <c r="AD70" s="107">
        <v>283150.8</v>
      </c>
      <c r="AE70" s="107">
        <v>275141.82</v>
      </c>
      <c r="AF70" s="105">
        <f t="shared" si="146"/>
        <v>295326.28439999995</v>
      </c>
      <c r="AG70" s="105">
        <f t="shared" si="147"/>
        <v>286972.91826000001</v>
      </c>
      <c r="AH70" s="105">
        <f t="shared" si="148"/>
        <v>317128.89600000001</v>
      </c>
      <c r="AI70" s="105">
        <f t="shared" si="149"/>
        <v>308158.83840000007</v>
      </c>
      <c r="AJ70" s="106">
        <v>199521.96</v>
      </c>
      <c r="AK70" s="106">
        <v>192409.89</v>
      </c>
      <c r="AL70" s="105">
        <f t="shared" si="150"/>
        <v>208101.40427999999</v>
      </c>
      <c r="AM70" s="105">
        <f t="shared" si="151"/>
        <v>200683.51527</v>
      </c>
      <c r="AN70" s="105">
        <f t="shared" si="152"/>
        <v>223464.59520000001</v>
      </c>
      <c r="AO70" s="105">
        <f t="shared" si="153"/>
        <v>215499.07680000004</v>
      </c>
      <c r="AP70" s="61"/>
      <c r="AQ70" s="108">
        <v>67</v>
      </c>
      <c r="AR70" s="109">
        <f ca="1">+RESUMEN!F70</f>
        <v>0</v>
      </c>
      <c r="AS70" s="109">
        <f ca="1">+RESUMEN!G70</f>
        <v>0</v>
      </c>
      <c r="AT70" s="110">
        <f t="shared" ca="1" si="132"/>
        <v>0</v>
      </c>
      <c r="AU70" s="111">
        <f t="shared" si="154"/>
        <v>0</v>
      </c>
      <c r="AV70" s="111">
        <f t="shared" si="155"/>
        <v>0</v>
      </c>
      <c r="AW70" s="111">
        <f t="shared" si="156"/>
        <v>0</v>
      </c>
      <c r="AX70" s="111">
        <f t="shared" si="157"/>
        <v>0</v>
      </c>
      <c r="AY70" s="111">
        <f t="shared" ca="1" si="158"/>
        <v>0</v>
      </c>
      <c r="AZ70" s="110"/>
      <c r="BA70" s="111">
        <f t="shared" ca="1" si="115"/>
        <v>0</v>
      </c>
      <c r="BB70" s="111">
        <f t="shared" ca="1" si="116"/>
        <v>0</v>
      </c>
      <c r="BC70" s="112"/>
      <c r="BD70" s="113">
        <f t="shared" ca="1" si="159"/>
        <v>0</v>
      </c>
      <c r="BE70" s="113">
        <f t="shared" ca="1" si="102"/>
        <v>0</v>
      </c>
      <c r="BF70" s="114" t="str">
        <f t="shared" ca="1" si="133"/>
        <v/>
      </c>
      <c r="BG70" s="61"/>
      <c r="BH70" s="64">
        <f t="shared" ca="1" si="117"/>
        <v>0</v>
      </c>
      <c r="BI70" s="64">
        <f t="shared" ca="1" si="118"/>
        <v>0</v>
      </c>
      <c r="BJ70" s="112"/>
      <c r="BK70" s="115">
        <f t="shared" ca="1" si="160"/>
        <v>0</v>
      </c>
      <c r="BL70" s="115">
        <f t="shared" ca="1" si="104"/>
        <v>0</v>
      </c>
      <c r="BM70" s="116" t="str">
        <f t="shared" ca="1" si="134"/>
        <v/>
      </c>
      <c r="BN70" s="61"/>
      <c r="BO70" s="117">
        <f t="shared" ca="1" si="119"/>
        <v>0</v>
      </c>
      <c r="BP70" s="117">
        <f t="shared" ca="1" si="120"/>
        <v>0</v>
      </c>
      <c r="BQ70" s="112"/>
      <c r="BR70" s="118">
        <f t="shared" ca="1" si="161"/>
        <v>0</v>
      </c>
      <c r="BS70" s="118">
        <f t="shared" ca="1" si="103"/>
        <v>0</v>
      </c>
      <c r="BT70" s="119" t="str">
        <f t="shared" ca="1" si="135"/>
        <v/>
      </c>
      <c r="BU70" s="61"/>
      <c r="BV70" s="120">
        <f t="shared" ca="1" si="136"/>
        <v>0</v>
      </c>
      <c r="BW70" s="120">
        <f t="shared" ca="1" si="137"/>
        <v>0</v>
      </c>
      <c r="BX70" s="112"/>
      <c r="BY70" s="121">
        <f t="shared" ca="1" si="162"/>
        <v>0</v>
      </c>
      <c r="BZ70" s="121">
        <f t="shared" ca="1" si="105"/>
        <v>0</v>
      </c>
      <c r="CA70" s="122" t="str">
        <f t="shared" ca="1" si="138"/>
        <v/>
      </c>
      <c r="CB70" s="61"/>
      <c r="CC70" s="123">
        <f t="shared" ca="1" si="163"/>
        <v>0</v>
      </c>
      <c r="CD70" s="123">
        <f t="shared" ca="1" si="164"/>
        <v>0</v>
      </c>
      <c r="CE70" s="112"/>
      <c r="CF70" s="124">
        <f t="shared" ca="1" si="165"/>
        <v>0</v>
      </c>
      <c r="CG70" s="124">
        <f t="shared" ca="1" si="106"/>
        <v>0</v>
      </c>
      <c r="CH70" s="125" t="str">
        <f t="shared" ca="1" si="139"/>
        <v/>
      </c>
      <c r="CI70" s="61"/>
      <c r="CJ70" s="487">
        <f t="shared" ca="1" si="113"/>
        <v>0</v>
      </c>
      <c r="CK70" s="487">
        <f t="shared" ca="1" si="114"/>
        <v>0</v>
      </c>
      <c r="CL70" s="112"/>
      <c r="CM70" s="127">
        <f t="shared" ca="1" si="166"/>
        <v>0</v>
      </c>
      <c r="CN70" s="127">
        <f t="shared" ca="1" si="107"/>
        <v>0</v>
      </c>
      <c r="CO70" s="128" t="str">
        <f t="shared" ca="1" si="140"/>
        <v/>
      </c>
      <c r="CP70" s="61"/>
      <c r="CQ70" s="108">
        <v>67</v>
      </c>
      <c r="CR70" s="273">
        <v>0.12</v>
      </c>
      <c r="CS70" s="61">
        <f t="shared" si="167"/>
        <v>0</v>
      </c>
      <c r="CT70" s="278">
        <f t="shared" si="168"/>
        <v>0.12</v>
      </c>
      <c r="CU70" s="61">
        <f t="shared" si="169"/>
        <v>1</v>
      </c>
      <c r="CV70" s="287">
        <f t="shared" si="125"/>
        <v>1</v>
      </c>
      <c r="CW70" s="309">
        <f t="shared" si="121"/>
        <v>128.58000000000001</v>
      </c>
      <c r="CX70" s="309">
        <f t="shared" si="122"/>
        <v>63.07</v>
      </c>
      <c r="CY70" s="300">
        <f t="shared" si="123"/>
        <v>255.3</v>
      </c>
      <c r="CZ70" s="309">
        <f t="shared" si="124"/>
        <v>141.72999999999999</v>
      </c>
      <c r="DA70"/>
      <c r="DC70" s="544">
        <v>485.96999999999997</v>
      </c>
    </row>
    <row r="71" spans="1:107">
      <c r="A71" s="146">
        <v>35</v>
      </c>
      <c r="B71" s="141">
        <f ca="1">RESUMEN!J38</f>
        <v>0</v>
      </c>
      <c r="C71" s="141">
        <f ca="1">+RESUMEN!K38</f>
        <v>0</v>
      </c>
      <c r="D71" s="142">
        <f t="shared" ca="1" si="141"/>
        <v>0</v>
      </c>
      <c r="E71" s="145">
        <f ca="1">+RESUMEN!T20</f>
        <v>0</v>
      </c>
      <c r="F71" s="141">
        <f ca="1">RESUMEN!P20</f>
        <v>0</v>
      </c>
      <c r="G71" s="142">
        <f t="shared" ca="1" si="112"/>
        <v>0</v>
      </c>
      <c r="H71" s="133"/>
      <c r="I71" s="288"/>
      <c r="J71" s="132">
        <v>68</v>
      </c>
      <c r="K71" s="36">
        <v>127157.9</v>
      </c>
      <c r="L71" s="36">
        <v>133895.65</v>
      </c>
      <c r="M71" s="36">
        <v>112872.48</v>
      </c>
      <c r="N71" s="36">
        <v>118853.28</v>
      </c>
      <c r="O71" s="36">
        <v>99939.17</v>
      </c>
      <c r="P71" s="36">
        <v>105234.68</v>
      </c>
      <c r="Q71" s="105">
        <f t="shared" si="126"/>
        <v>420108.23</v>
      </c>
      <c r="R71" s="105">
        <f t="shared" si="127"/>
        <v>388009.36</v>
      </c>
      <c r="S71" s="105">
        <f t="shared" si="128"/>
        <v>302945.65000000002</v>
      </c>
      <c r="T71" s="105">
        <f t="shared" si="129"/>
        <v>295585.58</v>
      </c>
      <c r="U71" s="105">
        <f t="shared" si="130"/>
        <v>215547.79</v>
      </c>
      <c r="V71" s="105">
        <f t="shared" si="131"/>
        <v>206248.13</v>
      </c>
      <c r="W71" s="61"/>
      <c r="X71" s="106">
        <v>420108.23</v>
      </c>
      <c r="Y71" s="106">
        <v>388009.36</v>
      </c>
      <c r="Z71" s="105">
        <f t="shared" si="142"/>
        <v>438172.88388999994</v>
      </c>
      <c r="AA71" s="105">
        <f t="shared" si="143"/>
        <v>404693.76247999998</v>
      </c>
      <c r="AB71" s="105">
        <f t="shared" si="144"/>
        <v>470521.21760000003</v>
      </c>
      <c r="AC71" s="105">
        <f t="shared" si="145"/>
        <v>434570.48320000002</v>
      </c>
      <c r="AD71" s="107">
        <v>302945.65000000002</v>
      </c>
      <c r="AE71" s="107">
        <v>295585.58</v>
      </c>
      <c r="AF71" s="105">
        <f t="shared" si="146"/>
        <v>315972.31294999999</v>
      </c>
      <c r="AG71" s="105">
        <f t="shared" si="147"/>
        <v>308295.75994000002</v>
      </c>
      <c r="AH71" s="105">
        <f t="shared" si="148"/>
        <v>339299.12800000008</v>
      </c>
      <c r="AI71" s="105">
        <f t="shared" si="149"/>
        <v>331055.84960000007</v>
      </c>
      <c r="AJ71" s="106">
        <v>215547.79</v>
      </c>
      <c r="AK71" s="106">
        <v>206248.13</v>
      </c>
      <c r="AL71" s="105">
        <f t="shared" si="150"/>
        <v>224816.34497000001</v>
      </c>
      <c r="AM71" s="105">
        <f t="shared" si="151"/>
        <v>215116.79958999998</v>
      </c>
      <c r="AN71" s="105">
        <f t="shared" si="152"/>
        <v>241413.52480000004</v>
      </c>
      <c r="AO71" s="105">
        <f t="shared" si="153"/>
        <v>230997.90560000003</v>
      </c>
      <c r="AP71" s="61"/>
      <c r="AQ71" s="108">
        <v>68</v>
      </c>
      <c r="AR71" s="109">
        <f ca="1">+RESUMEN!F71</f>
        <v>0</v>
      </c>
      <c r="AS71" s="109">
        <f ca="1">+RESUMEN!G71</f>
        <v>0</v>
      </c>
      <c r="AT71" s="110">
        <f t="shared" ca="1" si="132"/>
        <v>0</v>
      </c>
      <c r="AU71" s="111">
        <f t="shared" si="154"/>
        <v>0</v>
      </c>
      <c r="AV71" s="111">
        <f t="shared" si="155"/>
        <v>0</v>
      </c>
      <c r="AW71" s="111">
        <f t="shared" si="156"/>
        <v>0</v>
      </c>
      <c r="AX71" s="111">
        <f t="shared" si="157"/>
        <v>0</v>
      </c>
      <c r="AY71" s="111">
        <f t="shared" ca="1" si="158"/>
        <v>0</v>
      </c>
      <c r="AZ71" s="110"/>
      <c r="BA71" s="111">
        <f t="shared" ca="1" si="115"/>
        <v>0</v>
      </c>
      <c r="BB71" s="111">
        <f t="shared" ca="1" si="116"/>
        <v>0</v>
      </c>
      <c r="BC71" s="112"/>
      <c r="BD71" s="113">
        <f t="shared" ca="1" si="159"/>
        <v>0</v>
      </c>
      <c r="BE71" s="113">
        <f t="shared" ca="1" si="102"/>
        <v>0</v>
      </c>
      <c r="BF71" s="114" t="str">
        <f t="shared" ca="1" si="133"/>
        <v/>
      </c>
      <c r="BG71" s="61"/>
      <c r="BH71" s="64">
        <f t="shared" ca="1" si="117"/>
        <v>0</v>
      </c>
      <c r="BI71" s="64">
        <f t="shared" ca="1" si="118"/>
        <v>0</v>
      </c>
      <c r="BJ71" s="112"/>
      <c r="BK71" s="115">
        <f t="shared" ca="1" si="160"/>
        <v>0</v>
      </c>
      <c r="BL71" s="115">
        <f t="shared" ca="1" si="104"/>
        <v>0</v>
      </c>
      <c r="BM71" s="116" t="str">
        <f t="shared" ca="1" si="134"/>
        <v/>
      </c>
      <c r="BN71" s="61"/>
      <c r="BO71" s="117">
        <f t="shared" ca="1" si="119"/>
        <v>0</v>
      </c>
      <c r="BP71" s="117">
        <f t="shared" ca="1" si="120"/>
        <v>0</v>
      </c>
      <c r="BQ71" s="112"/>
      <c r="BR71" s="118">
        <f t="shared" ca="1" si="161"/>
        <v>0</v>
      </c>
      <c r="BS71" s="118">
        <f t="shared" ca="1" si="103"/>
        <v>0</v>
      </c>
      <c r="BT71" s="119" t="str">
        <f t="shared" ca="1" si="135"/>
        <v/>
      </c>
      <c r="BU71" s="61"/>
      <c r="BV71" s="120">
        <f t="shared" ca="1" si="136"/>
        <v>0</v>
      </c>
      <c r="BW71" s="120">
        <f t="shared" ca="1" si="137"/>
        <v>0</v>
      </c>
      <c r="BX71" s="112"/>
      <c r="BY71" s="121">
        <f t="shared" ca="1" si="162"/>
        <v>0</v>
      </c>
      <c r="BZ71" s="121">
        <f t="shared" ca="1" si="105"/>
        <v>0</v>
      </c>
      <c r="CA71" s="122" t="str">
        <f t="shared" ca="1" si="138"/>
        <v/>
      </c>
      <c r="CB71" s="61"/>
      <c r="CC71" s="123">
        <f t="shared" ca="1" si="163"/>
        <v>0</v>
      </c>
      <c r="CD71" s="123">
        <f t="shared" ca="1" si="164"/>
        <v>0</v>
      </c>
      <c r="CE71" s="112"/>
      <c r="CF71" s="124">
        <f t="shared" ca="1" si="165"/>
        <v>0</v>
      </c>
      <c r="CG71" s="124">
        <f t="shared" ca="1" si="106"/>
        <v>0</v>
      </c>
      <c r="CH71" s="125" t="str">
        <f t="shared" ca="1" si="139"/>
        <v/>
      </c>
      <c r="CI71" s="61"/>
      <c r="CJ71" s="487">
        <f t="shared" ca="1" si="113"/>
        <v>0</v>
      </c>
      <c r="CK71" s="487">
        <f t="shared" ca="1" si="114"/>
        <v>0</v>
      </c>
      <c r="CL71" s="112"/>
      <c r="CM71" s="127">
        <f t="shared" ca="1" si="166"/>
        <v>0</v>
      </c>
      <c r="CN71" s="127">
        <f t="shared" ca="1" si="107"/>
        <v>0</v>
      </c>
      <c r="CO71" s="128" t="str">
        <f t="shared" ca="1" si="140"/>
        <v/>
      </c>
      <c r="CP71" s="61"/>
      <c r="CQ71" s="108">
        <v>68</v>
      </c>
      <c r="CR71" s="273">
        <v>0.12</v>
      </c>
      <c r="CS71" s="61">
        <f t="shared" si="167"/>
        <v>0</v>
      </c>
      <c r="CT71" s="278">
        <f t="shared" si="168"/>
        <v>0.12</v>
      </c>
      <c r="CU71" s="61">
        <f t="shared" si="169"/>
        <v>1</v>
      </c>
      <c r="CV71" s="287">
        <f t="shared" si="125"/>
        <v>1</v>
      </c>
      <c r="CW71" s="309">
        <f t="shared" si="121"/>
        <v>128.58000000000001</v>
      </c>
      <c r="CX71" s="309">
        <f t="shared" si="122"/>
        <v>63.07</v>
      </c>
      <c r="CY71" s="300">
        <f t="shared" si="123"/>
        <v>255.3</v>
      </c>
      <c r="CZ71" s="309">
        <f t="shared" si="124"/>
        <v>141.72999999999999</v>
      </c>
      <c r="DA71"/>
      <c r="DC71" s="544">
        <v>485.96999999999997</v>
      </c>
    </row>
    <row r="72" spans="1:107">
      <c r="A72" s="146">
        <v>36</v>
      </c>
      <c r="B72" s="141">
        <f ca="1">RESUMEN!J39</f>
        <v>0</v>
      </c>
      <c r="C72" s="141">
        <f ca="1">+RESUMEN!K39</f>
        <v>0</v>
      </c>
      <c r="D72" s="142">
        <f t="shared" ca="1" si="141"/>
        <v>0</v>
      </c>
      <c r="E72" s="145">
        <f ca="1">+RESUMEN!T21</f>
        <v>0</v>
      </c>
      <c r="F72" s="141">
        <f ca="1">RESUMEN!P21</f>
        <v>0</v>
      </c>
      <c r="G72" s="142">
        <f t="shared" ca="1" si="112"/>
        <v>0</v>
      </c>
      <c r="H72" s="133"/>
      <c r="I72" s="288"/>
      <c r="J72" s="132">
        <v>69</v>
      </c>
      <c r="K72" s="36">
        <v>135503.44</v>
      </c>
      <c r="L72" s="36">
        <v>139427.70000000001</v>
      </c>
      <c r="M72" s="36">
        <v>120280.44</v>
      </c>
      <c r="N72" s="36">
        <v>123763.84</v>
      </c>
      <c r="O72" s="36">
        <v>106498.31</v>
      </c>
      <c r="P72" s="36">
        <v>109582.57</v>
      </c>
      <c r="Q72" s="105">
        <f t="shared" si="126"/>
        <v>470573.45</v>
      </c>
      <c r="R72" s="105">
        <f t="shared" si="127"/>
        <v>407177.02</v>
      </c>
      <c r="S72" s="105">
        <f t="shared" si="128"/>
        <v>318133.56</v>
      </c>
      <c r="T72" s="105">
        <f t="shared" si="129"/>
        <v>307721.11</v>
      </c>
      <c r="U72" s="105">
        <f t="shared" si="130"/>
        <v>232011.47</v>
      </c>
      <c r="V72" s="105">
        <f t="shared" si="131"/>
        <v>211375.98</v>
      </c>
      <c r="W72" s="61"/>
      <c r="X72" s="106">
        <v>470573.45</v>
      </c>
      <c r="Y72" s="106">
        <v>407177.02</v>
      </c>
      <c r="Z72" s="105">
        <f t="shared" si="142"/>
        <v>490808.10834999999</v>
      </c>
      <c r="AA72" s="105">
        <f t="shared" si="143"/>
        <v>424685.63185999996</v>
      </c>
      <c r="AB72" s="105">
        <f t="shared" si="144"/>
        <v>527042.26400000008</v>
      </c>
      <c r="AC72" s="105">
        <f t="shared" si="145"/>
        <v>456038.26240000007</v>
      </c>
      <c r="AD72" s="107">
        <v>318133.56</v>
      </c>
      <c r="AE72" s="107">
        <v>307721.11</v>
      </c>
      <c r="AF72" s="105">
        <f t="shared" si="146"/>
        <v>331813.30307999998</v>
      </c>
      <c r="AG72" s="105">
        <f t="shared" si="147"/>
        <v>320953.11772999994</v>
      </c>
      <c r="AH72" s="105">
        <f t="shared" si="148"/>
        <v>356309.58720000001</v>
      </c>
      <c r="AI72" s="105">
        <f t="shared" si="149"/>
        <v>344647.64319999999</v>
      </c>
      <c r="AJ72" s="106">
        <v>232011.47</v>
      </c>
      <c r="AK72" s="106">
        <v>211375.98</v>
      </c>
      <c r="AL72" s="105">
        <f t="shared" si="150"/>
        <v>241987.96320999999</v>
      </c>
      <c r="AM72" s="105">
        <f t="shared" si="151"/>
        <v>220465.14713999999</v>
      </c>
      <c r="AN72" s="105">
        <f t="shared" si="152"/>
        <v>259852.84640000004</v>
      </c>
      <c r="AO72" s="105">
        <f t="shared" si="153"/>
        <v>236741.09760000004</v>
      </c>
      <c r="AP72" s="61"/>
      <c r="AQ72" s="108">
        <v>69</v>
      </c>
      <c r="AR72" s="109">
        <f ca="1">+RESUMEN!F72</f>
        <v>0</v>
      </c>
      <c r="AS72" s="109">
        <f ca="1">+RESUMEN!G72</f>
        <v>0</v>
      </c>
      <c r="AT72" s="110">
        <f t="shared" ca="1" si="132"/>
        <v>0</v>
      </c>
      <c r="AU72" s="111">
        <f t="shared" si="154"/>
        <v>0</v>
      </c>
      <c r="AV72" s="111">
        <f t="shared" si="155"/>
        <v>0</v>
      </c>
      <c r="AW72" s="111">
        <f t="shared" si="156"/>
        <v>0</v>
      </c>
      <c r="AX72" s="111">
        <f t="shared" si="157"/>
        <v>0</v>
      </c>
      <c r="AY72" s="111">
        <f t="shared" ca="1" si="158"/>
        <v>0</v>
      </c>
      <c r="AZ72" s="110"/>
      <c r="BA72" s="111">
        <f t="shared" ca="1" si="115"/>
        <v>0</v>
      </c>
      <c r="BB72" s="111">
        <f t="shared" ca="1" si="116"/>
        <v>0</v>
      </c>
      <c r="BC72" s="112"/>
      <c r="BD72" s="113">
        <f t="shared" ca="1" si="159"/>
        <v>0</v>
      </c>
      <c r="BE72" s="113">
        <f t="shared" ca="1" si="102"/>
        <v>0</v>
      </c>
      <c r="BF72" s="114" t="str">
        <f t="shared" ca="1" si="133"/>
        <v/>
      </c>
      <c r="BG72" s="61"/>
      <c r="BH72" s="64">
        <f t="shared" ca="1" si="117"/>
        <v>0</v>
      </c>
      <c r="BI72" s="64">
        <f t="shared" ca="1" si="118"/>
        <v>0</v>
      </c>
      <c r="BJ72" s="112"/>
      <c r="BK72" s="115">
        <f t="shared" ca="1" si="160"/>
        <v>0</v>
      </c>
      <c r="BL72" s="115">
        <f t="shared" ca="1" si="104"/>
        <v>0</v>
      </c>
      <c r="BM72" s="116" t="str">
        <f t="shared" ca="1" si="134"/>
        <v/>
      </c>
      <c r="BN72" s="61"/>
      <c r="BO72" s="117">
        <f t="shared" ca="1" si="119"/>
        <v>0</v>
      </c>
      <c r="BP72" s="117">
        <f t="shared" ca="1" si="120"/>
        <v>0</v>
      </c>
      <c r="BQ72" s="112"/>
      <c r="BR72" s="118">
        <f t="shared" ca="1" si="161"/>
        <v>0</v>
      </c>
      <c r="BS72" s="118">
        <f t="shared" ca="1" si="103"/>
        <v>0</v>
      </c>
      <c r="BT72" s="119" t="str">
        <f t="shared" ca="1" si="135"/>
        <v/>
      </c>
      <c r="BU72" s="61"/>
      <c r="BV72" s="120">
        <f t="shared" ca="1" si="136"/>
        <v>0</v>
      </c>
      <c r="BW72" s="120">
        <f t="shared" ca="1" si="137"/>
        <v>0</v>
      </c>
      <c r="BX72" s="112"/>
      <c r="BY72" s="121">
        <f t="shared" ca="1" si="162"/>
        <v>0</v>
      </c>
      <c r="BZ72" s="121">
        <f t="shared" ca="1" si="105"/>
        <v>0</v>
      </c>
      <c r="CA72" s="122" t="str">
        <f t="shared" ca="1" si="138"/>
        <v/>
      </c>
      <c r="CB72" s="61"/>
      <c r="CC72" s="123">
        <f t="shared" ca="1" si="163"/>
        <v>0</v>
      </c>
      <c r="CD72" s="123">
        <f t="shared" ca="1" si="164"/>
        <v>0</v>
      </c>
      <c r="CE72" s="112"/>
      <c r="CF72" s="124">
        <f t="shared" ca="1" si="165"/>
        <v>0</v>
      </c>
      <c r="CG72" s="124">
        <f t="shared" ca="1" si="106"/>
        <v>0</v>
      </c>
      <c r="CH72" s="125" t="str">
        <f t="shared" ca="1" si="139"/>
        <v/>
      </c>
      <c r="CI72" s="61"/>
      <c r="CJ72" s="487">
        <f t="shared" ca="1" si="113"/>
        <v>0</v>
      </c>
      <c r="CK72" s="487">
        <f t="shared" ca="1" si="114"/>
        <v>0</v>
      </c>
      <c r="CL72" s="112"/>
      <c r="CM72" s="127">
        <f t="shared" ca="1" si="166"/>
        <v>0</v>
      </c>
      <c r="CN72" s="127">
        <f t="shared" ca="1" si="107"/>
        <v>0</v>
      </c>
      <c r="CO72" s="128" t="str">
        <f t="shared" ca="1" si="140"/>
        <v/>
      </c>
      <c r="CP72" s="61"/>
      <c r="CQ72" s="108">
        <v>69</v>
      </c>
      <c r="CR72" s="273">
        <v>0.12</v>
      </c>
      <c r="CS72" s="61">
        <f t="shared" si="167"/>
        <v>0</v>
      </c>
      <c r="CT72" s="278">
        <f t="shared" si="168"/>
        <v>0.12</v>
      </c>
      <c r="CU72" s="61">
        <f t="shared" si="169"/>
        <v>1</v>
      </c>
      <c r="CV72" s="287">
        <f t="shared" si="125"/>
        <v>1</v>
      </c>
      <c r="CW72" s="309">
        <f t="shared" si="121"/>
        <v>128.58000000000001</v>
      </c>
      <c r="CX72" s="309">
        <f t="shared" si="122"/>
        <v>63.07</v>
      </c>
      <c r="CY72" s="300">
        <f t="shared" si="123"/>
        <v>255.3</v>
      </c>
      <c r="CZ72" s="309">
        <f t="shared" si="124"/>
        <v>141.72999999999999</v>
      </c>
      <c r="DA72"/>
      <c r="DC72" s="544">
        <v>485.96999999999997</v>
      </c>
    </row>
    <row r="73" spans="1:107">
      <c r="A73" s="146">
        <v>37</v>
      </c>
      <c r="B73" s="141">
        <f ca="1">RESUMEN!J40</f>
        <v>0</v>
      </c>
      <c r="C73" s="141">
        <f ca="1">+RESUMEN!K40</f>
        <v>0</v>
      </c>
      <c r="D73" s="142">
        <f t="shared" ca="1" si="141"/>
        <v>0</v>
      </c>
      <c r="E73" s="145">
        <f ca="1">+RESUMEN!T22</f>
        <v>0</v>
      </c>
      <c r="F73" s="141">
        <f ca="1">RESUMEN!P22</f>
        <v>0</v>
      </c>
      <c r="G73" s="142">
        <f t="shared" ca="1" si="112"/>
        <v>0</v>
      </c>
      <c r="H73" s="133"/>
      <c r="I73" s="288"/>
      <c r="J73" s="132">
        <v>70</v>
      </c>
      <c r="K73" s="36">
        <v>143061.85</v>
      </c>
      <c r="L73" s="36">
        <v>145662.53</v>
      </c>
      <c r="M73" s="36">
        <v>126989.71</v>
      </c>
      <c r="N73" s="36">
        <v>129298.22</v>
      </c>
      <c r="O73" s="36">
        <v>112438.81</v>
      </c>
      <c r="P73" s="36">
        <v>114482.8</v>
      </c>
      <c r="Q73" s="105">
        <f t="shared" si="126"/>
        <v>484880.93</v>
      </c>
      <c r="R73" s="105">
        <f t="shared" si="127"/>
        <v>428240.06</v>
      </c>
      <c r="S73" s="105">
        <f t="shared" si="128"/>
        <v>347394.29</v>
      </c>
      <c r="T73" s="105">
        <f t="shared" si="129"/>
        <v>315114.25</v>
      </c>
      <c r="U73" s="105">
        <f t="shared" si="130"/>
        <v>238730.51</v>
      </c>
      <c r="V73" s="105">
        <f t="shared" si="131"/>
        <v>215062.91</v>
      </c>
      <c r="W73" s="61"/>
      <c r="X73" s="106">
        <v>484880.93</v>
      </c>
      <c r="Y73" s="106">
        <v>428240.06</v>
      </c>
      <c r="Z73" s="105">
        <f t="shared" si="142"/>
        <v>505730.80998999998</v>
      </c>
      <c r="AA73" s="105">
        <f t="shared" si="143"/>
        <v>446654.38257999998</v>
      </c>
      <c r="AB73" s="105">
        <f t="shared" si="144"/>
        <v>543066.64160000009</v>
      </c>
      <c r="AC73" s="105">
        <f t="shared" si="145"/>
        <v>479628.86720000004</v>
      </c>
      <c r="AD73" s="107">
        <v>347394.29</v>
      </c>
      <c r="AE73" s="107">
        <v>315114.25</v>
      </c>
      <c r="AF73" s="105">
        <f t="shared" si="146"/>
        <v>362332.24446999998</v>
      </c>
      <c r="AG73" s="105">
        <f t="shared" si="147"/>
        <v>328664.16274999996</v>
      </c>
      <c r="AH73" s="105">
        <f t="shared" si="148"/>
        <v>389081.60480000003</v>
      </c>
      <c r="AI73" s="105">
        <f t="shared" si="149"/>
        <v>352927.96</v>
      </c>
      <c r="AJ73" s="106">
        <v>238730.51</v>
      </c>
      <c r="AK73" s="106">
        <v>215062.91</v>
      </c>
      <c r="AL73" s="105">
        <f t="shared" si="150"/>
        <v>248995.92192999998</v>
      </c>
      <c r="AM73" s="105">
        <f t="shared" si="151"/>
        <v>224310.61512999999</v>
      </c>
      <c r="AN73" s="105">
        <f t="shared" si="152"/>
        <v>267378.17120000004</v>
      </c>
      <c r="AO73" s="105">
        <f t="shared" si="153"/>
        <v>240870.45920000004</v>
      </c>
      <c r="AP73" s="61"/>
      <c r="AQ73" s="108">
        <v>70</v>
      </c>
      <c r="AR73" s="109">
        <f ca="1">+RESUMEN!F73</f>
        <v>0</v>
      </c>
      <c r="AS73" s="109">
        <f ca="1">+RESUMEN!G73</f>
        <v>0</v>
      </c>
      <c r="AT73" s="110">
        <f t="shared" ca="1" si="132"/>
        <v>0</v>
      </c>
      <c r="AU73" s="111">
        <f t="shared" si="154"/>
        <v>0</v>
      </c>
      <c r="AV73" s="111">
        <f t="shared" si="155"/>
        <v>0</v>
      </c>
      <c r="AW73" s="111">
        <f t="shared" si="156"/>
        <v>0</v>
      </c>
      <c r="AX73" s="111">
        <f t="shared" si="157"/>
        <v>0</v>
      </c>
      <c r="AY73" s="111">
        <f t="shared" ca="1" si="158"/>
        <v>0</v>
      </c>
      <c r="AZ73" s="110"/>
      <c r="BA73" s="111">
        <f t="shared" ca="1" si="115"/>
        <v>0</v>
      </c>
      <c r="BB73" s="111">
        <f t="shared" ca="1" si="116"/>
        <v>0</v>
      </c>
      <c r="BC73" s="112"/>
      <c r="BD73" s="113">
        <f t="shared" ca="1" si="159"/>
        <v>0</v>
      </c>
      <c r="BE73" s="113">
        <f t="shared" ca="1" si="102"/>
        <v>0</v>
      </c>
      <c r="BF73" s="114" t="str">
        <f t="shared" ca="1" si="133"/>
        <v/>
      </c>
      <c r="BG73" s="61"/>
      <c r="BH73" s="64">
        <f t="shared" ca="1" si="117"/>
        <v>0</v>
      </c>
      <c r="BI73" s="64">
        <f t="shared" ca="1" si="118"/>
        <v>0</v>
      </c>
      <c r="BJ73" s="112"/>
      <c r="BK73" s="115">
        <f t="shared" ca="1" si="160"/>
        <v>0</v>
      </c>
      <c r="BL73" s="115">
        <f t="shared" ca="1" si="104"/>
        <v>0</v>
      </c>
      <c r="BM73" s="116" t="str">
        <f t="shared" ca="1" si="134"/>
        <v/>
      </c>
      <c r="BN73" s="61"/>
      <c r="BO73" s="117">
        <f t="shared" ca="1" si="119"/>
        <v>0</v>
      </c>
      <c r="BP73" s="117">
        <f t="shared" ca="1" si="120"/>
        <v>0</v>
      </c>
      <c r="BQ73" s="112"/>
      <c r="BR73" s="118">
        <f t="shared" ca="1" si="161"/>
        <v>0</v>
      </c>
      <c r="BS73" s="118">
        <f t="shared" ca="1" si="103"/>
        <v>0</v>
      </c>
      <c r="BT73" s="119" t="str">
        <f t="shared" ca="1" si="135"/>
        <v/>
      </c>
      <c r="BU73" s="61"/>
      <c r="BV73" s="120">
        <f t="shared" ca="1" si="136"/>
        <v>0</v>
      </c>
      <c r="BW73" s="120">
        <f t="shared" ca="1" si="137"/>
        <v>0</v>
      </c>
      <c r="BX73" s="112"/>
      <c r="BY73" s="121">
        <f t="shared" ca="1" si="162"/>
        <v>0</v>
      </c>
      <c r="BZ73" s="121">
        <f t="shared" ca="1" si="105"/>
        <v>0</v>
      </c>
      <c r="CA73" s="122" t="str">
        <f t="shared" ca="1" si="138"/>
        <v/>
      </c>
      <c r="CB73" s="61"/>
      <c r="CC73" s="123">
        <f t="shared" ca="1" si="163"/>
        <v>0</v>
      </c>
      <c r="CD73" s="123">
        <f t="shared" ca="1" si="164"/>
        <v>0</v>
      </c>
      <c r="CE73" s="112"/>
      <c r="CF73" s="124">
        <f t="shared" ca="1" si="165"/>
        <v>0</v>
      </c>
      <c r="CG73" s="124">
        <f t="shared" ca="1" si="106"/>
        <v>0</v>
      </c>
      <c r="CH73" s="125" t="str">
        <f t="shared" ca="1" si="139"/>
        <v/>
      </c>
      <c r="CI73" s="61"/>
      <c r="CJ73" s="487">
        <f t="shared" ca="1" si="113"/>
        <v>0</v>
      </c>
      <c r="CK73" s="487">
        <f t="shared" ca="1" si="114"/>
        <v>0</v>
      </c>
      <c r="CL73" s="112"/>
      <c r="CM73" s="127">
        <f t="shared" ca="1" si="166"/>
        <v>0</v>
      </c>
      <c r="CN73" s="127">
        <f t="shared" ca="1" si="107"/>
        <v>0</v>
      </c>
      <c r="CO73" s="128" t="str">
        <f t="shared" ca="1" si="140"/>
        <v/>
      </c>
      <c r="CP73" s="61"/>
      <c r="CQ73" s="108">
        <v>70</v>
      </c>
      <c r="CR73" s="273">
        <v>0.12</v>
      </c>
      <c r="CS73" s="61">
        <f t="shared" si="167"/>
        <v>0</v>
      </c>
      <c r="CT73" s="278">
        <f t="shared" si="168"/>
        <v>0.12</v>
      </c>
      <c r="CU73" s="61">
        <f t="shared" si="169"/>
        <v>1</v>
      </c>
      <c r="CV73" s="287">
        <f t="shared" si="125"/>
        <v>1</v>
      </c>
      <c r="CW73" s="309">
        <f t="shared" si="121"/>
        <v>128.58000000000001</v>
      </c>
      <c r="CX73" s="309">
        <f t="shared" si="122"/>
        <v>63.07</v>
      </c>
      <c r="CY73" s="300">
        <f t="shared" si="123"/>
        <v>255.3</v>
      </c>
      <c r="CZ73" s="309">
        <f t="shared" si="124"/>
        <v>141.72999999999999</v>
      </c>
      <c r="DA73"/>
      <c r="DC73" s="544">
        <v>485.96999999999997</v>
      </c>
    </row>
    <row r="74" spans="1:107">
      <c r="A74" s="146">
        <v>38</v>
      </c>
      <c r="B74" s="141">
        <f ca="1">RESUMEN!J41</f>
        <v>0</v>
      </c>
      <c r="C74" s="141">
        <f ca="1">+RESUMEN!K41</f>
        <v>0</v>
      </c>
      <c r="D74" s="142">
        <f t="shared" ca="1" si="141"/>
        <v>0</v>
      </c>
      <c r="E74" s="145">
        <f ca="1">+RESUMEN!T23</f>
        <v>0</v>
      </c>
      <c r="F74" s="141">
        <f ca="1">RESUMEN!P23</f>
        <v>0</v>
      </c>
      <c r="G74" s="142">
        <f t="shared" ca="1" si="112"/>
        <v>0</v>
      </c>
      <c r="H74" s="133"/>
      <c r="I74" s="288"/>
      <c r="J74" s="132">
        <v>71</v>
      </c>
      <c r="K74" s="36">
        <v>151247.29</v>
      </c>
      <c r="L74" s="36">
        <v>150616.54999999999</v>
      </c>
      <c r="M74" s="36">
        <v>134255.57</v>
      </c>
      <c r="N74" s="36">
        <v>133695.69</v>
      </c>
      <c r="O74" s="36">
        <v>118872.12</v>
      </c>
      <c r="P74" s="36">
        <v>118376.39</v>
      </c>
      <c r="Q74" s="105">
        <f t="shared" si="126"/>
        <v>496734.53</v>
      </c>
      <c r="R74" s="105">
        <f t="shared" si="127"/>
        <v>436589.24</v>
      </c>
      <c r="S74" s="105">
        <f t="shared" si="128"/>
        <v>372207.15</v>
      </c>
      <c r="T74" s="105">
        <f t="shared" si="129"/>
        <v>321264.7</v>
      </c>
      <c r="U74" s="105">
        <f t="shared" si="130"/>
        <v>247082.84</v>
      </c>
      <c r="V74" s="105">
        <f t="shared" si="131"/>
        <v>218953.87</v>
      </c>
      <c r="W74" s="61"/>
      <c r="X74" s="106">
        <v>496734.53</v>
      </c>
      <c r="Y74" s="106">
        <v>436589.24</v>
      </c>
      <c r="Z74" s="105">
        <f t="shared" si="142"/>
        <v>518094.11479000002</v>
      </c>
      <c r="AA74" s="105">
        <f t="shared" si="143"/>
        <v>455362.57731999998</v>
      </c>
      <c r="AB74" s="105">
        <f t="shared" si="144"/>
        <v>556342.6736000001</v>
      </c>
      <c r="AC74" s="105">
        <f t="shared" si="145"/>
        <v>488979.94880000001</v>
      </c>
      <c r="AD74" s="107">
        <v>372207.15</v>
      </c>
      <c r="AE74" s="107">
        <v>321264.7</v>
      </c>
      <c r="AF74" s="105">
        <f t="shared" si="146"/>
        <v>388212.05745000002</v>
      </c>
      <c r="AG74" s="105">
        <f t="shared" si="147"/>
        <v>335079.0821</v>
      </c>
      <c r="AH74" s="105">
        <f t="shared" si="148"/>
        <v>416872.00800000009</v>
      </c>
      <c r="AI74" s="105">
        <f t="shared" si="149"/>
        <v>359816.46400000004</v>
      </c>
      <c r="AJ74" s="106">
        <v>247082.84</v>
      </c>
      <c r="AK74" s="106">
        <v>218953.87</v>
      </c>
      <c r="AL74" s="105">
        <f t="shared" si="150"/>
        <v>257707.40211999998</v>
      </c>
      <c r="AM74" s="105">
        <f t="shared" si="151"/>
        <v>228368.88640999998</v>
      </c>
      <c r="AN74" s="105">
        <f t="shared" si="152"/>
        <v>276732.78080000001</v>
      </c>
      <c r="AO74" s="105">
        <f t="shared" si="153"/>
        <v>245228.33440000002</v>
      </c>
      <c r="AP74" s="61"/>
      <c r="AQ74" s="108">
        <v>71</v>
      </c>
      <c r="AR74" s="109">
        <f ca="1">+RESUMEN!F74</f>
        <v>0</v>
      </c>
      <c r="AS74" s="109">
        <f ca="1">+RESUMEN!G74</f>
        <v>0</v>
      </c>
      <c r="AT74" s="110">
        <f t="shared" ca="1" si="132"/>
        <v>0</v>
      </c>
      <c r="AU74" s="111">
        <f t="shared" si="154"/>
        <v>0</v>
      </c>
      <c r="AV74" s="111">
        <f t="shared" si="155"/>
        <v>0</v>
      </c>
      <c r="AW74" s="111">
        <f t="shared" si="156"/>
        <v>0</v>
      </c>
      <c r="AX74" s="111">
        <f t="shared" si="157"/>
        <v>0</v>
      </c>
      <c r="AY74" s="111">
        <f t="shared" ca="1" si="158"/>
        <v>0</v>
      </c>
      <c r="AZ74" s="110"/>
      <c r="BA74" s="111">
        <f t="shared" ca="1" si="115"/>
        <v>0</v>
      </c>
      <c r="BB74" s="111">
        <f t="shared" ca="1" si="116"/>
        <v>0</v>
      </c>
      <c r="BC74" s="112"/>
      <c r="BD74" s="113">
        <f t="shared" ca="1" si="159"/>
        <v>0</v>
      </c>
      <c r="BE74" s="113">
        <f t="shared" ca="1" si="102"/>
        <v>0</v>
      </c>
      <c r="BF74" s="114" t="str">
        <f t="shared" ca="1" si="133"/>
        <v/>
      </c>
      <c r="BG74" s="61"/>
      <c r="BH74" s="64">
        <f t="shared" ca="1" si="117"/>
        <v>0</v>
      </c>
      <c r="BI74" s="64">
        <f t="shared" ca="1" si="118"/>
        <v>0</v>
      </c>
      <c r="BJ74" s="112"/>
      <c r="BK74" s="115">
        <f t="shared" ca="1" si="160"/>
        <v>0</v>
      </c>
      <c r="BL74" s="115">
        <f t="shared" ca="1" si="104"/>
        <v>0</v>
      </c>
      <c r="BM74" s="116" t="str">
        <f t="shared" ca="1" si="134"/>
        <v/>
      </c>
      <c r="BN74" s="61"/>
      <c r="BO74" s="117">
        <f t="shared" ca="1" si="119"/>
        <v>0</v>
      </c>
      <c r="BP74" s="117">
        <f t="shared" ca="1" si="120"/>
        <v>0</v>
      </c>
      <c r="BQ74" s="112"/>
      <c r="BR74" s="118">
        <f t="shared" ca="1" si="161"/>
        <v>0</v>
      </c>
      <c r="BS74" s="118">
        <f t="shared" ca="1" si="103"/>
        <v>0</v>
      </c>
      <c r="BT74" s="119" t="str">
        <f t="shared" ca="1" si="135"/>
        <v/>
      </c>
      <c r="BU74" s="61"/>
      <c r="BV74" s="120">
        <f t="shared" ca="1" si="136"/>
        <v>0</v>
      </c>
      <c r="BW74" s="120">
        <f t="shared" ca="1" si="137"/>
        <v>0</v>
      </c>
      <c r="BX74" s="112"/>
      <c r="BY74" s="121">
        <f t="shared" ca="1" si="162"/>
        <v>0</v>
      </c>
      <c r="BZ74" s="121">
        <f t="shared" ca="1" si="105"/>
        <v>0</v>
      </c>
      <c r="CA74" s="122" t="str">
        <f t="shared" ca="1" si="138"/>
        <v/>
      </c>
      <c r="CB74" s="61"/>
      <c r="CC74" s="123">
        <f t="shared" ca="1" si="163"/>
        <v>0</v>
      </c>
      <c r="CD74" s="123">
        <f t="shared" ca="1" si="164"/>
        <v>0</v>
      </c>
      <c r="CE74" s="112"/>
      <c r="CF74" s="124">
        <f t="shared" ca="1" si="165"/>
        <v>0</v>
      </c>
      <c r="CG74" s="124">
        <f t="shared" ca="1" si="106"/>
        <v>0</v>
      </c>
      <c r="CH74" s="125" t="str">
        <f t="shared" ca="1" si="139"/>
        <v/>
      </c>
      <c r="CI74" s="61"/>
      <c r="CJ74" s="487">
        <f t="shared" ca="1" si="113"/>
        <v>0</v>
      </c>
      <c r="CK74" s="487">
        <f t="shared" ca="1" si="114"/>
        <v>0</v>
      </c>
      <c r="CL74" s="112"/>
      <c r="CM74" s="127">
        <f t="shared" ca="1" si="166"/>
        <v>0</v>
      </c>
      <c r="CN74" s="127">
        <f t="shared" ca="1" si="107"/>
        <v>0</v>
      </c>
      <c r="CO74" s="128" t="str">
        <f t="shared" ca="1" si="140"/>
        <v/>
      </c>
      <c r="CP74" s="61"/>
      <c r="CQ74" s="108">
        <v>71</v>
      </c>
      <c r="CR74" s="273">
        <v>0.12</v>
      </c>
      <c r="CS74" s="61">
        <f t="shared" si="167"/>
        <v>0</v>
      </c>
      <c r="CT74" s="278">
        <f t="shared" si="168"/>
        <v>0.12</v>
      </c>
      <c r="CU74" s="61">
        <f t="shared" si="169"/>
        <v>1</v>
      </c>
      <c r="CV74" s="287">
        <f t="shared" si="125"/>
        <v>1</v>
      </c>
      <c r="CW74" s="309">
        <f t="shared" si="121"/>
        <v>128.58000000000001</v>
      </c>
      <c r="CX74" s="309">
        <f t="shared" si="122"/>
        <v>63.07</v>
      </c>
      <c r="CY74" s="300">
        <f t="shared" si="123"/>
        <v>255.3</v>
      </c>
      <c r="CZ74" s="309">
        <f t="shared" si="124"/>
        <v>141.72999999999999</v>
      </c>
      <c r="DA74"/>
      <c r="DC74" s="544">
        <v>485.96999999999997</v>
      </c>
    </row>
    <row r="75" spans="1:107">
      <c r="A75" s="146">
        <v>39</v>
      </c>
      <c r="B75" s="141">
        <f ca="1">RESUMEN!J42</f>
        <v>0</v>
      </c>
      <c r="C75" s="141">
        <f ca="1">+RESUMEN!K42</f>
        <v>0</v>
      </c>
      <c r="D75" s="142">
        <f t="shared" ca="1" si="141"/>
        <v>0</v>
      </c>
      <c r="E75" s="145">
        <f ca="1">+RESUMEN!T24</f>
        <v>0</v>
      </c>
      <c r="F75" s="141">
        <f ca="1">RESUMEN!P24</f>
        <v>0</v>
      </c>
      <c r="G75" s="142">
        <f t="shared" ca="1" si="112"/>
        <v>0</v>
      </c>
      <c r="H75" s="133"/>
      <c r="I75" s="288"/>
      <c r="J75" s="132">
        <v>72</v>
      </c>
      <c r="K75" s="36">
        <v>161334.03</v>
      </c>
      <c r="L75" s="36">
        <v>158585.94</v>
      </c>
      <c r="M75" s="36">
        <v>143209.13</v>
      </c>
      <c r="N75" s="36">
        <v>140769.76999999999</v>
      </c>
      <c r="O75" s="36">
        <v>126799.75</v>
      </c>
      <c r="P75" s="36">
        <v>124639.9</v>
      </c>
      <c r="Q75" s="105">
        <f t="shared" si="126"/>
        <v>534432.64</v>
      </c>
      <c r="R75" s="105">
        <f t="shared" si="127"/>
        <v>469729.24</v>
      </c>
      <c r="S75" s="105">
        <f t="shared" si="128"/>
        <v>398834.44</v>
      </c>
      <c r="T75" s="105">
        <f t="shared" si="129"/>
        <v>345932.67</v>
      </c>
      <c r="U75" s="105">
        <f t="shared" si="130"/>
        <v>276778.26</v>
      </c>
      <c r="V75" s="105">
        <f t="shared" si="131"/>
        <v>235964.99</v>
      </c>
      <c r="W75" s="61"/>
      <c r="X75" s="106">
        <v>534432.64</v>
      </c>
      <c r="Y75" s="106">
        <v>469729.24</v>
      </c>
      <c r="Z75" s="105">
        <f t="shared" si="142"/>
        <v>557413.24352000002</v>
      </c>
      <c r="AA75" s="105">
        <f t="shared" si="143"/>
        <v>489927.59731999994</v>
      </c>
      <c r="AB75" s="105">
        <f t="shared" si="144"/>
        <v>598564.55680000002</v>
      </c>
      <c r="AC75" s="105">
        <f t="shared" si="145"/>
        <v>526096.74880000006</v>
      </c>
      <c r="AD75" s="107">
        <v>398834.44</v>
      </c>
      <c r="AE75" s="107">
        <v>345932.67</v>
      </c>
      <c r="AF75" s="105">
        <f t="shared" si="146"/>
        <v>415984.32091999997</v>
      </c>
      <c r="AG75" s="105">
        <f t="shared" si="147"/>
        <v>360807.77480999997</v>
      </c>
      <c r="AH75" s="105">
        <f t="shared" si="148"/>
        <v>446694.57280000002</v>
      </c>
      <c r="AI75" s="105">
        <f t="shared" si="149"/>
        <v>387444.59040000004</v>
      </c>
      <c r="AJ75" s="106">
        <v>276778.26</v>
      </c>
      <c r="AK75" s="106">
        <v>235964.99</v>
      </c>
      <c r="AL75" s="105">
        <f t="shared" si="150"/>
        <v>288679.72518000001</v>
      </c>
      <c r="AM75" s="105">
        <f t="shared" si="151"/>
        <v>246111.48456999997</v>
      </c>
      <c r="AN75" s="105">
        <f t="shared" si="152"/>
        <v>309991.65120000002</v>
      </c>
      <c r="AO75" s="105">
        <f t="shared" si="153"/>
        <v>264280.78880000004</v>
      </c>
      <c r="AP75" s="61"/>
      <c r="AQ75" s="108">
        <v>72</v>
      </c>
      <c r="AR75" s="109">
        <f ca="1">+RESUMEN!F75</f>
        <v>0</v>
      </c>
      <c r="AS75" s="109">
        <f ca="1">+RESUMEN!G75</f>
        <v>0</v>
      </c>
      <c r="AT75" s="110">
        <f t="shared" ca="1" si="132"/>
        <v>0</v>
      </c>
      <c r="AU75" s="111">
        <f t="shared" si="154"/>
        <v>0</v>
      </c>
      <c r="AV75" s="111">
        <f t="shared" si="155"/>
        <v>0</v>
      </c>
      <c r="AW75" s="111">
        <f t="shared" si="156"/>
        <v>0</v>
      </c>
      <c r="AX75" s="111">
        <f t="shared" si="157"/>
        <v>0</v>
      </c>
      <c r="AY75" s="111">
        <f t="shared" ca="1" si="158"/>
        <v>0</v>
      </c>
      <c r="AZ75" s="110"/>
      <c r="BA75" s="111">
        <f t="shared" ca="1" si="115"/>
        <v>0</v>
      </c>
      <c r="BB75" s="111">
        <f t="shared" ca="1" si="116"/>
        <v>0</v>
      </c>
      <c r="BC75" s="112"/>
      <c r="BD75" s="113">
        <f t="shared" ca="1" si="159"/>
        <v>0</v>
      </c>
      <c r="BE75" s="113">
        <f t="shared" ca="1" si="102"/>
        <v>0</v>
      </c>
      <c r="BF75" s="114" t="str">
        <f t="shared" ca="1" si="133"/>
        <v/>
      </c>
      <c r="BG75" s="61"/>
      <c r="BH75" s="64">
        <f t="shared" ca="1" si="117"/>
        <v>0</v>
      </c>
      <c r="BI75" s="64">
        <f t="shared" ca="1" si="118"/>
        <v>0</v>
      </c>
      <c r="BJ75" s="112"/>
      <c r="BK75" s="115">
        <f t="shared" ca="1" si="160"/>
        <v>0</v>
      </c>
      <c r="BL75" s="115">
        <f t="shared" ca="1" si="104"/>
        <v>0</v>
      </c>
      <c r="BM75" s="116" t="str">
        <f t="shared" ca="1" si="134"/>
        <v/>
      </c>
      <c r="BN75" s="61"/>
      <c r="BO75" s="117">
        <f t="shared" ca="1" si="119"/>
        <v>0</v>
      </c>
      <c r="BP75" s="117">
        <f t="shared" ca="1" si="120"/>
        <v>0</v>
      </c>
      <c r="BQ75" s="112"/>
      <c r="BR75" s="118">
        <f t="shared" ca="1" si="161"/>
        <v>0</v>
      </c>
      <c r="BS75" s="118">
        <f t="shared" ca="1" si="103"/>
        <v>0</v>
      </c>
      <c r="BT75" s="119" t="str">
        <f t="shared" ca="1" si="135"/>
        <v/>
      </c>
      <c r="BU75" s="61"/>
      <c r="BV75" s="120">
        <f t="shared" ca="1" si="136"/>
        <v>0</v>
      </c>
      <c r="BW75" s="120">
        <f t="shared" ca="1" si="137"/>
        <v>0</v>
      </c>
      <c r="BX75" s="112"/>
      <c r="BY75" s="121">
        <f t="shared" ca="1" si="162"/>
        <v>0</v>
      </c>
      <c r="BZ75" s="121">
        <f t="shared" ca="1" si="105"/>
        <v>0</v>
      </c>
      <c r="CA75" s="122" t="str">
        <f t="shared" ca="1" si="138"/>
        <v/>
      </c>
      <c r="CB75" s="61"/>
      <c r="CC75" s="123">
        <f t="shared" ca="1" si="163"/>
        <v>0</v>
      </c>
      <c r="CD75" s="123">
        <f t="shared" ca="1" si="164"/>
        <v>0</v>
      </c>
      <c r="CE75" s="112"/>
      <c r="CF75" s="124">
        <f t="shared" ca="1" si="165"/>
        <v>0</v>
      </c>
      <c r="CG75" s="124">
        <f t="shared" ca="1" si="106"/>
        <v>0</v>
      </c>
      <c r="CH75" s="125" t="str">
        <f t="shared" ca="1" si="139"/>
        <v/>
      </c>
      <c r="CI75" s="61"/>
      <c r="CJ75" s="487">
        <f t="shared" ca="1" si="113"/>
        <v>0</v>
      </c>
      <c r="CK75" s="487">
        <f t="shared" ca="1" si="114"/>
        <v>0</v>
      </c>
      <c r="CL75" s="112"/>
      <c r="CM75" s="127">
        <f t="shared" ca="1" si="166"/>
        <v>0</v>
      </c>
      <c r="CN75" s="127">
        <f t="shared" ca="1" si="107"/>
        <v>0</v>
      </c>
      <c r="CO75" s="128" t="str">
        <f t="shared" ca="1" si="140"/>
        <v/>
      </c>
      <c r="CP75" s="61"/>
      <c r="CQ75" s="108">
        <v>72</v>
      </c>
      <c r="CR75" s="273">
        <v>0.12</v>
      </c>
      <c r="CS75" s="61">
        <f t="shared" si="167"/>
        <v>0</v>
      </c>
      <c r="CT75" s="278">
        <f t="shared" si="168"/>
        <v>0.12</v>
      </c>
      <c r="CU75" s="61">
        <f t="shared" si="169"/>
        <v>1</v>
      </c>
      <c r="CV75" s="287">
        <f t="shared" si="125"/>
        <v>1</v>
      </c>
      <c r="CW75" s="309">
        <f t="shared" si="121"/>
        <v>128.58000000000001</v>
      </c>
      <c r="CX75" s="309">
        <f t="shared" si="122"/>
        <v>63.07</v>
      </c>
      <c r="CY75" s="300">
        <f t="shared" si="123"/>
        <v>255.3</v>
      </c>
      <c r="CZ75" s="309">
        <f t="shared" si="124"/>
        <v>141.72999999999999</v>
      </c>
      <c r="DA75"/>
      <c r="DC75" s="544">
        <v>485.96999999999997</v>
      </c>
    </row>
    <row r="76" spans="1:107">
      <c r="A76" s="146">
        <v>40</v>
      </c>
      <c r="B76" s="141">
        <f ca="1">RESUMEN!J43</f>
        <v>0</v>
      </c>
      <c r="C76" s="141">
        <f ca="1">+RESUMEN!K43</f>
        <v>0</v>
      </c>
      <c r="D76" s="142">
        <f t="shared" ca="1" si="141"/>
        <v>0</v>
      </c>
      <c r="E76" s="145">
        <f ca="1">+RESUMEN!T25</f>
        <v>0</v>
      </c>
      <c r="F76" s="141">
        <f ca="1">RESUMEN!P25</f>
        <v>0</v>
      </c>
      <c r="G76" s="142">
        <f t="shared" ca="1" si="112"/>
        <v>0</v>
      </c>
      <c r="H76" s="133"/>
      <c r="I76" s="288"/>
      <c r="J76" s="132">
        <v>73</v>
      </c>
      <c r="K76" s="36">
        <v>172273.96</v>
      </c>
      <c r="L76" s="36">
        <v>164472.57</v>
      </c>
      <c r="M76" s="36">
        <v>152920.01999999999</v>
      </c>
      <c r="N76" s="36">
        <v>145995.07</v>
      </c>
      <c r="O76" s="36">
        <v>135397.93</v>
      </c>
      <c r="P76" s="36">
        <v>129266.47</v>
      </c>
      <c r="Q76" s="105">
        <f t="shared" si="126"/>
        <v>593746.31000000006</v>
      </c>
      <c r="R76" s="105">
        <f t="shared" si="127"/>
        <v>502667.63</v>
      </c>
      <c r="S76" s="105">
        <f t="shared" si="128"/>
        <v>413072.62</v>
      </c>
      <c r="T76" s="105">
        <f t="shared" si="129"/>
        <v>360991.43</v>
      </c>
      <c r="U76" s="105">
        <f t="shared" si="130"/>
        <v>305621.61</v>
      </c>
      <c r="V76" s="105">
        <f t="shared" si="131"/>
        <v>252539.56</v>
      </c>
      <c r="W76" s="61"/>
      <c r="X76" s="106">
        <v>593746.31000000006</v>
      </c>
      <c r="Y76" s="106">
        <v>502667.63</v>
      </c>
      <c r="Z76" s="105">
        <f t="shared" si="142"/>
        <v>619277.40133000002</v>
      </c>
      <c r="AA76" s="105">
        <f t="shared" si="143"/>
        <v>524282.33808999998</v>
      </c>
      <c r="AB76" s="105">
        <f t="shared" si="144"/>
        <v>664995.8672000001</v>
      </c>
      <c r="AC76" s="105">
        <f t="shared" si="145"/>
        <v>562987.74560000002</v>
      </c>
      <c r="AD76" s="107">
        <v>413072.62</v>
      </c>
      <c r="AE76" s="107">
        <v>360991.43</v>
      </c>
      <c r="AF76" s="105">
        <f t="shared" si="146"/>
        <v>430834.74265999999</v>
      </c>
      <c r="AG76" s="105">
        <f t="shared" si="147"/>
        <v>376514.06148999999</v>
      </c>
      <c r="AH76" s="105">
        <f t="shared" si="148"/>
        <v>462641.33440000005</v>
      </c>
      <c r="AI76" s="105">
        <f t="shared" si="149"/>
        <v>404310.40160000004</v>
      </c>
      <c r="AJ76" s="106">
        <v>305621.61</v>
      </c>
      <c r="AK76" s="106">
        <v>252539.56</v>
      </c>
      <c r="AL76" s="105">
        <f t="shared" si="150"/>
        <v>318763.33922999998</v>
      </c>
      <c r="AM76" s="105">
        <f t="shared" si="151"/>
        <v>263398.76107999997</v>
      </c>
      <c r="AN76" s="105">
        <f t="shared" si="152"/>
        <v>342296.20319999999</v>
      </c>
      <c r="AO76" s="105">
        <f t="shared" si="153"/>
        <v>282844.30720000004</v>
      </c>
      <c r="AP76" s="61"/>
      <c r="AQ76" s="108">
        <v>73</v>
      </c>
      <c r="AR76" s="109">
        <f ca="1">+RESUMEN!F76</f>
        <v>0</v>
      </c>
      <c r="AS76" s="109">
        <f ca="1">+RESUMEN!G76</f>
        <v>0</v>
      </c>
      <c r="AT76" s="110">
        <f t="shared" ca="1" si="132"/>
        <v>0</v>
      </c>
      <c r="AU76" s="111">
        <f t="shared" si="154"/>
        <v>0</v>
      </c>
      <c r="AV76" s="111">
        <f t="shared" si="155"/>
        <v>0</v>
      </c>
      <c r="AW76" s="111">
        <f t="shared" si="156"/>
        <v>0</v>
      </c>
      <c r="AX76" s="111">
        <f t="shared" si="157"/>
        <v>0</v>
      </c>
      <c r="AY76" s="111">
        <f t="shared" ca="1" si="158"/>
        <v>0</v>
      </c>
      <c r="AZ76" s="110"/>
      <c r="BA76" s="111">
        <f t="shared" ca="1" si="115"/>
        <v>0</v>
      </c>
      <c r="BB76" s="111">
        <f t="shared" ca="1" si="116"/>
        <v>0</v>
      </c>
      <c r="BC76" s="112"/>
      <c r="BD76" s="113">
        <f t="shared" ca="1" si="159"/>
        <v>0</v>
      </c>
      <c r="BE76" s="113">
        <f t="shared" ca="1" si="102"/>
        <v>0</v>
      </c>
      <c r="BF76" s="114" t="str">
        <f t="shared" ca="1" si="133"/>
        <v/>
      </c>
      <c r="BG76" s="61"/>
      <c r="BH76" s="64">
        <f t="shared" ca="1" si="117"/>
        <v>0</v>
      </c>
      <c r="BI76" s="64">
        <f t="shared" ca="1" si="118"/>
        <v>0</v>
      </c>
      <c r="BJ76" s="112"/>
      <c r="BK76" s="115">
        <f t="shared" ca="1" si="160"/>
        <v>0</v>
      </c>
      <c r="BL76" s="115">
        <f t="shared" ca="1" si="104"/>
        <v>0</v>
      </c>
      <c r="BM76" s="116" t="str">
        <f t="shared" ca="1" si="134"/>
        <v/>
      </c>
      <c r="BN76" s="61"/>
      <c r="BO76" s="117">
        <f t="shared" ca="1" si="119"/>
        <v>0</v>
      </c>
      <c r="BP76" s="117">
        <f t="shared" ca="1" si="120"/>
        <v>0</v>
      </c>
      <c r="BQ76" s="112"/>
      <c r="BR76" s="118">
        <f t="shared" ca="1" si="161"/>
        <v>0</v>
      </c>
      <c r="BS76" s="118">
        <f t="shared" ca="1" si="103"/>
        <v>0</v>
      </c>
      <c r="BT76" s="119" t="str">
        <f t="shared" ca="1" si="135"/>
        <v/>
      </c>
      <c r="BU76" s="61"/>
      <c r="BV76" s="120">
        <f t="shared" ca="1" si="136"/>
        <v>0</v>
      </c>
      <c r="BW76" s="120">
        <f t="shared" ca="1" si="137"/>
        <v>0</v>
      </c>
      <c r="BX76" s="112"/>
      <c r="BY76" s="121">
        <f t="shared" ca="1" si="162"/>
        <v>0</v>
      </c>
      <c r="BZ76" s="121">
        <f t="shared" ca="1" si="105"/>
        <v>0</v>
      </c>
      <c r="CA76" s="122" t="str">
        <f t="shared" ca="1" si="138"/>
        <v/>
      </c>
      <c r="CB76" s="61"/>
      <c r="CC76" s="123">
        <f t="shared" ca="1" si="163"/>
        <v>0</v>
      </c>
      <c r="CD76" s="123">
        <f t="shared" ca="1" si="164"/>
        <v>0</v>
      </c>
      <c r="CE76" s="112"/>
      <c r="CF76" s="124">
        <f t="shared" ca="1" si="165"/>
        <v>0</v>
      </c>
      <c r="CG76" s="124">
        <f t="shared" ca="1" si="106"/>
        <v>0</v>
      </c>
      <c r="CH76" s="125" t="str">
        <f t="shared" ca="1" si="139"/>
        <v/>
      </c>
      <c r="CI76" s="61"/>
      <c r="CJ76" s="487">
        <f t="shared" ca="1" si="113"/>
        <v>0</v>
      </c>
      <c r="CK76" s="487">
        <f t="shared" ca="1" si="114"/>
        <v>0</v>
      </c>
      <c r="CL76" s="112"/>
      <c r="CM76" s="127">
        <f t="shared" ca="1" si="166"/>
        <v>0</v>
      </c>
      <c r="CN76" s="127">
        <f t="shared" ca="1" si="107"/>
        <v>0</v>
      </c>
      <c r="CO76" s="128" t="str">
        <f t="shared" ca="1" si="140"/>
        <v/>
      </c>
      <c r="CP76" s="61"/>
      <c r="CQ76" s="108">
        <v>73</v>
      </c>
      <c r="CR76" s="273">
        <v>0.12</v>
      </c>
      <c r="CS76" s="61">
        <f t="shared" si="167"/>
        <v>0</v>
      </c>
      <c r="CT76" s="278">
        <f t="shared" si="168"/>
        <v>0.12</v>
      </c>
      <c r="CU76" s="61">
        <f t="shared" si="169"/>
        <v>1</v>
      </c>
      <c r="CV76" s="287">
        <f t="shared" si="125"/>
        <v>1</v>
      </c>
      <c r="CW76" s="309">
        <f t="shared" si="121"/>
        <v>128.58000000000001</v>
      </c>
      <c r="CX76" s="309">
        <f t="shared" si="122"/>
        <v>63.07</v>
      </c>
      <c r="CY76" s="300">
        <f t="shared" si="123"/>
        <v>255.3</v>
      </c>
      <c r="CZ76" s="309">
        <f t="shared" si="124"/>
        <v>141.72999999999999</v>
      </c>
      <c r="DA76"/>
      <c r="DC76" s="544">
        <v>485.96999999999997</v>
      </c>
    </row>
    <row r="77" spans="1:107">
      <c r="A77" s="146">
        <v>41</v>
      </c>
      <c r="B77" s="141">
        <f ca="1">RESUMEN!J44</f>
        <v>0</v>
      </c>
      <c r="C77" s="141">
        <f ca="1">+RESUMEN!K44</f>
        <v>0</v>
      </c>
      <c r="D77" s="142">
        <f t="shared" ca="1" si="141"/>
        <v>0</v>
      </c>
      <c r="E77" s="145">
        <f ca="1">+RESUMEN!T26</f>
        <v>0</v>
      </c>
      <c r="F77" s="141">
        <f ca="1">RESUMEN!P26</f>
        <v>0</v>
      </c>
      <c r="G77" s="142">
        <f t="shared" ca="1" si="112"/>
        <v>0</v>
      </c>
      <c r="H77" s="133"/>
      <c r="I77" s="288"/>
      <c r="J77" s="132">
        <v>74</v>
      </c>
      <c r="K77" s="36">
        <v>183883.49</v>
      </c>
      <c r="L77" s="36">
        <v>170381.64</v>
      </c>
      <c r="M77" s="36">
        <v>163225.29</v>
      </c>
      <c r="N77" s="36">
        <v>151240.29</v>
      </c>
      <c r="O77" s="36">
        <v>144522.39000000001</v>
      </c>
      <c r="P77" s="36">
        <v>133910.68</v>
      </c>
      <c r="Q77" s="105">
        <f t="shared" si="126"/>
        <v>647769.5</v>
      </c>
      <c r="R77" s="105">
        <f t="shared" si="127"/>
        <v>565580.23</v>
      </c>
      <c r="S77" s="105">
        <f t="shared" si="128"/>
        <v>433766.81</v>
      </c>
      <c r="T77" s="105">
        <f t="shared" si="129"/>
        <v>389935.58</v>
      </c>
      <c r="U77" s="105">
        <f t="shared" si="130"/>
        <v>332535.55</v>
      </c>
      <c r="V77" s="105">
        <f t="shared" si="131"/>
        <v>290468.58</v>
      </c>
      <c r="W77" s="61"/>
      <c r="X77" s="106">
        <v>647769.5</v>
      </c>
      <c r="Y77" s="106">
        <v>565580.23</v>
      </c>
      <c r="Z77" s="105">
        <f t="shared" si="142"/>
        <v>675623.58849999995</v>
      </c>
      <c r="AA77" s="105">
        <f t="shared" si="143"/>
        <v>589900.17988999991</v>
      </c>
      <c r="AB77" s="105">
        <f t="shared" si="144"/>
        <v>725501.84000000008</v>
      </c>
      <c r="AC77" s="105">
        <f t="shared" si="145"/>
        <v>633449.85759999999</v>
      </c>
      <c r="AD77" s="107">
        <v>433766.81</v>
      </c>
      <c r="AE77" s="107">
        <v>389935.58</v>
      </c>
      <c r="AF77" s="105">
        <f t="shared" si="146"/>
        <v>452418.78282999998</v>
      </c>
      <c r="AG77" s="105">
        <f t="shared" si="147"/>
        <v>406702.80994000001</v>
      </c>
      <c r="AH77" s="105">
        <f t="shared" si="148"/>
        <v>485818.82720000006</v>
      </c>
      <c r="AI77" s="105">
        <f t="shared" si="149"/>
        <v>436727.84960000007</v>
      </c>
      <c r="AJ77" s="106">
        <v>332535.55</v>
      </c>
      <c r="AK77" s="106">
        <v>290468.58</v>
      </c>
      <c r="AL77" s="105">
        <f t="shared" si="150"/>
        <v>346834.57864999998</v>
      </c>
      <c r="AM77" s="105">
        <f t="shared" si="151"/>
        <v>302958.72894</v>
      </c>
      <c r="AN77" s="105">
        <f t="shared" si="152"/>
        <v>372439.81600000005</v>
      </c>
      <c r="AO77" s="105">
        <f t="shared" si="153"/>
        <v>325324.80960000004</v>
      </c>
      <c r="AP77" s="61"/>
      <c r="AQ77" s="108">
        <v>74</v>
      </c>
      <c r="AR77" s="109">
        <f ca="1">+RESUMEN!F77</f>
        <v>0</v>
      </c>
      <c r="AS77" s="109">
        <f ca="1">+RESUMEN!G77</f>
        <v>0</v>
      </c>
      <c r="AT77" s="110">
        <f t="shared" ca="1" si="132"/>
        <v>0</v>
      </c>
      <c r="AU77" s="111">
        <f t="shared" si="154"/>
        <v>0</v>
      </c>
      <c r="AV77" s="111">
        <f t="shared" si="155"/>
        <v>0</v>
      </c>
      <c r="AW77" s="111">
        <f t="shared" si="156"/>
        <v>0</v>
      </c>
      <c r="AX77" s="111">
        <f t="shared" si="157"/>
        <v>0</v>
      </c>
      <c r="AY77" s="111">
        <f t="shared" ca="1" si="158"/>
        <v>0</v>
      </c>
      <c r="AZ77" s="110"/>
      <c r="BA77" s="111">
        <f t="shared" ca="1" si="115"/>
        <v>0</v>
      </c>
      <c r="BB77" s="111">
        <f t="shared" ca="1" si="116"/>
        <v>0</v>
      </c>
      <c r="BC77" s="112"/>
      <c r="BD77" s="113">
        <f t="shared" ca="1" si="159"/>
        <v>0</v>
      </c>
      <c r="BE77" s="113">
        <f t="shared" ca="1" si="102"/>
        <v>0</v>
      </c>
      <c r="BF77" s="114" t="str">
        <f t="shared" ca="1" si="133"/>
        <v/>
      </c>
      <c r="BG77" s="61"/>
      <c r="BH77" s="64">
        <f t="shared" ca="1" si="117"/>
        <v>0</v>
      </c>
      <c r="BI77" s="64">
        <f t="shared" ca="1" si="118"/>
        <v>0</v>
      </c>
      <c r="BJ77" s="112"/>
      <c r="BK77" s="115">
        <f t="shared" ca="1" si="160"/>
        <v>0</v>
      </c>
      <c r="BL77" s="115">
        <f t="shared" ca="1" si="104"/>
        <v>0</v>
      </c>
      <c r="BM77" s="116" t="str">
        <f t="shared" ca="1" si="134"/>
        <v/>
      </c>
      <c r="BN77" s="61"/>
      <c r="BO77" s="117">
        <f t="shared" ca="1" si="119"/>
        <v>0</v>
      </c>
      <c r="BP77" s="117">
        <f t="shared" ca="1" si="120"/>
        <v>0</v>
      </c>
      <c r="BQ77" s="112"/>
      <c r="BR77" s="118">
        <f t="shared" ca="1" si="161"/>
        <v>0</v>
      </c>
      <c r="BS77" s="118">
        <f t="shared" ca="1" si="103"/>
        <v>0</v>
      </c>
      <c r="BT77" s="119" t="str">
        <f t="shared" ca="1" si="135"/>
        <v/>
      </c>
      <c r="BU77" s="61"/>
      <c r="BV77" s="120">
        <f t="shared" ca="1" si="136"/>
        <v>0</v>
      </c>
      <c r="BW77" s="120">
        <f t="shared" ca="1" si="137"/>
        <v>0</v>
      </c>
      <c r="BX77" s="112"/>
      <c r="BY77" s="121">
        <f t="shared" ca="1" si="162"/>
        <v>0</v>
      </c>
      <c r="BZ77" s="121">
        <f t="shared" ca="1" si="105"/>
        <v>0</v>
      </c>
      <c r="CA77" s="122" t="str">
        <f t="shared" ca="1" si="138"/>
        <v/>
      </c>
      <c r="CB77" s="61"/>
      <c r="CC77" s="123">
        <f t="shared" ca="1" si="163"/>
        <v>0</v>
      </c>
      <c r="CD77" s="123">
        <f t="shared" ca="1" si="164"/>
        <v>0</v>
      </c>
      <c r="CE77" s="112"/>
      <c r="CF77" s="124">
        <f t="shared" ca="1" si="165"/>
        <v>0</v>
      </c>
      <c r="CG77" s="124">
        <f t="shared" ca="1" si="106"/>
        <v>0</v>
      </c>
      <c r="CH77" s="125" t="str">
        <f t="shared" ca="1" si="139"/>
        <v/>
      </c>
      <c r="CI77" s="61"/>
      <c r="CJ77" s="487">
        <f t="shared" ca="1" si="113"/>
        <v>0</v>
      </c>
      <c r="CK77" s="487">
        <f t="shared" ca="1" si="114"/>
        <v>0</v>
      </c>
      <c r="CL77" s="112"/>
      <c r="CM77" s="127">
        <f t="shared" ca="1" si="166"/>
        <v>0</v>
      </c>
      <c r="CN77" s="127">
        <f t="shared" ca="1" si="107"/>
        <v>0</v>
      </c>
      <c r="CO77" s="128" t="str">
        <f t="shared" ca="1" si="140"/>
        <v/>
      </c>
      <c r="CP77" s="61"/>
      <c r="CQ77" s="108">
        <v>74</v>
      </c>
      <c r="CR77" s="273">
        <v>0.12</v>
      </c>
      <c r="CS77" s="61">
        <f t="shared" si="167"/>
        <v>0</v>
      </c>
      <c r="CT77" s="278">
        <f t="shared" si="168"/>
        <v>0.12</v>
      </c>
      <c r="CU77" s="61">
        <f t="shared" si="169"/>
        <v>1</v>
      </c>
      <c r="CV77" s="287">
        <f t="shared" si="125"/>
        <v>1</v>
      </c>
      <c r="CW77" s="309">
        <f t="shared" si="121"/>
        <v>128.58000000000001</v>
      </c>
      <c r="CX77" s="309">
        <f t="shared" si="122"/>
        <v>63.07</v>
      </c>
      <c r="CY77" s="300">
        <f t="shared" si="123"/>
        <v>255.3</v>
      </c>
      <c r="CZ77" s="309">
        <f t="shared" si="124"/>
        <v>141.72999999999999</v>
      </c>
      <c r="DA77"/>
      <c r="DC77" s="544">
        <v>485.96999999999997</v>
      </c>
    </row>
    <row r="78" spans="1:107">
      <c r="A78" s="146">
        <v>42</v>
      </c>
      <c r="B78" s="141">
        <f ca="1">RESUMEN!J45</f>
        <v>0</v>
      </c>
      <c r="C78" s="141">
        <f ca="1">+RESUMEN!K45</f>
        <v>0</v>
      </c>
      <c r="D78" s="142">
        <f t="shared" ca="1" si="141"/>
        <v>0</v>
      </c>
      <c r="E78" s="145">
        <f ca="1">+RESUMEN!T27</f>
        <v>0</v>
      </c>
      <c r="F78" s="141">
        <f ca="1">RESUMEN!P27</f>
        <v>0</v>
      </c>
      <c r="G78" s="142">
        <f t="shared" ca="1" si="112"/>
        <v>0</v>
      </c>
      <c r="H78" s="133"/>
      <c r="I78" s="288"/>
      <c r="J78" s="132">
        <v>75</v>
      </c>
      <c r="K78" s="36">
        <v>195042.3</v>
      </c>
      <c r="L78" s="36">
        <v>176305.19</v>
      </c>
      <c r="M78" s="36">
        <v>173130.48</v>
      </c>
      <c r="N78" s="36">
        <v>156498.37</v>
      </c>
      <c r="O78" s="36">
        <v>153292.60999999999</v>
      </c>
      <c r="P78" s="36">
        <v>138566.26</v>
      </c>
      <c r="Q78" s="105">
        <f t="shared" si="126"/>
        <v>711001.83</v>
      </c>
      <c r="R78" s="105">
        <f t="shared" si="127"/>
        <v>609496.51</v>
      </c>
      <c r="S78" s="105">
        <f t="shared" si="128"/>
        <v>490037.55</v>
      </c>
      <c r="T78" s="105">
        <f t="shared" si="129"/>
        <v>457807.91</v>
      </c>
      <c r="U78" s="105">
        <f t="shared" si="130"/>
        <v>353269.11</v>
      </c>
      <c r="V78" s="105">
        <f t="shared" si="131"/>
        <v>311573.12</v>
      </c>
      <c r="W78" s="61"/>
      <c r="X78" s="106">
        <v>711001.83</v>
      </c>
      <c r="Y78" s="106">
        <v>609496.51</v>
      </c>
      <c r="Z78" s="105">
        <f t="shared" si="142"/>
        <v>741574.90868999995</v>
      </c>
      <c r="AA78" s="105">
        <f t="shared" si="143"/>
        <v>635704.85992999992</v>
      </c>
      <c r="AB78" s="105">
        <f t="shared" si="144"/>
        <v>796322.04960000003</v>
      </c>
      <c r="AC78" s="105">
        <f t="shared" si="145"/>
        <v>682636.09120000002</v>
      </c>
      <c r="AD78" s="107">
        <v>490037.55</v>
      </c>
      <c r="AE78" s="107">
        <v>457807.91</v>
      </c>
      <c r="AF78" s="105">
        <f t="shared" si="146"/>
        <v>511109.16464999993</v>
      </c>
      <c r="AG78" s="105">
        <f t="shared" si="147"/>
        <v>477493.65012999997</v>
      </c>
      <c r="AH78" s="105">
        <f t="shared" si="148"/>
        <v>548842.05599999998</v>
      </c>
      <c r="AI78" s="105">
        <f t="shared" si="149"/>
        <v>512744.85920000001</v>
      </c>
      <c r="AJ78" s="106">
        <v>353269.11</v>
      </c>
      <c r="AK78" s="106">
        <v>311573.12</v>
      </c>
      <c r="AL78" s="105">
        <f t="shared" si="150"/>
        <v>368459.68172999995</v>
      </c>
      <c r="AM78" s="105">
        <f t="shared" si="151"/>
        <v>324970.76415999996</v>
      </c>
      <c r="AN78" s="105">
        <f t="shared" si="152"/>
        <v>395661.4032</v>
      </c>
      <c r="AO78" s="105">
        <f t="shared" si="153"/>
        <v>348961.89440000005</v>
      </c>
      <c r="AP78" s="61"/>
      <c r="AQ78" s="108">
        <v>75</v>
      </c>
      <c r="AR78" s="109">
        <f ca="1">+RESUMEN!F78</f>
        <v>0</v>
      </c>
      <c r="AS78" s="109">
        <f ca="1">+RESUMEN!G78</f>
        <v>0</v>
      </c>
      <c r="AT78" s="110">
        <f t="shared" ca="1" si="132"/>
        <v>0</v>
      </c>
      <c r="AU78" s="111">
        <f t="shared" si="154"/>
        <v>0</v>
      </c>
      <c r="AV78" s="111">
        <f t="shared" si="155"/>
        <v>0</v>
      </c>
      <c r="AW78" s="111">
        <f t="shared" si="156"/>
        <v>0</v>
      </c>
      <c r="AX78" s="111">
        <f t="shared" si="157"/>
        <v>0</v>
      </c>
      <c r="AY78" s="111">
        <f t="shared" ca="1" si="158"/>
        <v>0</v>
      </c>
      <c r="AZ78" s="110"/>
      <c r="BA78" s="111">
        <f t="shared" ca="1" si="115"/>
        <v>0</v>
      </c>
      <c r="BB78" s="111">
        <f t="shared" ca="1" si="116"/>
        <v>0</v>
      </c>
      <c r="BC78" s="112"/>
      <c r="BD78" s="113">
        <f t="shared" ca="1" si="159"/>
        <v>0</v>
      </c>
      <c r="BE78" s="113">
        <f t="shared" ca="1" si="102"/>
        <v>0</v>
      </c>
      <c r="BF78" s="114" t="str">
        <f t="shared" ca="1" si="133"/>
        <v/>
      </c>
      <c r="BG78" s="61"/>
      <c r="BH78" s="64">
        <f t="shared" ca="1" si="117"/>
        <v>0</v>
      </c>
      <c r="BI78" s="64">
        <f t="shared" ca="1" si="118"/>
        <v>0</v>
      </c>
      <c r="BJ78" s="112"/>
      <c r="BK78" s="115">
        <f t="shared" ca="1" si="160"/>
        <v>0</v>
      </c>
      <c r="BL78" s="115">
        <f t="shared" ca="1" si="104"/>
        <v>0</v>
      </c>
      <c r="BM78" s="116" t="str">
        <f t="shared" ca="1" si="134"/>
        <v/>
      </c>
      <c r="BN78" s="61"/>
      <c r="BO78" s="117">
        <f t="shared" ca="1" si="119"/>
        <v>0</v>
      </c>
      <c r="BP78" s="117">
        <f t="shared" ca="1" si="120"/>
        <v>0</v>
      </c>
      <c r="BQ78" s="112"/>
      <c r="BR78" s="118">
        <f t="shared" ca="1" si="161"/>
        <v>0</v>
      </c>
      <c r="BS78" s="118">
        <f t="shared" ca="1" si="103"/>
        <v>0</v>
      </c>
      <c r="BT78" s="119" t="str">
        <f t="shared" ca="1" si="135"/>
        <v/>
      </c>
      <c r="BU78" s="61"/>
      <c r="BV78" s="120">
        <f t="shared" ca="1" si="136"/>
        <v>0</v>
      </c>
      <c r="BW78" s="120">
        <f t="shared" ca="1" si="137"/>
        <v>0</v>
      </c>
      <c r="BX78" s="112"/>
      <c r="BY78" s="121">
        <f t="shared" ca="1" si="162"/>
        <v>0</v>
      </c>
      <c r="BZ78" s="121">
        <f t="shared" ca="1" si="105"/>
        <v>0</v>
      </c>
      <c r="CA78" s="122" t="str">
        <f t="shared" ca="1" si="138"/>
        <v/>
      </c>
      <c r="CB78" s="61"/>
      <c r="CC78" s="123">
        <f t="shared" ca="1" si="163"/>
        <v>0</v>
      </c>
      <c r="CD78" s="123">
        <f t="shared" ca="1" si="164"/>
        <v>0</v>
      </c>
      <c r="CE78" s="112"/>
      <c r="CF78" s="124">
        <f t="shared" ca="1" si="165"/>
        <v>0</v>
      </c>
      <c r="CG78" s="124">
        <f t="shared" ca="1" si="106"/>
        <v>0</v>
      </c>
      <c r="CH78" s="125" t="str">
        <f t="shared" ca="1" si="139"/>
        <v/>
      </c>
      <c r="CI78" s="61"/>
      <c r="CJ78" s="487">
        <f t="shared" ca="1" si="113"/>
        <v>0</v>
      </c>
      <c r="CK78" s="487">
        <f t="shared" ca="1" si="114"/>
        <v>0</v>
      </c>
      <c r="CL78" s="112"/>
      <c r="CM78" s="127">
        <f t="shared" ca="1" si="166"/>
        <v>0</v>
      </c>
      <c r="CN78" s="127">
        <f t="shared" ca="1" si="107"/>
        <v>0</v>
      </c>
      <c r="CO78" s="128" t="str">
        <f t="shared" ca="1" si="140"/>
        <v/>
      </c>
      <c r="CP78" s="61"/>
      <c r="CQ78" s="108">
        <v>75</v>
      </c>
      <c r="CR78" s="273">
        <v>0.12</v>
      </c>
      <c r="CS78" s="61">
        <f t="shared" si="167"/>
        <v>0</v>
      </c>
      <c r="CT78" s="278">
        <f t="shared" si="168"/>
        <v>0.12</v>
      </c>
      <c r="CU78" s="61">
        <f t="shared" si="169"/>
        <v>1</v>
      </c>
      <c r="CV78" s="287">
        <f t="shared" si="125"/>
        <v>1</v>
      </c>
      <c r="CW78" s="309">
        <f t="shared" si="121"/>
        <v>128.58000000000001</v>
      </c>
      <c r="CX78" s="309">
        <f t="shared" si="122"/>
        <v>63.07</v>
      </c>
      <c r="CY78" s="300">
        <f t="shared" si="123"/>
        <v>255.3</v>
      </c>
      <c r="CZ78" s="309">
        <f t="shared" si="124"/>
        <v>141.72999999999999</v>
      </c>
      <c r="DA78"/>
      <c r="DC78" s="544">
        <v>485.96999999999997</v>
      </c>
    </row>
    <row r="79" spans="1:107">
      <c r="A79" s="146">
        <v>43</v>
      </c>
      <c r="B79" s="141">
        <f ca="1">RESUMEN!J46</f>
        <v>0</v>
      </c>
      <c r="C79" s="141">
        <f ca="1">+RESUMEN!K46</f>
        <v>0</v>
      </c>
      <c r="D79" s="142">
        <f t="shared" ca="1" si="141"/>
        <v>0</v>
      </c>
      <c r="E79" s="145">
        <f ca="1">+RESUMEN!T28</f>
        <v>0</v>
      </c>
      <c r="F79" s="141">
        <f ca="1">RESUMEN!P28</f>
        <v>0</v>
      </c>
      <c r="G79" s="142">
        <f t="shared" ca="1" si="112"/>
        <v>0</v>
      </c>
      <c r="H79" s="133"/>
      <c r="I79" s="288"/>
      <c r="J79" s="132">
        <v>76</v>
      </c>
      <c r="K79" s="36">
        <v>209736.33</v>
      </c>
      <c r="L79" s="36">
        <v>182591.19</v>
      </c>
      <c r="M79" s="36">
        <v>186173.72</v>
      </c>
      <c r="N79" s="36">
        <v>162078.17000000001</v>
      </c>
      <c r="O79" s="36">
        <v>164841.31</v>
      </c>
      <c r="P79" s="36">
        <v>143506.71</v>
      </c>
      <c r="Q79" s="105">
        <f t="shared" si="126"/>
        <v>760630.71</v>
      </c>
      <c r="R79" s="105">
        <f t="shared" si="127"/>
        <v>657934.68000000005</v>
      </c>
      <c r="S79" s="105">
        <f t="shared" si="128"/>
        <v>560140.11</v>
      </c>
      <c r="T79" s="105">
        <f t="shared" si="129"/>
        <v>480502.38</v>
      </c>
      <c r="U79" s="105">
        <f t="shared" si="130"/>
        <v>382608.58</v>
      </c>
      <c r="V79" s="105">
        <f t="shared" si="131"/>
        <v>333117.37</v>
      </c>
      <c r="W79" s="61"/>
      <c r="X79" s="106">
        <v>760630.71</v>
      </c>
      <c r="Y79" s="106">
        <v>657934.68000000005</v>
      </c>
      <c r="Z79" s="105">
        <f t="shared" si="142"/>
        <v>793337.83052999992</v>
      </c>
      <c r="AA79" s="105">
        <f t="shared" si="143"/>
        <v>686225.87124000001</v>
      </c>
      <c r="AB79" s="105">
        <f t="shared" si="144"/>
        <v>851906.39520000003</v>
      </c>
      <c r="AC79" s="105">
        <f t="shared" si="145"/>
        <v>736886.84160000016</v>
      </c>
      <c r="AD79" s="107">
        <v>560140.11</v>
      </c>
      <c r="AE79" s="107">
        <v>480502.38</v>
      </c>
      <c r="AF79" s="105">
        <f t="shared" si="146"/>
        <v>584226.13472999993</v>
      </c>
      <c r="AG79" s="105">
        <f t="shared" si="147"/>
        <v>501163.98233999999</v>
      </c>
      <c r="AH79" s="105">
        <f t="shared" si="148"/>
        <v>627356.92320000008</v>
      </c>
      <c r="AI79" s="105">
        <f t="shared" si="149"/>
        <v>538162.66560000007</v>
      </c>
      <c r="AJ79" s="106">
        <v>382608.58</v>
      </c>
      <c r="AK79" s="106">
        <v>333117.37</v>
      </c>
      <c r="AL79" s="105">
        <f t="shared" si="150"/>
        <v>399060.74893999996</v>
      </c>
      <c r="AM79" s="105">
        <f t="shared" si="151"/>
        <v>347441.41690999997</v>
      </c>
      <c r="AN79" s="105">
        <f t="shared" si="152"/>
        <v>428521.60960000008</v>
      </c>
      <c r="AO79" s="105">
        <f t="shared" si="153"/>
        <v>373091.45440000005</v>
      </c>
      <c r="AP79" s="61"/>
      <c r="AQ79" s="108">
        <v>76</v>
      </c>
      <c r="AR79" s="109">
        <f ca="1">+RESUMEN!F79</f>
        <v>0</v>
      </c>
      <c r="AS79" s="109">
        <f ca="1">+RESUMEN!G79</f>
        <v>0</v>
      </c>
      <c r="AT79" s="110">
        <f t="shared" ca="1" si="132"/>
        <v>0</v>
      </c>
      <c r="AU79" s="111">
        <f t="shared" si="154"/>
        <v>0</v>
      </c>
      <c r="AV79" s="111">
        <f t="shared" si="155"/>
        <v>0</v>
      </c>
      <c r="AW79" s="111">
        <f t="shared" si="156"/>
        <v>0</v>
      </c>
      <c r="AX79" s="111">
        <f t="shared" si="157"/>
        <v>0</v>
      </c>
      <c r="AY79" s="111">
        <f t="shared" ca="1" si="158"/>
        <v>0</v>
      </c>
      <c r="AZ79" s="110"/>
      <c r="BA79" s="111">
        <f t="shared" ca="1" si="115"/>
        <v>0</v>
      </c>
      <c r="BB79" s="111">
        <f t="shared" ca="1" si="116"/>
        <v>0</v>
      </c>
      <c r="BC79" s="112"/>
      <c r="BD79" s="113">
        <f t="shared" ca="1" si="159"/>
        <v>0</v>
      </c>
      <c r="BE79" s="113">
        <f t="shared" ca="1" si="102"/>
        <v>0</v>
      </c>
      <c r="BF79" s="114" t="str">
        <f t="shared" ca="1" si="133"/>
        <v/>
      </c>
      <c r="BG79" s="61"/>
      <c r="BH79" s="64">
        <f t="shared" ca="1" si="117"/>
        <v>0</v>
      </c>
      <c r="BI79" s="64">
        <f t="shared" ca="1" si="118"/>
        <v>0</v>
      </c>
      <c r="BJ79" s="112"/>
      <c r="BK79" s="115">
        <f t="shared" ca="1" si="160"/>
        <v>0</v>
      </c>
      <c r="BL79" s="115">
        <f t="shared" ca="1" si="104"/>
        <v>0</v>
      </c>
      <c r="BM79" s="116" t="str">
        <f t="shared" ca="1" si="134"/>
        <v/>
      </c>
      <c r="BN79" s="61"/>
      <c r="BO79" s="117">
        <f t="shared" ca="1" si="119"/>
        <v>0</v>
      </c>
      <c r="BP79" s="117">
        <f t="shared" ca="1" si="120"/>
        <v>0</v>
      </c>
      <c r="BQ79" s="112"/>
      <c r="BR79" s="118">
        <f t="shared" ca="1" si="161"/>
        <v>0</v>
      </c>
      <c r="BS79" s="118">
        <f t="shared" ca="1" si="103"/>
        <v>0</v>
      </c>
      <c r="BT79" s="119" t="str">
        <f t="shared" ca="1" si="135"/>
        <v/>
      </c>
      <c r="BU79" s="61"/>
      <c r="BV79" s="120">
        <f t="shared" ca="1" si="136"/>
        <v>0</v>
      </c>
      <c r="BW79" s="120">
        <f t="shared" ca="1" si="137"/>
        <v>0</v>
      </c>
      <c r="BX79" s="112"/>
      <c r="BY79" s="121">
        <f t="shared" ca="1" si="162"/>
        <v>0</v>
      </c>
      <c r="BZ79" s="121">
        <f t="shared" ca="1" si="105"/>
        <v>0</v>
      </c>
      <c r="CA79" s="122" t="str">
        <f t="shared" ca="1" si="138"/>
        <v/>
      </c>
      <c r="CB79" s="61"/>
      <c r="CC79" s="123">
        <f t="shared" ca="1" si="163"/>
        <v>0</v>
      </c>
      <c r="CD79" s="123">
        <f t="shared" ca="1" si="164"/>
        <v>0</v>
      </c>
      <c r="CE79" s="112"/>
      <c r="CF79" s="124">
        <f t="shared" ca="1" si="165"/>
        <v>0</v>
      </c>
      <c r="CG79" s="124">
        <f t="shared" ca="1" si="106"/>
        <v>0</v>
      </c>
      <c r="CH79" s="125" t="str">
        <f t="shared" ca="1" si="139"/>
        <v/>
      </c>
      <c r="CI79" s="61"/>
      <c r="CJ79" s="487">
        <f t="shared" ca="1" si="113"/>
        <v>0</v>
      </c>
      <c r="CK79" s="487">
        <f t="shared" ca="1" si="114"/>
        <v>0</v>
      </c>
      <c r="CL79" s="112"/>
      <c r="CM79" s="127">
        <f t="shared" ca="1" si="166"/>
        <v>0</v>
      </c>
      <c r="CN79" s="127">
        <f t="shared" ca="1" si="107"/>
        <v>0</v>
      </c>
      <c r="CO79" s="128" t="str">
        <f t="shared" ca="1" si="140"/>
        <v/>
      </c>
      <c r="CP79" s="61"/>
      <c r="CQ79" s="108">
        <v>76</v>
      </c>
      <c r="CR79" s="273">
        <v>0.12</v>
      </c>
      <c r="CS79" s="61">
        <f t="shared" si="167"/>
        <v>0</v>
      </c>
      <c r="CT79" s="278">
        <f t="shared" si="168"/>
        <v>0.12</v>
      </c>
      <c r="CU79" s="61">
        <f t="shared" si="169"/>
        <v>1</v>
      </c>
      <c r="CV79" s="287">
        <f t="shared" si="125"/>
        <v>1</v>
      </c>
      <c r="CW79" s="309">
        <f t="shared" si="121"/>
        <v>128.58000000000001</v>
      </c>
      <c r="CX79" s="309">
        <f t="shared" si="122"/>
        <v>63.07</v>
      </c>
      <c r="CY79" s="300">
        <f t="shared" si="123"/>
        <v>255.3</v>
      </c>
      <c r="CZ79" s="309">
        <f t="shared" si="124"/>
        <v>141.72999999999999</v>
      </c>
      <c r="DA79"/>
      <c r="DC79" s="544">
        <v>485.96999999999997</v>
      </c>
    </row>
    <row r="80" spans="1:107">
      <c r="A80" s="146">
        <v>44</v>
      </c>
      <c r="B80" s="141">
        <f ca="1">RESUMEN!J47</f>
        <v>0</v>
      </c>
      <c r="C80" s="141">
        <f ca="1">+RESUMEN!K47</f>
        <v>0</v>
      </c>
      <c r="D80" s="142">
        <f t="shared" ca="1" si="141"/>
        <v>0</v>
      </c>
      <c r="E80" s="145">
        <f ca="1">+RESUMEN!T29</f>
        <v>0</v>
      </c>
      <c r="F80" s="141">
        <f ca="1">RESUMEN!P29</f>
        <v>0</v>
      </c>
      <c r="G80" s="142">
        <f t="shared" ca="1" si="112"/>
        <v>0</v>
      </c>
      <c r="H80" s="133"/>
      <c r="I80" s="288"/>
      <c r="J80" s="132">
        <v>77</v>
      </c>
      <c r="K80" s="36">
        <v>243101.74</v>
      </c>
      <c r="L80" s="36">
        <v>188678.57</v>
      </c>
      <c r="M80" s="36">
        <v>215790.73</v>
      </c>
      <c r="N80" s="36">
        <v>167481.67000000001</v>
      </c>
      <c r="O80" s="36">
        <v>191064.71</v>
      </c>
      <c r="P80" s="36">
        <v>148291.06</v>
      </c>
      <c r="Q80" s="105">
        <f t="shared" si="126"/>
        <v>812935.55</v>
      </c>
      <c r="R80" s="105">
        <f t="shared" si="127"/>
        <v>702942.45</v>
      </c>
      <c r="S80" s="105">
        <f t="shared" si="128"/>
        <v>606214.17000000004</v>
      </c>
      <c r="T80" s="105">
        <f t="shared" si="129"/>
        <v>501865.95</v>
      </c>
      <c r="U80" s="105">
        <f t="shared" si="130"/>
        <v>410212.38</v>
      </c>
      <c r="V80" s="105">
        <f t="shared" si="131"/>
        <v>356909.21</v>
      </c>
      <c r="W80" s="61"/>
      <c r="X80" s="106">
        <v>812935.55</v>
      </c>
      <c r="Y80" s="106">
        <v>702942.45</v>
      </c>
      <c r="Z80" s="105">
        <f t="shared" si="142"/>
        <v>847891.77864999999</v>
      </c>
      <c r="AA80" s="105">
        <f t="shared" si="143"/>
        <v>733168.97534999985</v>
      </c>
      <c r="AB80" s="105">
        <f t="shared" si="144"/>
        <v>910487.81600000011</v>
      </c>
      <c r="AC80" s="105">
        <f t="shared" si="145"/>
        <v>787295.54399999999</v>
      </c>
      <c r="AD80" s="107">
        <v>606214.17000000004</v>
      </c>
      <c r="AE80" s="107">
        <v>501865.95</v>
      </c>
      <c r="AF80" s="105">
        <f t="shared" si="146"/>
        <v>632281.37930999999</v>
      </c>
      <c r="AG80" s="105">
        <f t="shared" si="147"/>
        <v>523446.18584999995</v>
      </c>
      <c r="AH80" s="105">
        <f t="shared" si="148"/>
        <v>678959.87040000013</v>
      </c>
      <c r="AI80" s="105">
        <f t="shared" si="149"/>
        <v>562089.86400000006</v>
      </c>
      <c r="AJ80" s="106">
        <v>410212.38</v>
      </c>
      <c r="AK80" s="106">
        <v>356909.21</v>
      </c>
      <c r="AL80" s="105">
        <f t="shared" si="150"/>
        <v>427851.51233999996</v>
      </c>
      <c r="AM80" s="105">
        <f t="shared" si="151"/>
        <v>372256.30602999998</v>
      </c>
      <c r="AN80" s="105">
        <f t="shared" si="152"/>
        <v>459437.86560000008</v>
      </c>
      <c r="AO80" s="105">
        <f t="shared" si="153"/>
        <v>399738.31520000007</v>
      </c>
      <c r="AP80" s="61"/>
      <c r="AQ80" s="108">
        <v>77</v>
      </c>
      <c r="AR80" s="109">
        <f ca="1">+RESUMEN!F80</f>
        <v>0</v>
      </c>
      <c r="AS80" s="109">
        <f ca="1">+RESUMEN!G80</f>
        <v>0</v>
      </c>
      <c r="AT80" s="110">
        <f t="shared" ca="1" si="132"/>
        <v>0</v>
      </c>
      <c r="AU80" s="111">
        <f t="shared" si="154"/>
        <v>0</v>
      </c>
      <c r="AV80" s="111">
        <f t="shared" si="155"/>
        <v>0</v>
      </c>
      <c r="AW80" s="111">
        <f t="shared" si="156"/>
        <v>0</v>
      </c>
      <c r="AX80" s="111">
        <f t="shared" si="157"/>
        <v>0</v>
      </c>
      <c r="AY80" s="111">
        <f t="shared" ca="1" si="158"/>
        <v>0</v>
      </c>
      <c r="AZ80" s="110"/>
      <c r="BA80" s="111">
        <f t="shared" ca="1" si="115"/>
        <v>0</v>
      </c>
      <c r="BB80" s="111">
        <f t="shared" ca="1" si="116"/>
        <v>0</v>
      </c>
      <c r="BC80" s="112"/>
      <c r="BD80" s="113">
        <f t="shared" ca="1" si="159"/>
        <v>0</v>
      </c>
      <c r="BE80" s="113">
        <f t="shared" ca="1" si="102"/>
        <v>0</v>
      </c>
      <c r="BF80" s="114" t="str">
        <f t="shared" ca="1" si="133"/>
        <v/>
      </c>
      <c r="BG80" s="61"/>
      <c r="BH80" s="64">
        <f t="shared" ca="1" si="117"/>
        <v>0</v>
      </c>
      <c r="BI80" s="64">
        <f t="shared" ca="1" si="118"/>
        <v>0</v>
      </c>
      <c r="BJ80" s="112"/>
      <c r="BK80" s="115">
        <f t="shared" ca="1" si="160"/>
        <v>0</v>
      </c>
      <c r="BL80" s="115">
        <f t="shared" ca="1" si="104"/>
        <v>0</v>
      </c>
      <c r="BM80" s="116" t="str">
        <f t="shared" ca="1" si="134"/>
        <v/>
      </c>
      <c r="BN80" s="61"/>
      <c r="BO80" s="117">
        <f t="shared" ca="1" si="119"/>
        <v>0</v>
      </c>
      <c r="BP80" s="117">
        <f t="shared" ca="1" si="120"/>
        <v>0</v>
      </c>
      <c r="BQ80" s="112"/>
      <c r="BR80" s="118">
        <f t="shared" ca="1" si="161"/>
        <v>0</v>
      </c>
      <c r="BS80" s="118">
        <f t="shared" ca="1" si="103"/>
        <v>0</v>
      </c>
      <c r="BT80" s="119" t="str">
        <f t="shared" ca="1" si="135"/>
        <v/>
      </c>
      <c r="BU80" s="61"/>
      <c r="BV80" s="120">
        <f t="shared" ca="1" si="136"/>
        <v>0</v>
      </c>
      <c r="BW80" s="120">
        <f t="shared" ca="1" si="137"/>
        <v>0</v>
      </c>
      <c r="BX80" s="112"/>
      <c r="BY80" s="121">
        <f t="shared" ca="1" si="162"/>
        <v>0</v>
      </c>
      <c r="BZ80" s="121">
        <f t="shared" ca="1" si="105"/>
        <v>0</v>
      </c>
      <c r="CA80" s="122" t="str">
        <f t="shared" ca="1" si="138"/>
        <v/>
      </c>
      <c r="CB80" s="61"/>
      <c r="CC80" s="123">
        <f t="shared" ca="1" si="163"/>
        <v>0</v>
      </c>
      <c r="CD80" s="123">
        <f t="shared" ca="1" si="164"/>
        <v>0</v>
      </c>
      <c r="CE80" s="112"/>
      <c r="CF80" s="124">
        <f t="shared" ca="1" si="165"/>
        <v>0</v>
      </c>
      <c r="CG80" s="124">
        <f t="shared" ca="1" si="106"/>
        <v>0</v>
      </c>
      <c r="CH80" s="125" t="str">
        <f t="shared" ca="1" si="139"/>
        <v/>
      </c>
      <c r="CI80" s="61"/>
      <c r="CJ80" s="487">
        <f t="shared" ca="1" si="113"/>
        <v>0</v>
      </c>
      <c r="CK80" s="487">
        <f t="shared" ca="1" si="114"/>
        <v>0</v>
      </c>
      <c r="CL80" s="112"/>
      <c r="CM80" s="127">
        <f t="shared" ca="1" si="166"/>
        <v>0</v>
      </c>
      <c r="CN80" s="127">
        <f t="shared" ca="1" si="107"/>
        <v>0</v>
      </c>
      <c r="CO80" s="128" t="str">
        <f t="shared" ca="1" si="140"/>
        <v/>
      </c>
      <c r="CP80" s="61"/>
      <c r="CQ80" s="108">
        <v>77</v>
      </c>
      <c r="CR80" s="273">
        <v>0.12</v>
      </c>
      <c r="CS80" s="61">
        <f t="shared" si="167"/>
        <v>0</v>
      </c>
      <c r="CT80" s="278">
        <f t="shared" si="168"/>
        <v>0.12</v>
      </c>
      <c r="CU80" s="61">
        <f t="shared" si="169"/>
        <v>1</v>
      </c>
      <c r="CV80" s="287">
        <f t="shared" si="125"/>
        <v>1</v>
      </c>
      <c r="CW80" s="309">
        <f t="shared" si="121"/>
        <v>128.58000000000001</v>
      </c>
      <c r="CX80" s="309">
        <f t="shared" si="122"/>
        <v>63.07</v>
      </c>
      <c r="CY80" s="300">
        <f t="shared" si="123"/>
        <v>255.3</v>
      </c>
      <c r="CZ80" s="309">
        <f t="shared" si="124"/>
        <v>141.72999999999999</v>
      </c>
      <c r="DA80"/>
      <c r="DC80" s="544">
        <v>485.96999999999997</v>
      </c>
    </row>
    <row r="81" spans="1:107" ht="16" thickBot="1">
      <c r="A81" s="146">
        <v>45</v>
      </c>
      <c r="B81" s="141">
        <f ca="1">RESUMEN!J48</f>
        <v>0</v>
      </c>
      <c r="C81" s="141">
        <f ca="1">+RESUMEN!K48</f>
        <v>0</v>
      </c>
      <c r="D81" s="142">
        <f t="shared" ca="1" si="141"/>
        <v>0</v>
      </c>
      <c r="E81" s="147">
        <f ca="1">SUM(E54:E80)</f>
        <v>0</v>
      </c>
      <c r="F81" s="147">
        <f ca="1">SUM(F54:F80)</f>
        <v>0</v>
      </c>
      <c r="G81" s="148">
        <f ca="1">SUM(G54:G80)</f>
        <v>0</v>
      </c>
      <c r="H81" s="133"/>
      <c r="I81" s="288"/>
      <c r="J81" s="132">
        <v>78</v>
      </c>
      <c r="K81" s="36">
        <v>254849.24</v>
      </c>
      <c r="L81" s="36">
        <v>193891.41</v>
      </c>
      <c r="M81" s="36">
        <v>226218.47</v>
      </c>
      <c r="N81" s="36">
        <v>172108.88</v>
      </c>
      <c r="O81" s="36">
        <v>200297.60000000001</v>
      </c>
      <c r="P81" s="36">
        <v>152388.07</v>
      </c>
      <c r="Q81" s="105">
        <f t="shared" si="126"/>
        <v>867780.89</v>
      </c>
      <c r="R81" s="105">
        <f t="shared" si="127"/>
        <v>756463.2</v>
      </c>
      <c r="S81" s="105">
        <f t="shared" si="128"/>
        <v>650045.4</v>
      </c>
      <c r="T81" s="105">
        <f t="shared" si="129"/>
        <v>521370.99</v>
      </c>
      <c r="U81" s="105">
        <f t="shared" si="130"/>
        <v>438572.19</v>
      </c>
      <c r="V81" s="105">
        <f t="shared" si="131"/>
        <v>379051.34</v>
      </c>
      <c r="W81" s="61"/>
      <c r="X81" s="106">
        <v>867780.89</v>
      </c>
      <c r="Y81" s="106">
        <v>756463.2</v>
      </c>
      <c r="Z81" s="105">
        <f t="shared" si="142"/>
        <v>905095.46826999995</v>
      </c>
      <c r="AA81" s="105">
        <f t="shared" si="143"/>
        <v>788991.11759999988</v>
      </c>
      <c r="AB81" s="105">
        <f t="shared" si="144"/>
        <v>971914.59680000006</v>
      </c>
      <c r="AC81" s="105">
        <f t="shared" si="145"/>
        <v>847238.78399999999</v>
      </c>
      <c r="AD81" s="107">
        <v>650045.4</v>
      </c>
      <c r="AE81" s="107">
        <v>521370.99</v>
      </c>
      <c r="AF81" s="105">
        <f t="shared" si="146"/>
        <v>677997.35219999996</v>
      </c>
      <c r="AG81" s="105">
        <f t="shared" si="147"/>
        <v>543789.94256999996</v>
      </c>
      <c r="AH81" s="105">
        <f t="shared" si="148"/>
        <v>728050.84800000011</v>
      </c>
      <c r="AI81" s="105">
        <f t="shared" si="149"/>
        <v>583935.50880000007</v>
      </c>
      <c r="AJ81" s="106">
        <v>438572.19</v>
      </c>
      <c r="AK81" s="106">
        <v>379051.34</v>
      </c>
      <c r="AL81" s="105">
        <f t="shared" si="150"/>
        <v>457430.79416999995</v>
      </c>
      <c r="AM81" s="105">
        <f t="shared" si="151"/>
        <v>395350.54762000003</v>
      </c>
      <c r="AN81" s="105">
        <f t="shared" si="152"/>
        <v>491200.85280000005</v>
      </c>
      <c r="AO81" s="105">
        <f t="shared" si="153"/>
        <v>424537.5008000001</v>
      </c>
      <c r="AP81" s="61"/>
      <c r="AQ81" s="108">
        <v>78</v>
      </c>
      <c r="AR81" s="109">
        <f ca="1">+RESUMEN!F81</f>
        <v>0</v>
      </c>
      <c r="AS81" s="109">
        <f ca="1">+RESUMEN!G81</f>
        <v>0</v>
      </c>
      <c r="AT81" s="110">
        <f t="shared" ca="1" si="132"/>
        <v>0</v>
      </c>
      <c r="AU81" s="111">
        <f t="shared" si="154"/>
        <v>0</v>
      </c>
      <c r="AV81" s="111">
        <f t="shared" si="155"/>
        <v>0</v>
      </c>
      <c r="AW81" s="111">
        <f t="shared" si="156"/>
        <v>0</v>
      </c>
      <c r="AX81" s="111">
        <f t="shared" si="157"/>
        <v>0</v>
      </c>
      <c r="AY81" s="111">
        <f t="shared" ca="1" si="158"/>
        <v>0</v>
      </c>
      <c r="AZ81" s="110"/>
      <c r="BA81" s="111">
        <f t="shared" ca="1" si="115"/>
        <v>0</v>
      </c>
      <c r="BB81" s="111">
        <f t="shared" ca="1" si="116"/>
        <v>0</v>
      </c>
      <c r="BC81" s="112"/>
      <c r="BD81" s="113">
        <f t="shared" ca="1" si="159"/>
        <v>0</v>
      </c>
      <c r="BE81" s="113">
        <f t="shared" ca="1" si="102"/>
        <v>0</v>
      </c>
      <c r="BF81" s="114" t="str">
        <f t="shared" ca="1" si="133"/>
        <v/>
      </c>
      <c r="BG81" s="61"/>
      <c r="BH81" s="64">
        <f t="shared" ca="1" si="117"/>
        <v>0</v>
      </c>
      <c r="BI81" s="64">
        <f t="shared" ca="1" si="118"/>
        <v>0</v>
      </c>
      <c r="BJ81" s="112"/>
      <c r="BK81" s="115">
        <f t="shared" ca="1" si="160"/>
        <v>0</v>
      </c>
      <c r="BL81" s="115">
        <f t="shared" ca="1" si="104"/>
        <v>0</v>
      </c>
      <c r="BM81" s="116" t="str">
        <f t="shared" ca="1" si="134"/>
        <v/>
      </c>
      <c r="BN81" s="61"/>
      <c r="BO81" s="117">
        <f t="shared" ca="1" si="119"/>
        <v>0</v>
      </c>
      <c r="BP81" s="117">
        <f t="shared" ca="1" si="120"/>
        <v>0</v>
      </c>
      <c r="BQ81" s="112"/>
      <c r="BR81" s="118">
        <f t="shared" ca="1" si="161"/>
        <v>0</v>
      </c>
      <c r="BS81" s="118">
        <f t="shared" ca="1" si="103"/>
        <v>0</v>
      </c>
      <c r="BT81" s="119" t="str">
        <f t="shared" ca="1" si="135"/>
        <v/>
      </c>
      <c r="BU81" s="61"/>
      <c r="BV81" s="120">
        <f t="shared" ca="1" si="136"/>
        <v>0</v>
      </c>
      <c r="BW81" s="120">
        <f t="shared" ca="1" si="137"/>
        <v>0</v>
      </c>
      <c r="BX81" s="112"/>
      <c r="BY81" s="121">
        <f t="shared" ca="1" si="162"/>
        <v>0</v>
      </c>
      <c r="BZ81" s="121">
        <f t="shared" ca="1" si="105"/>
        <v>0</v>
      </c>
      <c r="CA81" s="122" t="str">
        <f t="shared" ca="1" si="138"/>
        <v/>
      </c>
      <c r="CB81" s="61"/>
      <c r="CC81" s="123">
        <f t="shared" ca="1" si="163"/>
        <v>0</v>
      </c>
      <c r="CD81" s="123">
        <f t="shared" ca="1" si="164"/>
        <v>0</v>
      </c>
      <c r="CE81" s="112"/>
      <c r="CF81" s="124">
        <f t="shared" ca="1" si="165"/>
        <v>0</v>
      </c>
      <c r="CG81" s="124">
        <f t="shared" ca="1" si="106"/>
        <v>0</v>
      </c>
      <c r="CH81" s="125" t="str">
        <f t="shared" ca="1" si="139"/>
        <v/>
      </c>
      <c r="CI81" s="61"/>
      <c r="CJ81" s="487">
        <f t="shared" ca="1" si="113"/>
        <v>0</v>
      </c>
      <c r="CK81" s="487">
        <f t="shared" ca="1" si="114"/>
        <v>0</v>
      </c>
      <c r="CL81" s="112"/>
      <c r="CM81" s="127">
        <f t="shared" ca="1" si="166"/>
        <v>0</v>
      </c>
      <c r="CN81" s="127">
        <f t="shared" ca="1" si="107"/>
        <v>0</v>
      </c>
      <c r="CO81" s="128" t="str">
        <f t="shared" ca="1" si="140"/>
        <v/>
      </c>
      <c r="CP81" s="61"/>
      <c r="CQ81" s="108">
        <v>78</v>
      </c>
      <c r="CR81" s="273">
        <v>0.12</v>
      </c>
      <c r="CS81" s="61">
        <f t="shared" si="167"/>
        <v>0</v>
      </c>
      <c r="CT81" s="278">
        <f t="shared" si="168"/>
        <v>0.12</v>
      </c>
      <c r="CU81" s="61">
        <f t="shared" si="169"/>
        <v>1</v>
      </c>
      <c r="CV81" s="287">
        <f t="shared" si="125"/>
        <v>1</v>
      </c>
      <c r="CW81" s="309">
        <f t="shared" si="121"/>
        <v>128.58000000000001</v>
      </c>
      <c r="CX81" s="309">
        <f t="shared" si="122"/>
        <v>63.07</v>
      </c>
      <c r="CY81" s="300">
        <f t="shared" si="123"/>
        <v>255.3</v>
      </c>
      <c r="CZ81" s="309">
        <f t="shared" si="124"/>
        <v>141.72999999999999</v>
      </c>
      <c r="DA81"/>
      <c r="DC81" s="544">
        <v>485.96999999999997</v>
      </c>
    </row>
    <row r="82" spans="1:107">
      <c r="A82" s="146">
        <v>46</v>
      </c>
      <c r="B82" s="141">
        <f ca="1">RESUMEN!J49</f>
        <v>0</v>
      </c>
      <c r="C82" s="141">
        <f ca="1">+RESUMEN!K49</f>
        <v>0</v>
      </c>
      <c r="D82" s="142">
        <f t="shared" ca="1" si="141"/>
        <v>0</v>
      </c>
      <c r="E82" s="60"/>
      <c r="F82" s="60"/>
      <c r="G82" s="60"/>
      <c r="H82" s="133"/>
      <c r="I82" s="288"/>
      <c r="J82" s="132">
        <v>79</v>
      </c>
      <c r="K82" s="36">
        <v>266641.05</v>
      </c>
      <c r="L82" s="36">
        <v>204049.42</v>
      </c>
      <c r="M82" s="36">
        <v>236685.54</v>
      </c>
      <c r="N82" s="36">
        <v>181125.7</v>
      </c>
      <c r="O82" s="36">
        <v>209565.32</v>
      </c>
      <c r="P82" s="36">
        <v>160371.71</v>
      </c>
      <c r="Q82" s="105">
        <f t="shared" si="126"/>
        <v>924965.14</v>
      </c>
      <c r="R82" s="105">
        <f t="shared" si="127"/>
        <v>781254.02</v>
      </c>
      <c r="S82" s="105">
        <f t="shared" si="128"/>
        <v>695623.33</v>
      </c>
      <c r="T82" s="105">
        <f t="shared" si="129"/>
        <v>588164.43999999994</v>
      </c>
      <c r="U82" s="105">
        <f t="shared" si="130"/>
        <v>468351.1</v>
      </c>
      <c r="V82" s="105">
        <f t="shared" si="131"/>
        <v>402968.87</v>
      </c>
      <c r="W82" s="61"/>
      <c r="X82" s="106">
        <v>924965.14</v>
      </c>
      <c r="Y82" s="106">
        <v>781254.02</v>
      </c>
      <c r="Z82" s="105">
        <f t="shared" si="142"/>
        <v>964738.64101999998</v>
      </c>
      <c r="AA82" s="105">
        <f t="shared" si="143"/>
        <v>814847.94285999995</v>
      </c>
      <c r="AB82" s="105">
        <f t="shared" si="144"/>
        <v>1035960.9568000002</v>
      </c>
      <c r="AC82" s="105">
        <f t="shared" si="145"/>
        <v>875004.50240000011</v>
      </c>
      <c r="AD82" s="107">
        <v>695623.33</v>
      </c>
      <c r="AE82" s="107">
        <v>588164.43999999994</v>
      </c>
      <c r="AF82" s="105">
        <f t="shared" si="146"/>
        <v>725535.13318999985</v>
      </c>
      <c r="AG82" s="105">
        <f t="shared" si="147"/>
        <v>613455.51091999991</v>
      </c>
      <c r="AH82" s="105">
        <f t="shared" si="148"/>
        <v>779098.12959999999</v>
      </c>
      <c r="AI82" s="105">
        <f t="shared" si="149"/>
        <v>658744.17279999994</v>
      </c>
      <c r="AJ82" s="106">
        <v>468351.1</v>
      </c>
      <c r="AK82" s="106">
        <v>402968.87</v>
      </c>
      <c r="AL82" s="105">
        <f t="shared" si="150"/>
        <v>488490.19729999994</v>
      </c>
      <c r="AM82" s="105">
        <f t="shared" si="151"/>
        <v>420296.53140999994</v>
      </c>
      <c r="AN82" s="105">
        <f t="shared" si="152"/>
        <v>524553.23200000008</v>
      </c>
      <c r="AO82" s="105">
        <f t="shared" si="153"/>
        <v>451325.13440000004</v>
      </c>
      <c r="AP82" s="61"/>
      <c r="AQ82" s="108">
        <v>79</v>
      </c>
      <c r="AR82" s="109">
        <f ca="1">+RESUMEN!F82</f>
        <v>0</v>
      </c>
      <c r="AS82" s="109">
        <f ca="1">+RESUMEN!G82</f>
        <v>0</v>
      </c>
      <c r="AT82" s="110">
        <f t="shared" ca="1" si="132"/>
        <v>0</v>
      </c>
      <c r="AU82" s="111">
        <f t="shared" si="154"/>
        <v>0</v>
      </c>
      <c r="AV82" s="111">
        <f t="shared" si="155"/>
        <v>0</v>
      </c>
      <c r="AW82" s="111">
        <f t="shared" si="156"/>
        <v>0</v>
      </c>
      <c r="AX82" s="111">
        <f t="shared" si="157"/>
        <v>0</v>
      </c>
      <c r="AY82" s="111">
        <f t="shared" ca="1" si="158"/>
        <v>0</v>
      </c>
      <c r="AZ82" s="110"/>
      <c r="BA82" s="111">
        <f t="shared" ca="1" si="115"/>
        <v>0</v>
      </c>
      <c r="BB82" s="111">
        <f t="shared" ca="1" si="116"/>
        <v>0</v>
      </c>
      <c r="BC82" s="112"/>
      <c r="BD82" s="113">
        <f t="shared" ca="1" si="159"/>
        <v>0</v>
      </c>
      <c r="BE82" s="113">
        <f t="shared" ca="1" si="102"/>
        <v>0</v>
      </c>
      <c r="BF82" s="114" t="str">
        <f t="shared" ca="1" si="133"/>
        <v/>
      </c>
      <c r="BG82" s="61"/>
      <c r="BH82" s="64">
        <f t="shared" ca="1" si="117"/>
        <v>0</v>
      </c>
      <c r="BI82" s="64">
        <f t="shared" ca="1" si="118"/>
        <v>0</v>
      </c>
      <c r="BJ82" s="112"/>
      <c r="BK82" s="115">
        <f t="shared" ca="1" si="160"/>
        <v>0</v>
      </c>
      <c r="BL82" s="115">
        <f t="shared" ca="1" si="104"/>
        <v>0</v>
      </c>
      <c r="BM82" s="116" t="str">
        <f t="shared" ca="1" si="134"/>
        <v/>
      </c>
      <c r="BN82" s="61"/>
      <c r="BO82" s="117">
        <f t="shared" ca="1" si="119"/>
        <v>0</v>
      </c>
      <c r="BP82" s="117">
        <f t="shared" ca="1" si="120"/>
        <v>0</v>
      </c>
      <c r="BQ82" s="112"/>
      <c r="BR82" s="118">
        <f t="shared" ca="1" si="161"/>
        <v>0</v>
      </c>
      <c r="BS82" s="118">
        <f t="shared" ca="1" si="103"/>
        <v>0</v>
      </c>
      <c r="BT82" s="119" t="str">
        <f t="shared" ca="1" si="135"/>
        <v/>
      </c>
      <c r="BU82" s="61"/>
      <c r="BV82" s="120">
        <f t="shared" ca="1" si="136"/>
        <v>0</v>
      </c>
      <c r="BW82" s="120">
        <f t="shared" ca="1" si="137"/>
        <v>0</v>
      </c>
      <c r="BX82" s="112"/>
      <c r="BY82" s="121">
        <f t="shared" ca="1" si="162"/>
        <v>0</v>
      </c>
      <c r="BZ82" s="121">
        <f t="shared" ca="1" si="105"/>
        <v>0</v>
      </c>
      <c r="CA82" s="122" t="str">
        <f t="shared" ca="1" si="138"/>
        <v/>
      </c>
      <c r="CB82" s="61"/>
      <c r="CC82" s="123">
        <f t="shared" ca="1" si="163"/>
        <v>0</v>
      </c>
      <c r="CD82" s="123">
        <f t="shared" ca="1" si="164"/>
        <v>0</v>
      </c>
      <c r="CE82" s="112"/>
      <c r="CF82" s="124">
        <f t="shared" ca="1" si="165"/>
        <v>0</v>
      </c>
      <c r="CG82" s="124">
        <f t="shared" ca="1" si="106"/>
        <v>0</v>
      </c>
      <c r="CH82" s="125" t="str">
        <f t="shared" ca="1" si="139"/>
        <v/>
      </c>
      <c r="CI82" s="61"/>
      <c r="CJ82" s="487">
        <f t="shared" ca="1" si="113"/>
        <v>0</v>
      </c>
      <c r="CK82" s="487">
        <f t="shared" ca="1" si="114"/>
        <v>0</v>
      </c>
      <c r="CL82" s="112"/>
      <c r="CM82" s="127">
        <f t="shared" ca="1" si="166"/>
        <v>0</v>
      </c>
      <c r="CN82" s="127">
        <f t="shared" ca="1" si="107"/>
        <v>0</v>
      </c>
      <c r="CO82" s="128" t="str">
        <f t="shared" ca="1" si="140"/>
        <v/>
      </c>
      <c r="CP82" s="61"/>
      <c r="CQ82" s="108">
        <v>79</v>
      </c>
      <c r="CR82" s="273">
        <v>0.12</v>
      </c>
      <c r="CS82" s="61">
        <f t="shared" si="167"/>
        <v>0</v>
      </c>
      <c r="CT82" s="278">
        <f t="shared" si="168"/>
        <v>0.12</v>
      </c>
      <c r="CU82" s="61">
        <f t="shared" si="169"/>
        <v>1</v>
      </c>
      <c r="CV82" s="287">
        <f t="shared" si="125"/>
        <v>1</v>
      </c>
      <c r="CW82" s="309">
        <f t="shared" si="121"/>
        <v>128.58000000000001</v>
      </c>
      <c r="CX82" s="309">
        <f t="shared" si="122"/>
        <v>63.07</v>
      </c>
      <c r="CY82" s="300">
        <f t="shared" si="123"/>
        <v>255.3</v>
      </c>
      <c r="CZ82" s="309">
        <f t="shared" si="124"/>
        <v>141.72999999999999</v>
      </c>
      <c r="DA82"/>
      <c r="DC82" s="544">
        <v>485.96999999999997</v>
      </c>
    </row>
    <row r="83" spans="1:107">
      <c r="A83" s="146">
        <v>47</v>
      </c>
      <c r="B83" s="141">
        <f ca="1">RESUMEN!J50</f>
        <v>0</v>
      </c>
      <c r="C83" s="141">
        <f ca="1">+RESUMEN!K50</f>
        <v>0</v>
      </c>
      <c r="D83" s="142">
        <f t="shared" ca="1" si="141"/>
        <v>0</v>
      </c>
      <c r="E83" s="60"/>
      <c r="F83" s="60"/>
      <c r="G83" s="60"/>
      <c r="H83" s="133"/>
      <c r="I83" s="288"/>
      <c r="J83" s="132">
        <v>80</v>
      </c>
      <c r="K83" s="36">
        <v>278413.95</v>
      </c>
      <c r="L83" s="36">
        <v>209512.31</v>
      </c>
      <c r="M83" s="36">
        <v>247135.82</v>
      </c>
      <c r="N83" s="36">
        <v>185974.87</v>
      </c>
      <c r="O83" s="36">
        <v>218818.18</v>
      </c>
      <c r="P83" s="36">
        <v>164665.25</v>
      </c>
      <c r="Q83" s="105">
        <f t="shared" si="126"/>
        <v>984209.52</v>
      </c>
      <c r="R83" s="105">
        <f t="shared" si="127"/>
        <v>796644.72</v>
      </c>
      <c r="S83" s="105">
        <f t="shared" si="128"/>
        <v>742947.96</v>
      </c>
      <c r="T83" s="105">
        <f t="shared" si="129"/>
        <v>623887.47</v>
      </c>
      <c r="U83" s="105">
        <f t="shared" si="130"/>
        <v>502136.85</v>
      </c>
      <c r="V83" s="105">
        <f t="shared" si="131"/>
        <v>425915.33</v>
      </c>
      <c r="W83" s="61"/>
      <c r="X83" s="106">
        <v>984209.52</v>
      </c>
      <c r="Y83" s="106">
        <v>796644.72</v>
      </c>
      <c r="Z83" s="105">
        <f t="shared" si="142"/>
        <v>1026530.5293599999</v>
      </c>
      <c r="AA83" s="105">
        <f t="shared" si="143"/>
        <v>830900.4429599999</v>
      </c>
      <c r="AB83" s="105">
        <f t="shared" si="144"/>
        <v>1102314.6624</v>
      </c>
      <c r="AC83" s="105">
        <f t="shared" si="145"/>
        <v>892242.08640000003</v>
      </c>
      <c r="AD83" s="107">
        <v>742947.96</v>
      </c>
      <c r="AE83" s="107">
        <v>623887.47</v>
      </c>
      <c r="AF83" s="105">
        <f t="shared" si="146"/>
        <v>774894.72227999987</v>
      </c>
      <c r="AG83" s="105">
        <f t="shared" si="147"/>
        <v>650714.6312099999</v>
      </c>
      <c r="AH83" s="105">
        <f t="shared" si="148"/>
        <v>832101.71520000009</v>
      </c>
      <c r="AI83" s="105">
        <f t="shared" si="149"/>
        <v>698753.96640000003</v>
      </c>
      <c r="AJ83" s="106">
        <v>502136.85</v>
      </c>
      <c r="AK83" s="106">
        <v>425915.33</v>
      </c>
      <c r="AL83" s="105">
        <f t="shared" si="150"/>
        <v>523728.73454999994</v>
      </c>
      <c r="AM83" s="105">
        <f t="shared" si="151"/>
        <v>444229.68919</v>
      </c>
      <c r="AN83" s="105">
        <f t="shared" si="152"/>
        <v>562393.272</v>
      </c>
      <c r="AO83" s="105">
        <f t="shared" si="153"/>
        <v>477025.16960000008</v>
      </c>
      <c r="AP83" s="61"/>
      <c r="AQ83" s="108">
        <v>80</v>
      </c>
      <c r="AR83" s="109">
        <f ca="1">+RESUMEN!F83</f>
        <v>0</v>
      </c>
      <c r="AS83" s="109">
        <f ca="1">+RESUMEN!G83</f>
        <v>0</v>
      </c>
      <c r="AT83" s="110">
        <f t="shared" ca="1" si="132"/>
        <v>0</v>
      </c>
      <c r="AU83" s="111">
        <f t="shared" si="154"/>
        <v>0</v>
      </c>
      <c r="AV83" s="111">
        <f t="shared" si="155"/>
        <v>0</v>
      </c>
      <c r="AW83" s="111">
        <f t="shared" si="156"/>
        <v>0</v>
      </c>
      <c r="AX83" s="111">
        <f t="shared" si="157"/>
        <v>0</v>
      </c>
      <c r="AY83" s="111">
        <f t="shared" ca="1" si="158"/>
        <v>0</v>
      </c>
      <c r="AZ83" s="110"/>
      <c r="BA83" s="111">
        <f t="shared" ca="1" si="115"/>
        <v>0</v>
      </c>
      <c r="BB83" s="111">
        <f t="shared" ca="1" si="116"/>
        <v>0</v>
      </c>
      <c r="BC83" s="112"/>
      <c r="BD83" s="113">
        <f t="shared" ca="1" si="159"/>
        <v>0</v>
      </c>
      <c r="BE83" s="113">
        <f t="shared" ca="1" si="102"/>
        <v>0</v>
      </c>
      <c r="BF83" s="114" t="str">
        <f t="shared" ca="1" si="133"/>
        <v/>
      </c>
      <c r="BG83" s="61"/>
      <c r="BH83" s="64">
        <f t="shared" ca="1" si="117"/>
        <v>0</v>
      </c>
      <c r="BI83" s="64">
        <f t="shared" ca="1" si="118"/>
        <v>0</v>
      </c>
      <c r="BJ83" s="112"/>
      <c r="BK83" s="115">
        <f t="shared" ca="1" si="160"/>
        <v>0</v>
      </c>
      <c r="BL83" s="115">
        <f t="shared" ca="1" si="104"/>
        <v>0</v>
      </c>
      <c r="BM83" s="116" t="str">
        <f t="shared" ca="1" si="134"/>
        <v/>
      </c>
      <c r="BN83" s="61"/>
      <c r="BO83" s="117">
        <f t="shared" ca="1" si="119"/>
        <v>0</v>
      </c>
      <c r="BP83" s="117">
        <f t="shared" ca="1" si="120"/>
        <v>0</v>
      </c>
      <c r="BQ83" s="112"/>
      <c r="BR83" s="118">
        <f t="shared" ca="1" si="161"/>
        <v>0</v>
      </c>
      <c r="BS83" s="118">
        <f t="shared" ca="1" si="103"/>
        <v>0</v>
      </c>
      <c r="BT83" s="119" t="str">
        <f t="shared" ca="1" si="135"/>
        <v/>
      </c>
      <c r="BU83" s="61"/>
      <c r="BV83" s="120">
        <f t="shared" ca="1" si="136"/>
        <v>0</v>
      </c>
      <c r="BW83" s="120">
        <f t="shared" ca="1" si="137"/>
        <v>0</v>
      </c>
      <c r="BX83" s="112"/>
      <c r="BY83" s="121">
        <f t="shared" ca="1" si="162"/>
        <v>0</v>
      </c>
      <c r="BZ83" s="121">
        <f t="shared" ca="1" si="105"/>
        <v>0</v>
      </c>
      <c r="CA83" s="122" t="str">
        <f t="shared" ca="1" si="138"/>
        <v/>
      </c>
      <c r="CB83" s="61"/>
      <c r="CC83" s="123">
        <f t="shared" ca="1" si="163"/>
        <v>0</v>
      </c>
      <c r="CD83" s="123">
        <f t="shared" ca="1" si="164"/>
        <v>0</v>
      </c>
      <c r="CE83" s="112"/>
      <c r="CF83" s="124">
        <f t="shared" ca="1" si="165"/>
        <v>0</v>
      </c>
      <c r="CG83" s="124">
        <f t="shared" ca="1" si="106"/>
        <v>0</v>
      </c>
      <c r="CH83" s="125" t="str">
        <f t="shared" ca="1" si="139"/>
        <v/>
      </c>
      <c r="CI83" s="61"/>
      <c r="CJ83" s="487">
        <f t="shared" ca="1" si="113"/>
        <v>0</v>
      </c>
      <c r="CK83" s="487">
        <f t="shared" ca="1" si="114"/>
        <v>0</v>
      </c>
      <c r="CL83" s="112"/>
      <c r="CM83" s="127">
        <f t="shared" ca="1" si="166"/>
        <v>0</v>
      </c>
      <c r="CN83" s="127">
        <f t="shared" ca="1" si="107"/>
        <v>0</v>
      </c>
      <c r="CO83" s="128" t="str">
        <f t="shared" ca="1" si="140"/>
        <v/>
      </c>
      <c r="CP83" s="61"/>
      <c r="CQ83" s="108">
        <v>80</v>
      </c>
      <c r="CR83" s="273">
        <v>0.12</v>
      </c>
      <c r="CS83" s="61">
        <f t="shared" si="167"/>
        <v>0</v>
      </c>
      <c r="CT83" s="278">
        <f t="shared" si="168"/>
        <v>0.12</v>
      </c>
      <c r="CU83" s="61">
        <f t="shared" si="169"/>
        <v>1</v>
      </c>
      <c r="CV83" s="287">
        <f t="shared" si="125"/>
        <v>1</v>
      </c>
      <c r="CW83" s="309">
        <f t="shared" si="121"/>
        <v>128.58000000000001</v>
      </c>
      <c r="CX83" s="309">
        <f t="shared" si="122"/>
        <v>63.07</v>
      </c>
      <c r="CY83" s="300">
        <f t="shared" si="123"/>
        <v>255.3</v>
      </c>
      <c r="CZ83" s="309">
        <f t="shared" si="124"/>
        <v>141.72999999999999</v>
      </c>
      <c r="DA83"/>
      <c r="DC83" s="544">
        <v>485.96999999999997</v>
      </c>
    </row>
    <row r="84" spans="1:107">
      <c r="A84" s="146">
        <v>48</v>
      </c>
      <c r="B84" s="141">
        <f ca="1">RESUMEN!J51</f>
        <v>0</v>
      </c>
      <c r="C84" s="141">
        <f ca="1">+RESUMEN!K51</f>
        <v>0</v>
      </c>
      <c r="D84" s="142">
        <f t="shared" ca="1" si="141"/>
        <v>0</v>
      </c>
      <c r="E84" s="60"/>
      <c r="F84" s="60"/>
      <c r="G84" s="60"/>
      <c r="H84" s="133"/>
      <c r="I84" s="288"/>
      <c r="J84" s="132">
        <v>81</v>
      </c>
      <c r="K84" s="36">
        <v>291012.96999999997</v>
      </c>
      <c r="L84" s="36">
        <v>214440.19</v>
      </c>
      <c r="M84" s="36">
        <v>258319.42</v>
      </c>
      <c r="N84" s="36">
        <v>190349.13</v>
      </c>
      <c r="O84" s="36">
        <v>228720.32</v>
      </c>
      <c r="P84" s="36">
        <v>168538.29</v>
      </c>
      <c r="Q84" s="105">
        <f t="shared" si="126"/>
        <v>1045148.62</v>
      </c>
      <c r="R84" s="105">
        <f t="shared" si="127"/>
        <v>883319.67</v>
      </c>
      <c r="S84" s="105">
        <f t="shared" si="128"/>
        <v>798265.81</v>
      </c>
      <c r="T84" s="105">
        <f t="shared" si="129"/>
        <v>660890.99</v>
      </c>
      <c r="U84" s="105">
        <f t="shared" si="130"/>
        <v>535434.35</v>
      </c>
      <c r="V84" s="105">
        <f t="shared" si="131"/>
        <v>450531.32</v>
      </c>
      <c r="W84" s="61"/>
      <c r="X84" s="106">
        <v>1045148.62</v>
      </c>
      <c r="Y84" s="106">
        <v>883319.67</v>
      </c>
      <c r="Z84" s="105">
        <f t="shared" si="142"/>
        <v>1090090.0106599999</v>
      </c>
      <c r="AA84" s="105">
        <f t="shared" si="143"/>
        <v>921302.41581000003</v>
      </c>
      <c r="AB84" s="105">
        <f t="shared" si="144"/>
        <v>1170566.4544000002</v>
      </c>
      <c r="AC84" s="105">
        <f t="shared" si="145"/>
        <v>989318.03040000016</v>
      </c>
      <c r="AD84" s="107">
        <v>798265.81</v>
      </c>
      <c r="AE84" s="107">
        <v>660890.99</v>
      </c>
      <c r="AF84" s="105">
        <f t="shared" si="146"/>
        <v>832591.23982999998</v>
      </c>
      <c r="AG84" s="105">
        <f t="shared" si="147"/>
        <v>689309.30256999994</v>
      </c>
      <c r="AH84" s="105">
        <f t="shared" si="148"/>
        <v>894057.70720000018</v>
      </c>
      <c r="AI84" s="105">
        <f t="shared" si="149"/>
        <v>740197.90880000009</v>
      </c>
      <c r="AJ84" s="106">
        <v>535434.35</v>
      </c>
      <c r="AK84" s="106">
        <v>450531.32</v>
      </c>
      <c r="AL84" s="105">
        <f t="shared" si="150"/>
        <v>558458.02704999992</v>
      </c>
      <c r="AM84" s="105">
        <f t="shared" si="151"/>
        <v>469904.16675999999</v>
      </c>
      <c r="AN84" s="105">
        <f t="shared" si="152"/>
        <v>599686.47200000007</v>
      </c>
      <c r="AO84" s="105">
        <f t="shared" si="153"/>
        <v>504595.07840000006</v>
      </c>
      <c r="AP84" s="61"/>
      <c r="AQ84" s="108">
        <v>81</v>
      </c>
      <c r="AR84" s="109">
        <f ca="1">+RESUMEN!F84</f>
        <v>0</v>
      </c>
      <c r="AS84" s="109">
        <f ca="1">+RESUMEN!G84</f>
        <v>0</v>
      </c>
      <c r="AT84" s="110">
        <f t="shared" ca="1" si="132"/>
        <v>0</v>
      </c>
      <c r="AU84" s="111">
        <f t="shared" si="154"/>
        <v>0</v>
      </c>
      <c r="AV84" s="111">
        <f t="shared" si="155"/>
        <v>0</v>
      </c>
      <c r="AW84" s="111">
        <f t="shared" si="156"/>
        <v>0</v>
      </c>
      <c r="AX84" s="111">
        <f t="shared" si="157"/>
        <v>0</v>
      </c>
      <c r="AY84" s="111">
        <f t="shared" ca="1" si="158"/>
        <v>0</v>
      </c>
      <c r="AZ84" s="110"/>
      <c r="BA84" s="111">
        <f t="shared" ca="1" si="115"/>
        <v>0</v>
      </c>
      <c r="BB84" s="111">
        <f t="shared" ca="1" si="116"/>
        <v>0</v>
      </c>
      <c r="BC84" s="112"/>
      <c r="BD84" s="113">
        <f t="shared" ca="1" si="159"/>
        <v>0</v>
      </c>
      <c r="BE84" s="113">
        <f t="shared" ca="1" si="102"/>
        <v>0</v>
      </c>
      <c r="BF84" s="114" t="str">
        <f t="shared" ca="1" si="133"/>
        <v/>
      </c>
      <c r="BG84" s="61"/>
      <c r="BH84" s="64">
        <f t="shared" ca="1" si="117"/>
        <v>0</v>
      </c>
      <c r="BI84" s="64">
        <f t="shared" ca="1" si="118"/>
        <v>0</v>
      </c>
      <c r="BJ84" s="112"/>
      <c r="BK84" s="115">
        <f t="shared" ca="1" si="160"/>
        <v>0</v>
      </c>
      <c r="BL84" s="115">
        <f t="shared" ca="1" si="104"/>
        <v>0</v>
      </c>
      <c r="BM84" s="116" t="str">
        <f t="shared" ca="1" si="134"/>
        <v/>
      </c>
      <c r="BN84" s="61"/>
      <c r="BO84" s="117">
        <f t="shared" ca="1" si="119"/>
        <v>0</v>
      </c>
      <c r="BP84" s="117">
        <f t="shared" ca="1" si="120"/>
        <v>0</v>
      </c>
      <c r="BQ84" s="112"/>
      <c r="BR84" s="118">
        <f t="shared" ca="1" si="161"/>
        <v>0</v>
      </c>
      <c r="BS84" s="118">
        <f t="shared" ca="1" si="103"/>
        <v>0</v>
      </c>
      <c r="BT84" s="119" t="str">
        <f t="shared" ca="1" si="135"/>
        <v/>
      </c>
      <c r="BU84" s="61"/>
      <c r="BV84" s="120">
        <f t="shared" ca="1" si="136"/>
        <v>0</v>
      </c>
      <c r="BW84" s="120">
        <f t="shared" ca="1" si="137"/>
        <v>0</v>
      </c>
      <c r="BX84" s="112"/>
      <c r="BY84" s="121">
        <f t="shared" ca="1" si="162"/>
        <v>0</v>
      </c>
      <c r="BZ84" s="121">
        <f t="shared" ca="1" si="105"/>
        <v>0</v>
      </c>
      <c r="CA84" s="122" t="str">
        <f t="shared" ca="1" si="138"/>
        <v/>
      </c>
      <c r="CB84" s="61"/>
      <c r="CC84" s="123">
        <f t="shared" ca="1" si="163"/>
        <v>0</v>
      </c>
      <c r="CD84" s="123">
        <f t="shared" ca="1" si="164"/>
        <v>0</v>
      </c>
      <c r="CE84" s="112"/>
      <c r="CF84" s="124">
        <f t="shared" ca="1" si="165"/>
        <v>0</v>
      </c>
      <c r="CG84" s="124">
        <f t="shared" ca="1" si="106"/>
        <v>0</v>
      </c>
      <c r="CH84" s="125" t="str">
        <f t="shared" ca="1" si="139"/>
        <v/>
      </c>
      <c r="CI84" s="61"/>
      <c r="CJ84" s="487">
        <f t="shared" ca="1" si="113"/>
        <v>0</v>
      </c>
      <c r="CK84" s="487">
        <f t="shared" ca="1" si="114"/>
        <v>0</v>
      </c>
      <c r="CL84" s="112"/>
      <c r="CM84" s="127">
        <f t="shared" ca="1" si="166"/>
        <v>0</v>
      </c>
      <c r="CN84" s="127">
        <f t="shared" ca="1" si="107"/>
        <v>0</v>
      </c>
      <c r="CO84" s="128" t="str">
        <f t="shared" ca="1" si="140"/>
        <v/>
      </c>
      <c r="CP84" s="61"/>
      <c r="CQ84" s="108">
        <v>81</v>
      </c>
      <c r="CR84" s="273">
        <v>0.12</v>
      </c>
      <c r="CS84" s="61">
        <f t="shared" si="167"/>
        <v>0</v>
      </c>
      <c r="CT84" s="278">
        <f t="shared" si="168"/>
        <v>0.12</v>
      </c>
      <c r="CU84" s="61">
        <f t="shared" si="169"/>
        <v>1</v>
      </c>
      <c r="CV84" s="287">
        <f t="shared" si="125"/>
        <v>1</v>
      </c>
      <c r="CW84" s="309">
        <f t="shared" si="121"/>
        <v>128.58000000000001</v>
      </c>
      <c r="CX84" s="309">
        <f t="shared" si="122"/>
        <v>63.07</v>
      </c>
      <c r="CY84" s="300">
        <f t="shared" si="123"/>
        <v>255.3</v>
      </c>
      <c r="CZ84" s="309">
        <f t="shared" si="124"/>
        <v>141.72999999999999</v>
      </c>
      <c r="DA84"/>
      <c r="DC84" s="544">
        <v>485.96999999999997</v>
      </c>
    </row>
    <row r="85" spans="1:107">
      <c r="A85" s="146">
        <v>49</v>
      </c>
      <c r="B85" s="141">
        <f ca="1">RESUMEN!J52</f>
        <v>0</v>
      </c>
      <c r="C85" s="141">
        <f ca="1">+RESUMEN!K52</f>
        <v>0</v>
      </c>
      <c r="D85" s="142">
        <f t="shared" ca="1" si="141"/>
        <v>0</v>
      </c>
      <c r="E85" s="60"/>
      <c r="F85" s="60"/>
      <c r="G85" s="60"/>
      <c r="H85" s="133"/>
      <c r="I85" s="288"/>
      <c r="J85" s="132">
        <v>82</v>
      </c>
      <c r="K85" s="36">
        <v>294955.46000000002</v>
      </c>
      <c r="L85" s="36">
        <v>221511</v>
      </c>
      <c r="M85" s="36">
        <v>261818.99</v>
      </c>
      <c r="N85" s="36">
        <v>196625.58</v>
      </c>
      <c r="O85" s="36">
        <v>231818.9</v>
      </c>
      <c r="P85" s="36">
        <v>174095.56</v>
      </c>
      <c r="Q85" s="105">
        <f t="shared" si="126"/>
        <v>1107319.3799999999</v>
      </c>
      <c r="R85" s="105">
        <f t="shared" si="127"/>
        <v>918210.8</v>
      </c>
      <c r="S85" s="105">
        <f t="shared" si="128"/>
        <v>844965.15</v>
      </c>
      <c r="T85" s="105">
        <f t="shared" si="129"/>
        <v>705201.03</v>
      </c>
      <c r="U85" s="105">
        <f t="shared" si="130"/>
        <v>566070.06000000006</v>
      </c>
      <c r="V85" s="105">
        <f t="shared" si="131"/>
        <v>480240.92</v>
      </c>
      <c r="W85" s="61"/>
      <c r="X85" s="106">
        <v>1107319.3799999999</v>
      </c>
      <c r="Y85" s="106">
        <v>918210.8</v>
      </c>
      <c r="Z85" s="105">
        <f t="shared" si="142"/>
        <v>1154934.1133399997</v>
      </c>
      <c r="AA85" s="105">
        <f t="shared" si="143"/>
        <v>957693.86439999996</v>
      </c>
      <c r="AB85" s="105">
        <f t="shared" si="144"/>
        <v>1240197.7056</v>
      </c>
      <c r="AC85" s="105">
        <f t="shared" si="145"/>
        <v>1028396.0960000001</v>
      </c>
      <c r="AD85" s="107">
        <v>844965.15</v>
      </c>
      <c r="AE85" s="107">
        <v>705201.03</v>
      </c>
      <c r="AF85" s="105">
        <f t="shared" si="146"/>
        <v>881298.65145</v>
      </c>
      <c r="AG85" s="105">
        <f t="shared" si="147"/>
        <v>735524.67429</v>
      </c>
      <c r="AH85" s="105">
        <f t="shared" si="148"/>
        <v>946360.96800000011</v>
      </c>
      <c r="AI85" s="105">
        <f t="shared" si="149"/>
        <v>789825.15360000008</v>
      </c>
      <c r="AJ85" s="106">
        <v>566070.06000000006</v>
      </c>
      <c r="AK85" s="106">
        <v>480240.92</v>
      </c>
      <c r="AL85" s="105">
        <f t="shared" si="150"/>
        <v>590411.07258000004</v>
      </c>
      <c r="AM85" s="105">
        <f t="shared" si="151"/>
        <v>500891.27955999994</v>
      </c>
      <c r="AN85" s="105">
        <f t="shared" si="152"/>
        <v>633998.46720000007</v>
      </c>
      <c r="AO85" s="105">
        <f t="shared" si="153"/>
        <v>537869.83039999998</v>
      </c>
      <c r="AP85" s="61"/>
      <c r="AQ85" s="108">
        <v>82</v>
      </c>
      <c r="AR85" s="109">
        <f ca="1">+RESUMEN!F85</f>
        <v>0</v>
      </c>
      <c r="AS85" s="109">
        <f ca="1">+RESUMEN!G85</f>
        <v>0</v>
      </c>
      <c r="AT85" s="110">
        <f t="shared" ca="1" si="132"/>
        <v>0</v>
      </c>
      <c r="AU85" s="111">
        <f t="shared" si="154"/>
        <v>0</v>
      </c>
      <c r="AV85" s="111">
        <f t="shared" si="155"/>
        <v>0</v>
      </c>
      <c r="AW85" s="111">
        <f t="shared" si="156"/>
        <v>0</v>
      </c>
      <c r="AX85" s="111">
        <f t="shared" si="157"/>
        <v>0</v>
      </c>
      <c r="AY85" s="111">
        <f t="shared" ca="1" si="158"/>
        <v>0</v>
      </c>
      <c r="AZ85" s="110"/>
      <c r="BA85" s="111">
        <f t="shared" ca="1" si="115"/>
        <v>0</v>
      </c>
      <c r="BB85" s="111">
        <f t="shared" ca="1" si="116"/>
        <v>0</v>
      </c>
      <c r="BC85" s="112"/>
      <c r="BD85" s="113">
        <f t="shared" ca="1" si="159"/>
        <v>0</v>
      </c>
      <c r="BE85" s="113">
        <f t="shared" ca="1" si="102"/>
        <v>0</v>
      </c>
      <c r="BF85" s="114" t="str">
        <f t="shared" ca="1" si="133"/>
        <v/>
      </c>
      <c r="BG85" s="61"/>
      <c r="BH85" s="64">
        <f t="shared" ca="1" si="117"/>
        <v>0</v>
      </c>
      <c r="BI85" s="64">
        <f t="shared" ca="1" si="118"/>
        <v>0</v>
      </c>
      <c r="BJ85" s="112"/>
      <c r="BK85" s="115">
        <f t="shared" ca="1" si="160"/>
        <v>0</v>
      </c>
      <c r="BL85" s="115">
        <f t="shared" ca="1" si="104"/>
        <v>0</v>
      </c>
      <c r="BM85" s="116" t="str">
        <f t="shared" ca="1" si="134"/>
        <v/>
      </c>
      <c r="BN85" s="61"/>
      <c r="BO85" s="117">
        <f t="shared" ca="1" si="119"/>
        <v>0</v>
      </c>
      <c r="BP85" s="117">
        <f t="shared" ca="1" si="120"/>
        <v>0</v>
      </c>
      <c r="BQ85" s="112"/>
      <c r="BR85" s="118">
        <f t="shared" ca="1" si="161"/>
        <v>0</v>
      </c>
      <c r="BS85" s="118">
        <f t="shared" ca="1" si="103"/>
        <v>0</v>
      </c>
      <c r="BT85" s="119" t="str">
        <f t="shared" ca="1" si="135"/>
        <v/>
      </c>
      <c r="BU85" s="61"/>
      <c r="BV85" s="120">
        <f t="shared" ca="1" si="136"/>
        <v>0</v>
      </c>
      <c r="BW85" s="120">
        <f t="shared" ca="1" si="137"/>
        <v>0</v>
      </c>
      <c r="BX85" s="112"/>
      <c r="BY85" s="121">
        <f t="shared" ca="1" si="162"/>
        <v>0</v>
      </c>
      <c r="BZ85" s="121">
        <f t="shared" ca="1" si="105"/>
        <v>0</v>
      </c>
      <c r="CA85" s="122" t="str">
        <f t="shared" ca="1" si="138"/>
        <v/>
      </c>
      <c r="CB85" s="61"/>
      <c r="CC85" s="123">
        <f t="shared" ca="1" si="163"/>
        <v>0</v>
      </c>
      <c r="CD85" s="123">
        <f t="shared" ca="1" si="164"/>
        <v>0</v>
      </c>
      <c r="CE85" s="112"/>
      <c r="CF85" s="124">
        <f t="shared" ca="1" si="165"/>
        <v>0</v>
      </c>
      <c r="CG85" s="124">
        <f t="shared" ca="1" si="106"/>
        <v>0</v>
      </c>
      <c r="CH85" s="125" t="str">
        <f t="shared" ca="1" si="139"/>
        <v/>
      </c>
      <c r="CI85" s="61"/>
      <c r="CJ85" s="487">
        <f t="shared" ca="1" si="113"/>
        <v>0</v>
      </c>
      <c r="CK85" s="487">
        <f t="shared" ca="1" si="114"/>
        <v>0</v>
      </c>
      <c r="CL85" s="112"/>
      <c r="CM85" s="127">
        <f t="shared" ca="1" si="166"/>
        <v>0</v>
      </c>
      <c r="CN85" s="127">
        <f t="shared" ca="1" si="107"/>
        <v>0</v>
      </c>
      <c r="CO85" s="128" t="str">
        <f t="shared" ca="1" si="140"/>
        <v/>
      </c>
      <c r="CP85" s="61"/>
      <c r="CQ85" s="108">
        <v>82</v>
      </c>
      <c r="CR85" s="273">
        <v>0.12</v>
      </c>
      <c r="CS85" s="61">
        <f t="shared" si="167"/>
        <v>0</v>
      </c>
      <c r="CT85" s="278">
        <f t="shared" si="168"/>
        <v>0.12</v>
      </c>
      <c r="CU85" s="61">
        <f t="shared" si="169"/>
        <v>1</v>
      </c>
      <c r="CV85" s="287">
        <f t="shared" si="125"/>
        <v>1</v>
      </c>
      <c r="CW85" s="309">
        <f t="shared" si="121"/>
        <v>128.58000000000001</v>
      </c>
      <c r="CX85" s="309">
        <f t="shared" si="122"/>
        <v>63.07</v>
      </c>
      <c r="CY85" s="300">
        <f t="shared" si="123"/>
        <v>255.3</v>
      </c>
      <c r="CZ85" s="309">
        <f t="shared" si="124"/>
        <v>141.72999999999999</v>
      </c>
      <c r="DA85"/>
      <c r="DC85" s="544">
        <v>485.96999999999997</v>
      </c>
    </row>
    <row r="86" spans="1:107">
      <c r="A86" s="146">
        <v>50</v>
      </c>
      <c r="B86" s="141">
        <f ca="1">RESUMEN!J53</f>
        <v>0</v>
      </c>
      <c r="C86" s="141">
        <f ca="1">+RESUMEN!K53</f>
        <v>0</v>
      </c>
      <c r="D86" s="142">
        <f t="shared" ca="1" si="141"/>
        <v>0</v>
      </c>
      <c r="E86" s="60"/>
      <c r="F86" s="60"/>
      <c r="G86" s="60"/>
      <c r="H86" s="133"/>
      <c r="I86" s="288"/>
      <c r="J86" s="132">
        <v>83</v>
      </c>
      <c r="K86" s="36">
        <v>311425.25</v>
      </c>
      <c r="L86" s="36">
        <v>227481.94</v>
      </c>
      <c r="M86" s="36">
        <v>276438.5</v>
      </c>
      <c r="N86" s="36">
        <v>201925.72</v>
      </c>
      <c r="O86" s="36">
        <v>244763.26</v>
      </c>
      <c r="P86" s="36">
        <v>178788.4</v>
      </c>
      <c r="Q86" s="105">
        <f t="shared" si="126"/>
        <v>1170159.53</v>
      </c>
      <c r="R86" s="105">
        <f t="shared" si="127"/>
        <v>972660.7</v>
      </c>
      <c r="S86" s="105">
        <f t="shared" si="128"/>
        <v>894772.01</v>
      </c>
      <c r="T86" s="105">
        <f t="shared" si="129"/>
        <v>741919.47</v>
      </c>
      <c r="U86" s="105">
        <f t="shared" si="130"/>
        <v>598513.9</v>
      </c>
      <c r="V86" s="105">
        <f t="shared" si="131"/>
        <v>498478.08000000002</v>
      </c>
      <c r="W86" s="61"/>
      <c r="X86" s="106">
        <v>1170159.53</v>
      </c>
      <c r="Y86" s="106">
        <v>972660.7</v>
      </c>
      <c r="Z86" s="105">
        <f t="shared" si="142"/>
        <v>1220476.3897899999</v>
      </c>
      <c r="AA86" s="105">
        <f t="shared" si="143"/>
        <v>1014485.1100999999</v>
      </c>
      <c r="AB86" s="105">
        <f t="shared" si="144"/>
        <v>1310578.6736000001</v>
      </c>
      <c r="AC86" s="105">
        <f t="shared" si="145"/>
        <v>1089379.9839999999</v>
      </c>
      <c r="AD86" s="107">
        <v>894772.01</v>
      </c>
      <c r="AE86" s="107">
        <v>741919.47</v>
      </c>
      <c r="AF86" s="105">
        <f t="shared" si="146"/>
        <v>933247.2064299999</v>
      </c>
      <c r="AG86" s="105">
        <f t="shared" si="147"/>
        <v>773822.00720999995</v>
      </c>
      <c r="AH86" s="105">
        <f t="shared" si="148"/>
        <v>1002144.6512000001</v>
      </c>
      <c r="AI86" s="105">
        <f t="shared" si="149"/>
        <v>830949.8064</v>
      </c>
      <c r="AJ86" s="106">
        <v>598513.9</v>
      </c>
      <c r="AK86" s="106">
        <v>498478.08000000002</v>
      </c>
      <c r="AL86" s="105">
        <f t="shared" si="150"/>
        <v>624249.99769999995</v>
      </c>
      <c r="AM86" s="105">
        <f t="shared" si="151"/>
        <v>519912.63743999996</v>
      </c>
      <c r="AN86" s="105">
        <f t="shared" si="152"/>
        <v>670335.56800000009</v>
      </c>
      <c r="AO86" s="105">
        <f t="shared" si="153"/>
        <v>558295.44960000005</v>
      </c>
      <c r="AP86" s="61"/>
      <c r="AQ86" s="108">
        <v>83</v>
      </c>
      <c r="AR86" s="109">
        <f ca="1">+RESUMEN!F86</f>
        <v>0</v>
      </c>
      <c r="AS86" s="109">
        <f ca="1">+RESUMEN!G86</f>
        <v>0</v>
      </c>
      <c r="AT86" s="110">
        <f t="shared" ca="1" si="132"/>
        <v>0</v>
      </c>
      <c r="AU86" s="111">
        <f t="shared" si="154"/>
        <v>0</v>
      </c>
      <c r="AV86" s="111">
        <f t="shared" si="155"/>
        <v>0</v>
      </c>
      <c r="AW86" s="111">
        <f t="shared" si="156"/>
        <v>0</v>
      </c>
      <c r="AX86" s="111">
        <f t="shared" si="157"/>
        <v>0</v>
      </c>
      <c r="AY86" s="111">
        <f t="shared" ca="1" si="158"/>
        <v>0</v>
      </c>
      <c r="AZ86" s="110"/>
      <c r="BA86" s="111">
        <f t="shared" ca="1" si="115"/>
        <v>0</v>
      </c>
      <c r="BB86" s="111">
        <f t="shared" ca="1" si="116"/>
        <v>0</v>
      </c>
      <c r="BC86" s="112"/>
      <c r="BD86" s="113">
        <f t="shared" ca="1" si="159"/>
        <v>0</v>
      </c>
      <c r="BE86" s="113">
        <f t="shared" ca="1" si="102"/>
        <v>0</v>
      </c>
      <c r="BF86" s="114" t="str">
        <f t="shared" ca="1" si="133"/>
        <v/>
      </c>
      <c r="BG86" s="61"/>
      <c r="BH86" s="64">
        <f t="shared" ca="1" si="117"/>
        <v>0</v>
      </c>
      <c r="BI86" s="64">
        <f t="shared" ca="1" si="118"/>
        <v>0</v>
      </c>
      <c r="BJ86" s="112"/>
      <c r="BK86" s="115">
        <f t="shared" ca="1" si="160"/>
        <v>0</v>
      </c>
      <c r="BL86" s="115">
        <f t="shared" ca="1" si="104"/>
        <v>0</v>
      </c>
      <c r="BM86" s="116" t="str">
        <f t="shared" ca="1" si="134"/>
        <v/>
      </c>
      <c r="BN86" s="61"/>
      <c r="BO86" s="117">
        <f t="shared" ca="1" si="119"/>
        <v>0</v>
      </c>
      <c r="BP86" s="117">
        <f t="shared" ca="1" si="120"/>
        <v>0</v>
      </c>
      <c r="BQ86" s="112"/>
      <c r="BR86" s="118">
        <f t="shared" ca="1" si="161"/>
        <v>0</v>
      </c>
      <c r="BS86" s="118">
        <f t="shared" ca="1" si="103"/>
        <v>0</v>
      </c>
      <c r="BT86" s="119" t="str">
        <f t="shared" ca="1" si="135"/>
        <v/>
      </c>
      <c r="BU86" s="61"/>
      <c r="BV86" s="120">
        <f t="shared" ca="1" si="136"/>
        <v>0</v>
      </c>
      <c r="BW86" s="120">
        <f t="shared" ca="1" si="137"/>
        <v>0</v>
      </c>
      <c r="BX86" s="112"/>
      <c r="BY86" s="121">
        <f t="shared" ca="1" si="162"/>
        <v>0</v>
      </c>
      <c r="BZ86" s="121">
        <f t="shared" ca="1" si="105"/>
        <v>0</v>
      </c>
      <c r="CA86" s="122" t="str">
        <f t="shared" ca="1" si="138"/>
        <v/>
      </c>
      <c r="CB86" s="61"/>
      <c r="CC86" s="123">
        <f t="shared" ca="1" si="163"/>
        <v>0</v>
      </c>
      <c r="CD86" s="123">
        <f t="shared" ca="1" si="164"/>
        <v>0</v>
      </c>
      <c r="CE86" s="112"/>
      <c r="CF86" s="124">
        <f t="shared" ca="1" si="165"/>
        <v>0</v>
      </c>
      <c r="CG86" s="124">
        <f t="shared" ca="1" si="106"/>
        <v>0</v>
      </c>
      <c r="CH86" s="125" t="str">
        <f t="shared" ca="1" si="139"/>
        <v/>
      </c>
      <c r="CI86" s="61"/>
      <c r="CJ86" s="487">
        <f t="shared" ca="1" si="113"/>
        <v>0</v>
      </c>
      <c r="CK86" s="487">
        <f t="shared" ca="1" si="114"/>
        <v>0</v>
      </c>
      <c r="CL86" s="112"/>
      <c r="CM86" s="127">
        <f t="shared" ca="1" si="166"/>
        <v>0</v>
      </c>
      <c r="CN86" s="127">
        <f t="shared" ca="1" si="107"/>
        <v>0</v>
      </c>
      <c r="CO86" s="128" t="str">
        <f t="shared" ca="1" si="140"/>
        <v/>
      </c>
      <c r="CP86" s="61"/>
      <c r="CQ86" s="108">
        <v>83</v>
      </c>
      <c r="CR86" s="273">
        <v>0.12</v>
      </c>
      <c r="CS86" s="61">
        <f t="shared" si="167"/>
        <v>0</v>
      </c>
      <c r="CT86" s="278">
        <f t="shared" si="168"/>
        <v>0.12</v>
      </c>
      <c r="CU86" s="61">
        <f t="shared" si="169"/>
        <v>1</v>
      </c>
      <c r="CV86" s="287">
        <f t="shared" si="125"/>
        <v>1</v>
      </c>
      <c r="CW86" s="309">
        <f t="shared" si="121"/>
        <v>128.58000000000001</v>
      </c>
      <c r="CX86" s="309">
        <f t="shared" si="122"/>
        <v>63.07</v>
      </c>
      <c r="CY86" s="300">
        <f t="shared" si="123"/>
        <v>255.3</v>
      </c>
      <c r="CZ86" s="309">
        <f t="shared" si="124"/>
        <v>141.72999999999999</v>
      </c>
      <c r="DA86"/>
      <c r="DC86" s="544">
        <v>485.96999999999997</v>
      </c>
    </row>
    <row r="87" spans="1:107">
      <c r="A87" s="146">
        <v>51</v>
      </c>
      <c r="B87" s="141">
        <f ca="1">RESUMEN!J54</f>
        <v>0</v>
      </c>
      <c r="C87" s="141">
        <f ca="1">+RESUMEN!K54</f>
        <v>0</v>
      </c>
      <c r="D87" s="142">
        <f t="shared" ca="1" si="141"/>
        <v>0</v>
      </c>
      <c r="E87" s="60"/>
      <c r="F87" s="60"/>
      <c r="G87" s="60"/>
      <c r="H87" s="133"/>
      <c r="I87" s="288"/>
      <c r="J87" s="132">
        <v>84</v>
      </c>
      <c r="K87" s="36">
        <v>328773.78000000003</v>
      </c>
      <c r="L87" s="36">
        <v>233747.88</v>
      </c>
      <c r="M87" s="36">
        <v>291838.03000000003</v>
      </c>
      <c r="N87" s="36">
        <v>207487.72</v>
      </c>
      <c r="O87" s="36">
        <v>258398.26</v>
      </c>
      <c r="P87" s="36">
        <v>183713.08</v>
      </c>
      <c r="Q87" s="105">
        <f t="shared" si="126"/>
        <v>1233001.25</v>
      </c>
      <c r="R87" s="105">
        <f t="shared" si="127"/>
        <v>1057704.68</v>
      </c>
      <c r="S87" s="105">
        <f t="shared" si="128"/>
        <v>926116.48</v>
      </c>
      <c r="T87" s="105">
        <f t="shared" si="129"/>
        <v>782910.94</v>
      </c>
      <c r="U87" s="105">
        <f t="shared" si="130"/>
        <v>648511.32999999996</v>
      </c>
      <c r="V87" s="105">
        <f t="shared" si="131"/>
        <v>540033.41</v>
      </c>
      <c r="W87" s="61"/>
      <c r="X87" s="106">
        <v>1233001.25</v>
      </c>
      <c r="Y87" s="106">
        <v>1057704.68</v>
      </c>
      <c r="Z87" s="105">
        <f t="shared" si="142"/>
        <v>1286020.30375</v>
      </c>
      <c r="AA87" s="105">
        <f t="shared" si="143"/>
        <v>1103185.9812399999</v>
      </c>
      <c r="AB87" s="105">
        <f t="shared" si="144"/>
        <v>1380961.4000000001</v>
      </c>
      <c r="AC87" s="105">
        <f t="shared" si="145"/>
        <v>1184629.2416000001</v>
      </c>
      <c r="AD87" s="107">
        <v>926116.48</v>
      </c>
      <c r="AE87" s="107">
        <v>782910.94</v>
      </c>
      <c r="AF87" s="105">
        <f t="shared" si="146"/>
        <v>965939.48863999988</v>
      </c>
      <c r="AG87" s="105">
        <f t="shared" si="147"/>
        <v>816576.11041999992</v>
      </c>
      <c r="AH87" s="105">
        <f t="shared" si="148"/>
        <v>1037250.4576000001</v>
      </c>
      <c r="AI87" s="105">
        <f t="shared" si="149"/>
        <v>876860.25280000002</v>
      </c>
      <c r="AJ87" s="106">
        <v>648511.32999999996</v>
      </c>
      <c r="AK87" s="106">
        <v>540033.41</v>
      </c>
      <c r="AL87" s="105">
        <f t="shared" si="150"/>
        <v>676397.31718999986</v>
      </c>
      <c r="AM87" s="105">
        <f t="shared" si="151"/>
        <v>563254.84663000004</v>
      </c>
      <c r="AN87" s="105">
        <f t="shared" si="152"/>
        <v>726332.68960000004</v>
      </c>
      <c r="AO87" s="105">
        <f t="shared" si="153"/>
        <v>604837.41920000012</v>
      </c>
      <c r="AP87" s="61"/>
      <c r="AQ87" s="108">
        <v>84</v>
      </c>
      <c r="AR87" s="109">
        <f ca="1">+RESUMEN!F87</f>
        <v>0</v>
      </c>
      <c r="AS87" s="109">
        <f ca="1">+RESUMEN!G87</f>
        <v>0</v>
      </c>
      <c r="AT87" s="110">
        <f t="shared" ca="1" si="132"/>
        <v>0</v>
      </c>
      <c r="AU87" s="111">
        <f t="shared" si="154"/>
        <v>0</v>
      </c>
      <c r="AV87" s="111">
        <f t="shared" si="155"/>
        <v>0</v>
      </c>
      <c r="AW87" s="111">
        <f t="shared" si="156"/>
        <v>0</v>
      </c>
      <c r="AX87" s="111">
        <f t="shared" si="157"/>
        <v>0</v>
      </c>
      <c r="AY87" s="111">
        <f t="shared" ca="1" si="158"/>
        <v>0</v>
      </c>
      <c r="AZ87" s="110"/>
      <c r="BA87" s="111">
        <f t="shared" ca="1" si="115"/>
        <v>0</v>
      </c>
      <c r="BB87" s="111">
        <f t="shared" ca="1" si="116"/>
        <v>0</v>
      </c>
      <c r="BC87" s="112"/>
      <c r="BD87" s="113">
        <f t="shared" ca="1" si="159"/>
        <v>0</v>
      </c>
      <c r="BE87" s="113">
        <f t="shared" ca="1" si="102"/>
        <v>0</v>
      </c>
      <c r="BF87" s="114" t="str">
        <f t="shared" ca="1" si="133"/>
        <v/>
      </c>
      <c r="BG87" s="61"/>
      <c r="BH87" s="64">
        <f t="shared" ca="1" si="117"/>
        <v>0</v>
      </c>
      <c r="BI87" s="64">
        <f t="shared" ca="1" si="118"/>
        <v>0</v>
      </c>
      <c r="BJ87" s="112"/>
      <c r="BK87" s="115">
        <f t="shared" ca="1" si="160"/>
        <v>0</v>
      </c>
      <c r="BL87" s="115">
        <f t="shared" ca="1" si="104"/>
        <v>0</v>
      </c>
      <c r="BM87" s="116" t="str">
        <f t="shared" ca="1" si="134"/>
        <v/>
      </c>
      <c r="BN87" s="61"/>
      <c r="BO87" s="117">
        <f t="shared" ca="1" si="119"/>
        <v>0</v>
      </c>
      <c r="BP87" s="117">
        <f t="shared" ca="1" si="120"/>
        <v>0</v>
      </c>
      <c r="BQ87" s="112"/>
      <c r="BR87" s="118">
        <f t="shared" ca="1" si="161"/>
        <v>0</v>
      </c>
      <c r="BS87" s="118">
        <f t="shared" ca="1" si="103"/>
        <v>0</v>
      </c>
      <c r="BT87" s="119" t="str">
        <f t="shared" ca="1" si="135"/>
        <v/>
      </c>
      <c r="BU87" s="61"/>
      <c r="BV87" s="120">
        <f t="shared" ca="1" si="136"/>
        <v>0</v>
      </c>
      <c r="BW87" s="120">
        <f t="shared" ca="1" si="137"/>
        <v>0</v>
      </c>
      <c r="BX87" s="112"/>
      <c r="BY87" s="121">
        <f t="shared" ca="1" si="162"/>
        <v>0</v>
      </c>
      <c r="BZ87" s="121">
        <f t="shared" ca="1" si="105"/>
        <v>0</v>
      </c>
      <c r="CA87" s="122" t="str">
        <f t="shared" ca="1" si="138"/>
        <v/>
      </c>
      <c r="CB87" s="61"/>
      <c r="CC87" s="123">
        <f t="shared" ca="1" si="163"/>
        <v>0</v>
      </c>
      <c r="CD87" s="123">
        <f t="shared" ca="1" si="164"/>
        <v>0</v>
      </c>
      <c r="CE87" s="112"/>
      <c r="CF87" s="124">
        <f t="shared" ca="1" si="165"/>
        <v>0</v>
      </c>
      <c r="CG87" s="124">
        <f t="shared" ca="1" si="106"/>
        <v>0</v>
      </c>
      <c r="CH87" s="125" t="str">
        <f t="shared" ca="1" si="139"/>
        <v/>
      </c>
      <c r="CI87" s="61"/>
      <c r="CJ87" s="487">
        <f t="shared" ca="1" si="113"/>
        <v>0</v>
      </c>
      <c r="CK87" s="487">
        <f t="shared" ca="1" si="114"/>
        <v>0</v>
      </c>
      <c r="CL87" s="112"/>
      <c r="CM87" s="127">
        <f t="shared" ca="1" si="166"/>
        <v>0</v>
      </c>
      <c r="CN87" s="127">
        <f t="shared" ca="1" si="107"/>
        <v>0</v>
      </c>
      <c r="CO87" s="128" t="str">
        <f t="shared" ca="1" si="140"/>
        <v/>
      </c>
      <c r="CP87" s="61"/>
      <c r="CQ87" s="108">
        <v>84</v>
      </c>
      <c r="CR87" s="273">
        <v>0.12</v>
      </c>
      <c r="CS87" s="61">
        <f t="shared" si="167"/>
        <v>0</v>
      </c>
      <c r="CT87" s="278">
        <f t="shared" si="168"/>
        <v>0.12</v>
      </c>
      <c r="CU87" s="61">
        <f t="shared" si="169"/>
        <v>1</v>
      </c>
      <c r="CV87" s="287">
        <f t="shared" si="125"/>
        <v>1</v>
      </c>
      <c r="CW87" s="309">
        <f t="shared" si="121"/>
        <v>128.58000000000001</v>
      </c>
      <c r="CX87" s="309">
        <f t="shared" si="122"/>
        <v>63.07</v>
      </c>
      <c r="CY87" s="300">
        <f t="shared" si="123"/>
        <v>255.3</v>
      </c>
      <c r="CZ87" s="309">
        <f t="shared" si="124"/>
        <v>141.72999999999999</v>
      </c>
      <c r="DA87"/>
      <c r="DC87" s="544">
        <v>485.96999999999997</v>
      </c>
    </row>
    <row r="88" spans="1:107">
      <c r="A88" s="146">
        <v>52</v>
      </c>
      <c r="B88" s="141">
        <f ca="1">RESUMEN!J55</f>
        <v>0</v>
      </c>
      <c r="C88" s="141">
        <f ca="1">+RESUMEN!K55</f>
        <v>0</v>
      </c>
      <c r="D88" s="142">
        <f t="shared" ca="1" si="141"/>
        <v>0</v>
      </c>
      <c r="E88" s="60"/>
      <c r="F88" s="60"/>
      <c r="G88" s="60"/>
      <c r="H88" s="133"/>
      <c r="I88" s="288"/>
      <c r="J88" s="132">
        <v>85</v>
      </c>
      <c r="K88" s="36">
        <v>354297.7</v>
      </c>
      <c r="L88" s="36">
        <v>250917.85</v>
      </c>
      <c r="M88" s="36">
        <v>314494.49</v>
      </c>
      <c r="N88" s="36">
        <v>222728.74</v>
      </c>
      <c r="O88" s="36">
        <v>278458.65999999997</v>
      </c>
      <c r="P88" s="36">
        <v>197207.74</v>
      </c>
      <c r="Q88" s="105">
        <f t="shared" si="126"/>
        <v>1295066.49</v>
      </c>
      <c r="R88" s="105">
        <f t="shared" si="127"/>
        <v>1057704.68</v>
      </c>
      <c r="S88" s="105">
        <f t="shared" si="128"/>
        <v>926116.48</v>
      </c>
      <c r="T88" s="105">
        <f t="shared" si="129"/>
        <v>782910.94</v>
      </c>
      <c r="U88" s="105">
        <f t="shared" si="130"/>
        <v>660294.06000000006</v>
      </c>
      <c r="V88" s="105">
        <f t="shared" si="131"/>
        <v>540033.41</v>
      </c>
      <c r="W88" s="61"/>
      <c r="X88" s="106">
        <v>1295066.49</v>
      </c>
      <c r="Y88" s="106">
        <v>1057704.68</v>
      </c>
      <c r="Z88" s="105">
        <f t="shared" si="142"/>
        <v>1350754.34907</v>
      </c>
      <c r="AA88" s="105">
        <f t="shared" si="143"/>
        <v>1103185.9812399999</v>
      </c>
      <c r="AB88" s="105">
        <f t="shared" si="144"/>
        <v>1450474.4688000001</v>
      </c>
      <c r="AC88" s="105">
        <f t="shared" si="145"/>
        <v>1184629.2416000001</v>
      </c>
      <c r="AD88" s="107">
        <v>926116.48</v>
      </c>
      <c r="AE88" s="107">
        <v>782910.94</v>
      </c>
      <c r="AF88" s="105">
        <f t="shared" si="146"/>
        <v>965939.48863999988</v>
      </c>
      <c r="AG88" s="105">
        <f t="shared" si="147"/>
        <v>816576.11041999992</v>
      </c>
      <c r="AH88" s="105">
        <f t="shared" si="148"/>
        <v>1037250.4576000001</v>
      </c>
      <c r="AI88" s="105">
        <f t="shared" si="149"/>
        <v>876860.25280000002</v>
      </c>
      <c r="AJ88" s="106">
        <v>660294.06000000006</v>
      </c>
      <c r="AK88" s="106">
        <v>540033.41</v>
      </c>
      <c r="AL88" s="105">
        <f t="shared" si="150"/>
        <v>688686.70458000002</v>
      </c>
      <c r="AM88" s="105">
        <f t="shared" si="151"/>
        <v>563254.84663000004</v>
      </c>
      <c r="AN88" s="105">
        <f t="shared" si="152"/>
        <v>739529.34720000008</v>
      </c>
      <c r="AO88" s="105">
        <f t="shared" si="153"/>
        <v>604837.41920000012</v>
      </c>
      <c r="AP88" s="61"/>
      <c r="AQ88" s="108">
        <v>85</v>
      </c>
      <c r="AR88" s="109">
        <f ca="1">+RESUMEN!F88</f>
        <v>0</v>
      </c>
      <c r="AS88" s="109">
        <f ca="1">+RESUMEN!G88</f>
        <v>0</v>
      </c>
      <c r="AT88" s="110">
        <f t="shared" ca="1" si="132"/>
        <v>0</v>
      </c>
      <c r="AU88" s="111">
        <f t="shared" si="154"/>
        <v>0</v>
      </c>
      <c r="AV88" s="111">
        <f t="shared" si="155"/>
        <v>0</v>
      </c>
      <c r="AW88" s="111">
        <f t="shared" si="156"/>
        <v>0</v>
      </c>
      <c r="AX88" s="111">
        <f t="shared" si="157"/>
        <v>0</v>
      </c>
      <c r="AY88" s="111">
        <f t="shared" ca="1" si="158"/>
        <v>0</v>
      </c>
      <c r="AZ88" s="110"/>
      <c r="BA88" s="111">
        <f t="shared" ca="1" si="115"/>
        <v>0</v>
      </c>
      <c r="BB88" s="111">
        <f t="shared" ca="1" si="116"/>
        <v>0</v>
      </c>
      <c r="BC88" s="112"/>
      <c r="BD88" s="113">
        <f t="shared" ca="1" si="159"/>
        <v>0</v>
      </c>
      <c r="BE88" s="113">
        <f t="shared" ca="1" si="102"/>
        <v>0</v>
      </c>
      <c r="BF88" s="114" t="str">
        <f t="shared" ca="1" si="133"/>
        <v/>
      </c>
      <c r="BG88" s="61"/>
      <c r="BH88" s="64">
        <f t="shared" ca="1" si="117"/>
        <v>0</v>
      </c>
      <c r="BI88" s="64">
        <f t="shared" ca="1" si="118"/>
        <v>0</v>
      </c>
      <c r="BJ88" s="112"/>
      <c r="BK88" s="115">
        <f t="shared" ca="1" si="160"/>
        <v>0</v>
      </c>
      <c r="BL88" s="115">
        <f t="shared" ca="1" si="104"/>
        <v>0</v>
      </c>
      <c r="BM88" s="116" t="str">
        <f t="shared" ca="1" si="134"/>
        <v/>
      </c>
      <c r="BN88" s="61"/>
      <c r="BO88" s="117">
        <f t="shared" ca="1" si="119"/>
        <v>0</v>
      </c>
      <c r="BP88" s="117">
        <f t="shared" ca="1" si="120"/>
        <v>0</v>
      </c>
      <c r="BQ88" s="112"/>
      <c r="BR88" s="118">
        <f t="shared" ca="1" si="161"/>
        <v>0</v>
      </c>
      <c r="BS88" s="118">
        <f t="shared" ca="1" si="103"/>
        <v>0</v>
      </c>
      <c r="BT88" s="119" t="str">
        <f t="shared" ca="1" si="135"/>
        <v/>
      </c>
      <c r="BU88" s="61"/>
      <c r="BV88" s="120">
        <f t="shared" ca="1" si="136"/>
        <v>0</v>
      </c>
      <c r="BW88" s="120">
        <f t="shared" ca="1" si="137"/>
        <v>0</v>
      </c>
      <c r="BX88" s="112"/>
      <c r="BY88" s="121">
        <f t="shared" ca="1" si="162"/>
        <v>0</v>
      </c>
      <c r="BZ88" s="121">
        <f t="shared" ca="1" si="105"/>
        <v>0</v>
      </c>
      <c r="CA88" s="122" t="str">
        <f t="shared" ca="1" si="138"/>
        <v/>
      </c>
      <c r="CB88" s="61"/>
      <c r="CC88" s="123">
        <f t="shared" ca="1" si="163"/>
        <v>0</v>
      </c>
      <c r="CD88" s="123">
        <f t="shared" ca="1" si="164"/>
        <v>0</v>
      </c>
      <c r="CE88" s="112"/>
      <c r="CF88" s="124">
        <f t="shared" ca="1" si="165"/>
        <v>0</v>
      </c>
      <c r="CG88" s="124">
        <f t="shared" ca="1" si="106"/>
        <v>0</v>
      </c>
      <c r="CH88" s="125" t="str">
        <f t="shared" ca="1" si="139"/>
        <v/>
      </c>
      <c r="CI88" s="61"/>
      <c r="CJ88" s="487">
        <f t="shared" ca="1" si="113"/>
        <v>0</v>
      </c>
      <c r="CK88" s="487">
        <f t="shared" ca="1" si="114"/>
        <v>0</v>
      </c>
      <c r="CL88" s="112"/>
      <c r="CM88" s="127">
        <f t="shared" ca="1" si="166"/>
        <v>0</v>
      </c>
      <c r="CN88" s="127">
        <f t="shared" ca="1" si="107"/>
        <v>0</v>
      </c>
      <c r="CO88" s="128" t="str">
        <f t="shared" ca="1" si="140"/>
        <v/>
      </c>
      <c r="CP88" s="61"/>
      <c r="CQ88" s="108">
        <v>85</v>
      </c>
      <c r="CR88" s="273">
        <v>0.12</v>
      </c>
      <c r="CS88" s="61">
        <f t="shared" si="167"/>
        <v>0</v>
      </c>
      <c r="CT88" s="278">
        <f t="shared" si="168"/>
        <v>0.12</v>
      </c>
      <c r="CU88" s="61">
        <f t="shared" si="169"/>
        <v>1</v>
      </c>
      <c r="CV88" s="287">
        <f t="shared" si="125"/>
        <v>1</v>
      </c>
      <c r="CW88" s="309">
        <f t="shared" si="121"/>
        <v>128.58000000000001</v>
      </c>
      <c r="CX88" s="309">
        <f t="shared" si="122"/>
        <v>63.07</v>
      </c>
      <c r="CY88" s="300">
        <f t="shared" si="123"/>
        <v>255.3</v>
      </c>
      <c r="CZ88" s="309">
        <f t="shared" si="124"/>
        <v>141.72999999999999</v>
      </c>
      <c r="DA88"/>
      <c r="DC88" s="544">
        <v>485.96999999999997</v>
      </c>
    </row>
    <row r="89" spans="1:107">
      <c r="A89" s="146">
        <v>53</v>
      </c>
      <c r="B89" s="141">
        <f ca="1">RESUMEN!J56</f>
        <v>0</v>
      </c>
      <c r="C89" s="141">
        <f ca="1">+RESUMEN!K56</f>
        <v>0</v>
      </c>
      <c r="D89" s="142">
        <f t="shared" ca="1" si="141"/>
        <v>0</v>
      </c>
      <c r="E89" s="60"/>
      <c r="F89" s="60"/>
      <c r="G89" s="60"/>
      <c r="H89" s="133"/>
      <c r="I89" s="288"/>
      <c r="J89" s="132">
        <v>86</v>
      </c>
      <c r="K89" s="36">
        <v>354297.7</v>
      </c>
      <c r="L89" s="36">
        <v>250917.85</v>
      </c>
      <c r="M89" s="36">
        <v>314494.49</v>
      </c>
      <c r="N89" s="36">
        <v>222728.74</v>
      </c>
      <c r="O89" s="36">
        <v>278458.65999999997</v>
      </c>
      <c r="P89" s="36">
        <v>197207.74</v>
      </c>
      <c r="Q89" s="105">
        <f t="shared" si="126"/>
        <v>1295066.49</v>
      </c>
      <c r="R89" s="105">
        <f t="shared" si="127"/>
        <v>1057704.68</v>
      </c>
      <c r="S89" s="105">
        <f t="shared" si="128"/>
        <v>926116.48</v>
      </c>
      <c r="T89" s="105">
        <f t="shared" si="129"/>
        <v>782910.94</v>
      </c>
      <c r="U89" s="105">
        <f t="shared" si="130"/>
        <v>660294.06000000006</v>
      </c>
      <c r="V89" s="105">
        <f t="shared" si="131"/>
        <v>540033.41</v>
      </c>
      <c r="W89" s="61"/>
      <c r="X89" s="106">
        <v>1295066.49</v>
      </c>
      <c r="Y89" s="106">
        <v>1057704.68</v>
      </c>
      <c r="Z89" s="105">
        <f t="shared" si="142"/>
        <v>1350754.34907</v>
      </c>
      <c r="AA89" s="105">
        <f t="shared" si="143"/>
        <v>1103185.9812399999</v>
      </c>
      <c r="AB89" s="105">
        <f t="shared" si="144"/>
        <v>1450474.4688000001</v>
      </c>
      <c r="AC89" s="105">
        <f t="shared" si="145"/>
        <v>1184629.2416000001</v>
      </c>
      <c r="AD89" s="107">
        <v>926116.48</v>
      </c>
      <c r="AE89" s="107">
        <v>782910.94</v>
      </c>
      <c r="AF89" s="105">
        <f t="shared" si="146"/>
        <v>965939.48863999988</v>
      </c>
      <c r="AG89" s="105">
        <f t="shared" si="147"/>
        <v>816576.11041999992</v>
      </c>
      <c r="AH89" s="105">
        <f t="shared" si="148"/>
        <v>1037250.4576000001</v>
      </c>
      <c r="AI89" s="105">
        <f t="shared" si="149"/>
        <v>876860.25280000002</v>
      </c>
      <c r="AJ89" s="106">
        <v>660294.06000000006</v>
      </c>
      <c r="AK89" s="106">
        <v>540033.41</v>
      </c>
      <c r="AL89" s="105">
        <f t="shared" si="150"/>
        <v>688686.70458000002</v>
      </c>
      <c r="AM89" s="105">
        <f t="shared" si="151"/>
        <v>563254.84663000004</v>
      </c>
      <c r="AN89" s="105">
        <f t="shared" si="152"/>
        <v>739529.34720000008</v>
      </c>
      <c r="AO89" s="105">
        <f t="shared" si="153"/>
        <v>604837.41920000012</v>
      </c>
      <c r="AP89" s="61"/>
      <c r="AQ89" s="108">
        <v>86</v>
      </c>
      <c r="AR89" s="109">
        <f ca="1">+RESUMEN!F89</f>
        <v>0</v>
      </c>
      <c r="AS89" s="109">
        <f ca="1">+RESUMEN!G89</f>
        <v>0</v>
      </c>
      <c r="AT89" s="110">
        <f t="shared" ca="1" si="132"/>
        <v>0</v>
      </c>
      <c r="AU89" s="111">
        <f t="shared" si="154"/>
        <v>0</v>
      </c>
      <c r="AV89" s="111">
        <f t="shared" si="155"/>
        <v>0</v>
      </c>
      <c r="AW89" s="111">
        <f t="shared" si="156"/>
        <v>0</v>
      </c>
      <c r="AX89" s="111">
        <f t="shared" si="157"/>
        <v>0</v>
      </c>
      <c r="AY89" s="111">
        <f t="shared" ca="1" si="158"/>
        <v>0</v>
      </c>
      <c r="AZ89" s="110"/>
      <c r="BA89" s="111">
        <f t="shared" ca="1" si="115"/>
        <v>0</v>
      </c>
      <c r="BB89" s="111">
        <f t="shared" ca="1" si="116"/>
        <v>0</v>
      </c>
      <c r="BC89" s="112"/>
      <c r="BD89" s="113">
        <f t="shared" ca="1" si="159"/>
        <v>0</v>
      </c>
      <c r="BE89" s="113">
        <f t="shared" ca="1" si="102"/>
        <v>0</v>
      </c>
      <c r="BF89" s="114" t="str">
        <f t="shared" ca="1" si="133"/>
        <v/>
      </c>
      <c r="BG89" s="61"/>
      <c r="BH89" s="64">
        <f t="shared" ca="1" si="117"/>
        <v>0</v>
      </c>
      <c r="BI89" s="64">
        <f t="shared" ca="1" si="118"/>
        <v>0</v>
      </c>
      <c r="BJ89" s="112"/>
      <c r="BK89" s="115">
        <f t="shared" ca="1" si="160"/>
        <v>0</v>
      </c>
      <c r="BL89" s="115">
        <f t="shared" ca="1" si="104"/>
        <v>0</v>
      </c>
      <c r="BM89" s="116" t="str">
        <f t="shared" ca="1" si="134"/>
        <v/>
      </c>
      <c r="BN89" s="61"/>
      <c r="BO89" s="117">
        <f t="shared" ca="1" si="119"/>
        <v>0</v>
      </c>
      <c r="BP89" s="117">
        <f t="shared" ca="1" si="120"/>
        <v>0</v>
      </c>
      <c r="BQ89" s="112"/>
      <c r="BR89" s="118">
        <f t="shared" ca="1" si="161"/>
        <v>0</v>
      </c>
      <c r="BS89" s="118">
        <f t="shared" ca="1" si="103"/>
        <v>0</v>
      </c>
      <c r="BT89" s="119" t="str">
        <f t="shared" ca="1" si="135"/>
        <v/>
      </c>
      <c r="BU89" s="61"/>
      <c r="BV89" s="120">
        <f t="shared" ca="1" si="136"/>
        <v>0</v>
      </c>
      <c r="BW89" s="120">
        <f t="shared" ca="1" si="137"/>
        <v>0</v>
      </c>
      <c r="BX89" s="112"/>
      <c r="BY89" s="121">
        <f t="shared" ca="1" si="162"/>
        <v>0</v>
      </c>
      <c r="BZ89" s="121">
        <f t="shared" ca="1" si="105"/>
        <v>0</v>
      </c>
      <c r="CA89" s="122" t="str">
        <f t="shared" ca="1" si="138"/>
        <v/>
      </c>
      <c r="CB89" s="61"/>
      <c r="CC89" s="123">
        <f t="shared" ca="1" si="163"/>
        <v>0</v>
      </c>
      <c r="CD89" s="123">
        <f t="shared" ca="1" si="164"/>
        <v>0</v>
      </c>
      <c r="CE89" s="112"/>
      <c r="CF89" s="124">
        <f t="shared" ca="1" si="165"/>
        <v>0</v>
      </c>
      <c r="CG89" s="124">
        <f t="shared" ca="1" si="106"/>
        <v>0</v>
      </c>
      <c r="CH89" s="125" t="str">
        <f t="shared" ca="1" si="139"/>
        <v/>
      </c>
      <c r="CI89" s="61"/>
      <c r="CJ89" s="487">
        <f t="shared" ca="1" si="113"/>
        <v>0</v>
      </c>
      <c r="CK89" s="487">
        <f t="shared" ca="1" si="114"/>
        <v>0</v>
      </c>
      <c r="CL89" s="112"/>
      <c r="CM89" s="127">
        <f t="shared" ca="1" si="166"/>
        <v>0</v>
      </c>
      <c r="CN89" s="127">
        <f t="shared" ca="1" si="107"/>
        <v>0</v>
      </c>
      <c r="CO89" s="128" t="str">
        <f t="shared" ca="1" si="140"/>
        <v/>
      </c>
      <c r="CP89" s="61"/>
      <c r="CQ89" s="108">
        <v>86</v>
      </c>
      <c r="CR89" s="273">
        <v>0.12</v>
      </c>
      <c r="CS89" s="61">
        <f t="shared" si="167"/>
        <v>0</v>
      </c>
      <c r="CT89" s="278">
        <f t="shared" si="168"/>
        <v>0.12</v>
      </c>
      <c r="CU89" s="61">
        <f t="shared" si="169"/>
        <v>1</v>
      </c>
      <c r="CV89" s="287">
        <f t="shared" si="125"/>
        <v>1</v>
      </c>
      <c r="CW89" s="309">
        <f t="shared" si="121"/>
        <v>128.58000000000001</v>
      </c>
      <c r="CX89" s="309">
        <f t="shared" si="122"/>
        <v>63.07</v>
      </c>
      <c r="CY89" s="300">
        <f t="shared" si="123"/>
        <v>255.3</v>
      </c>
      <c r="CZ89" s="309">
        <f t="shared" si="124"/>
        <v>141.72999999999999</v>
      </c>
      <c r="DA89"/>
      <c r="DC89" s="544">
        <v>485.96999999999997</v>
      </c>
    </row>
    <row r="90" spans="1:107">
      <c r="A90" s="146">
        <v>54</v>
      </c>
      <c r="B90" s="141">
        <f ca="1">RESUMEN!J57</f>
        <v>0</v>
      </c>
      <c r="C90" s="141">
        <f ca="1">+RESUMEN!K57</f>
        <v>0</v>
      </c>
      <c r="D90" s="142">
        <f t="shared" ca="1" si="141"/>
        <v>0</v>
      </c>
      <c r="E90" s="60"/>
      <c r="F90" s="60"/>
      <c r="G90" s="60"/>
      <c r="H90" s="133"/>
      <c r="I90" s="288"/>
      <c r="J90" s="132">
        <v>87</v>
      </c>
      <c r="K90" s="36">
        <v>354297.7</v>
      </c>
      <c r="L90" s="36">
        <v>250917.85</v>
      </c>
      <c r="M90" s="36">
        <v>314494.49</v>
      </c>
      <c r="N90" s="36">
        <v>222728.74</v>
      </c>
      <c r="O90" s="36">
        <v>278458.65999999997</v>
      </c>
      <c r="P90" s="36">
        <v>197207.74</v>
      </c>
      <c r="Q90" s="105">
        <f t="shared" si="126"/>
        <v>1295066.49</v>
      </c>
      <c r="R90" s="105">
        <f t="shared" si="127"/>
        <v>1057704.68</v>
      </c>
      <c r="S90" s="105">
        <f t="shared" si="128"/>
        <v>926116.48</v>
      </c>
      <c r="T90" s="105">
        <f t="shared" si="129"/>
        <v>782910.94</v>
      </c>
      <c r="U90" s="105">
        <f t="shared" si="130"/>
        <v>660294.06000000006</v>
      </c>
      <c r="V90" s="105">
        <f t="shared" si="131"/>
        <v>540033.41</v>
      </c>
      <c r="W90" s="61"/>
      <c r="X90" s="106">
        <v>1295066.49</v>
      </c>
      <c r="Y90" s="106">
        <v>1057704.68</v>
      </c>
      <c r="Z90" s="105">
        <f t="shared" si="142"/>
        <v>1350754.34907</v>
      </c>
      <c r="AA90" s="105">
        <f t="shared" si="143"/>
        <v>1103185.9812399999</v>
      </c>
      <c r="AB90" s="105">
        <f t="shared" si="144"/>
        <v>1450474.4688000001</v>
      </c>
      <c r="AC90" s="105">
        <f t="shared" si="145"/>
        <v>1184629.2416000001</v>
      </c>
      <c r="AD90" s="107">
        <v>926116.48</v>
      </c>
      <c r="AE90" s="107">
        <v>782910.94</v>
      </c>
      <c r="AF90" s="105">
        <f t="shared" si="146"/>
        <v>965939.48863999988</v>
      </c>
      <c r="AG90" s="105">
        <f t="shared" si="147"/>
        <v>816576.11041999992</v>
      </c>
      <c r="AH90" s="105">
        <f t="shared" si="148"/>
        <v>1037250.4576000001</v>
      </c>
      <c r="AI90" s="105">
        <f t="shared" si="149"/>
        <v>876860.25280000002</v>
      </c>
      <c r="AJ90" s="106">
        <v>660294.06000000006</v>
      </c>
      <c r="AK90" s="106">
        <v>540033.41</v>
      </c>
      <c r="AL90" s="105">
        <f t="shared" si="150"/>
        <v>688686.70458000002</v>
      </c>
      <c r="AM90" s="105">
        <f t="shared" si="151"/>
        <v>563254.84663000004</v>
      </c>
      <c r="AN90" s="105">
        <f t="shared" si="152"/>
        <v>739529.34720000008</v>
      </c>
      <c r="AO90" s="105">
        <f t="shared" si="153"/>
        <v>604837.41920000012</v>
      </c>
      <c r="AP90" s="61"/>
      <c r="AQ90" s="108">
        <v>87</v>
      </c>
      <c r="AR90" s="109">
        <f ca="1">+RESUMEN!F90</f>
        <v>0</v>
      </c>
      <c r="AS90" s="109">
        <f ca="1">+RESUMEN!G90</f>
        <v>0</v>
      </c>
      <c r="AT90" s="110">
        <f t="shared" ca="1" si="132"/>
        <v>0</v>
      </c>
      <c r="AU90" s="111">
        <f t="shared" si="154"/>
        <v>0</v>
      </c>
      <c r="AV90" s="111">
        <f t="shared" si="155"/>
        <v>0</v>
      </c>
      <c r="AW90" s="111">
        <f t="shared" si="156"/>
        <v>0</v>
      </c>
      <c r="AX90" s="111">
        <f t="shared" si="157"/>
        <v>0</v>
      </c>
      <c r="AY90" s="111">
        <f t="shared" ca="1" si="158"/>
        <v>0</v>
      </c>
      <c r="AZ90" s="110"/>
      <c r="BA90" s="111">
        <f t="shared" ca="1" si="115"/>
        <v>0</v>
      </c>
      <c r="BB90" s="111">
        <f t="shared" ca="1" si="116"/>
        <v>0</v>
      </c>
      <c r="BC90" s="112"/>
      <c r="BD90" s="113">
        <f t="shared" ca="1" si="159"/>
        <v>0</v>
      </c>
      <c r="BE90" s="113">
        <f t="shared" ca="1" si="102"/>
        <v>0</v>
      </c>
      <c r="BF90" s="114" t="str">
        <f t="shared" ca="1" si="133"/>
        <v/>
      </c>
      <c r="BG90" s="61"/>
      <c r="BH90" s="64">
        <f t="shared" ca="1" si="117"/>
        <v>0</v>
      </c>
      <c r="BI90" s="64">
        <f t="shared" ca="1" si="118"/>
        <v>0</v>
      </c>
      <c r="BJ90" s="112"/>
      <c r="BK90" s="115">
        <f t="shared" ca="1" si="160"/>
        <v>0</v>
      </c>
      <c r="BL90" s="115">
        <f t="shared" ca="1" si="104"/>
        <v>0</v>
      </c>
      <c r="BM90" s="116" t="str">
        <f t="shared" ca="1" si="134"/>
        <v/>
      </c>
      <c r="BN90" s="61"/>
      <c r="BO90" s="117">
        <f t="shared" ca="1" si="119"/>
        <v>0</v>
      </c>
      <c r="BP90" s="117">
        <f t="shared" ca="1" si="120"/>
        <v>0</v>
      </c>
      <c r="BQ90" s="112"/>
      <c r="BR90" s="118">
        <f t="shared" ca="1" si="161"/>
        <v>0</v>
      </c>
      <c r="BS90" s="118">
        <f t="shared" ca="1" si="103"/>
        <v>0</v>
      </c>
      <c r="BT90" s="119" t="str">
        <f t="shared" ca="1" si="135"/>
        <v/>
      </c>
      <c r="BU90" s="61"/>
      <c r="BV90" s="120">
        <f t="shared" ca="1" si="136"/>
        <v>0</v>
      </c>
      <c r="BW90" s="120">
        <f t="shared" ca="1" si="137"/>
        <v>0</v>
      </c>
      <c r="BX90" s="112"/>
      <c r="BY90" s="121">
        <f t="shared" ca="1" si="162"/>
        <v>0</v>
      </c>
      <c r="BZ90" s="121">
        <f t="shared" ca="1" si="105"/>
        <v>0</v>
      </c>
      <c r="CA90" s="122" t="str">
        <f t="shared" ca="1" si="138"/>
        <v/>
      </c>
      <c r="CB90" s="61"/>
      <c r="CC90" s="123">
        <f t="shared" ca="1" si="163"/>
        <v>0</v>
      </c>
      <c r="CD90" s="123">
        <f t="shared" ca="1" si="164"/>
        <v>0</v>
      </c>
      <c r="CE90" s="112"/>
      <c r="CF90" s="124">
        <f t="shared" ca="1" si="165"/>
        <v>0</v>
      </c>
      <c r="CG90" s="124">
        <f t="shared" ca="1" si="106"/>
        <v>0</v>
      </c>
      <c r="CH90" s="125" t="str">
        <f t="shared" ca="1" si="139"/>
        <v/>
      </c>
      <c r="CI90" s="61"/>
      <c r="CJ90" s="487">
        <f t="shared" ca="1" si="113"/>
        <v>0</v>
      </c>
      <c r="CK90" s="487">
        <f t="shared" ca="1" si="114"/>
        <v>0</v>
      </c>
      <c r="CL90" s="112"/>
      <c r="CM90" s="127">
        <f t="shared" ca="1" si="166"/>
        <v>0</v>
      </c>
      <c r="CN90" s="127">
        <f t="shared" ca="1" si="107"/>
        <v>0</v>
      </c>
      <c r="CO90" s="128" t="str">
        <f t="shared" ca="1" si="140"/>
        <v/>
      </c>
      <c r="CP90" s="61"/>
      <c r="CQ90" s="108">
        <v>87</v>
      </c>
      <c r="CR90" s="273">
        <v>0.12</v>
      </c>
      <c r="CS90" s="61">
        <f t="shared" si="167"/>
        <v>0</v>
      </c>
      <c r="CT90" s="278">
        <f t="shared" si="168"/>
        <v>0.12</v>
      </c>
      <c r="CU90" s="61">
        <f t="shared" si="169"/>
        <v>1</v>
      </c>
      <c r="CV90" s="287">
        <f t="shared" si="125"/>
        <v>1</v>
      </c>
      <c r="CW90" s="309">
        <f t="shared" si="121"/>
        <v>128.58000000000001</v>
      </c>
      <c r="CX90" s="309">
        <f t="shared" si="122"/>
        <v>63.07</v>
      </c>
      <c r="CY90" s="300">
        <f t="shared" si="123"/>
        <v>255.3</v>
      </c>
      <c r="CZ90" s="309">
        <f t="shared" si="124"/>
        <v>141.72999999999999</v>
      </c>
      <c r="DA90"/>
      <c r="DC90" s="544">
        <v>485.96999999999997</v>
      </c>
    </row>
    <row r="91" spans="1:107">
      <c r="A91" s="146">
        <v>55</v>
      </c>
      <c r="B91" s="141">
        <f ca="1">RESUMEN!J58</f>
        <v>0</v>
      </c>
      <c r="C91" s="141">
        <f ca="1">+RESUMEN!K58</f>
        <v>0</v>
      </c>
      <c r="D91" s="142">
        <f t="shared" ca="1" si="141"/>
        <v>0</v>
      </c>
      <c r="E91" s="60"/>
      <c r="F91" s="60"/>
      <c r="G91" s="60"/>
      <c r="H91" s="133"/>
      <c r="I91" s="288"/>
      <c r="J91" s="132">
        <v>88</v>
      </c>
      <c r="K91" s="36">
        <v>354297.7</v>
      </c>
      <c r="L91" s="36">
        <v>250917.85</v>
      </c>
      <c r="M91" s="36">
        <v>314494.49</v>
      </c>
      <c r="N91" s="36">
        <v>222728.74</v>
      </c>
      <c r="O91" s="36">
        <v>278458.65999999997</v>
      </c>
      <c r="P91" s="36">
        <v>197207.74</v>
      </c>
      <c r="Q91" s="105">
        <f t="shared" si="126"/>
        <v>1295066.49</v>
      </c>
      <c r="R91" s="105">
        <f t="shared" si="127"/>
        <v>1057704.68</v>
      </c>
      <c r="S91" s="105">
        <f t="shared" si="128"/>
        <v>926116.48</v>
      </c>
      <c r="T91" s="105">
        <f t="shared" si="129"/>
        <v>782910.94</v>
      </c>
      <c r="U91" s="105">
        <f t="shared" si="130"/>
        <v>660294.06000000006</v>
      </c>
      <c r="V91" s="105">
        <f t="shared" si="131"/>
        <v>540033.41</v>
      </c>
      <c r="W91" s="61"/>
      <c r="X91" s="106">
        <v>1295066.49</v>
      </c>
      <c r="Y91" s="106">
        <v>1057704.68</v>
      </c>
      <c r="Z91" s="105">
        <f t="shared" si="142"/>
        <v>1350754.34907</v>
      </c>
      <c r="AA91" s="105">
        <f t="shared" si="143"/>
        <v>1103185.9812399999</v>
      </c>
      <c r="AB91" s="105">
        <f t="shared" si="144"/>
        <v>1450474.4688000001</v>
      </c>
      <c r="AC91" s="105">
        <f t="shared" si="145"/>
        <v>1184629.2416000001</v>
      </c>
      <c r="AD91" s="107">
        <v>926116.48</v>
      </c>
      <c r="AE91" s="107">
        <v>782910.94</v>
      </c>
      <c r="AF91" s="105">
        <f t="shared" si="146"/>
        <v>965939.48863999988</v>
      </c>
      <c r="AG91" s="105">
        <f t="shared" si="147"/>
        <v>816576.11041999992</v>
      </c>
      <c r="AH91" s="105">
        <f t="shared" si="148"/>
        <v>1037250.4576000001</v>
      </c>
      <c r="AI91" s="105">
        <f t="shared" si="149"/>
        <v>876860.25280000002</v>
      </c>
      <c r="AJ91" s="106">
        <v>660294.06000000006</v>
      </c>
      <c r="AK91" s="106">
        <v>540033.41</v>
      </c>
      <c r="AL91" s="105">
        <f t="shared" si="150"/>
        <v>688686.70458000002</v>
      </c>
      <c r="AM91" s="105">
        <f t="shared" si="151"/>
        <v>563254.84663000004</v>
      </c>
      <c r="AN91" s="105">
        <f t="shared" si="152"/>
        <v>739529.34720000008</v>
      </c>
      <c r="AO91" s="105">
        <f t="shared" si="153"/>
        <v>604837.41920000012</v>
      </c>
      <c r="AP91" s="61"/>
      <c r="AQ91" s="108">
        <v>88</v>
      </c>
      <c r="AR91" s="109">
        <f ca="1">+RESUMEN!F91</f>
        <v>0</v>
      </c>
      <c r="AS91" s="109">
        <f ca="1">+RESUMEN!G91</f>
        <v>0</v>
      </c>
      <c r="AT91" s="110">
        <f t="shared" ca="1" si="132"/>
        <v>0</v>
      </c>
      <c r="AU91" s="111">
        <f t="shared" si="154"/>
        <v>0</v>
      </c>
      <c r="AV91" s="111">
        <f t="shared" si="155"/>
        <v>0</v>
      </c>
      <c r="AW91" s="111">
        <f t="shared" si="156"/>
        <v>0</v>
      </c>
      <c r="AX91" s="111">
        <f t="shared" si="157"/>
        <v>0</v>
      </c>
      <c r="AY91" s="111">
        <f t="shared" ca="1" si="158"/>
        <v>0</v>
      </c>
      <c r="AZ91" s="110"/>
      <c r="BA91" s="111">
        <f t="shared" ca="1" si="115"/>
        <v>0</v>
      </c>
      <c r="BB91" s="111">
        <f t="shared" ca="1" si="116"/>
        <v>0</v>
      </c>
      <c r="BC91" s="112"/>
      <c r="BD91" s="113">
        <f t="shared" ca="1" si="159"/>
        <v>0</v>
      </c>
      <c r="BE91" s="113">
        <f t="shared" ca="1" si="102"/>
        <v>0</v>
      </c>
      <c r="BF91" s="114" t="str">
        <f t="shared" ca="1" si="133"/>
        <v/>
      </c>
      <c r="BG91" s="61"/>
      <c r="BH91" s="64">
        <f t="shared" ca="1" si="117"/>
        <v>0</v>
      </c>
      <c r="BI91" s="64">
        <f t="shared" ca="1" si="118"/>
        <v>0</v>
      </c>
      <c r="BJ91" s="112"/>
      <c r="BK91" s="115">
        <f t="shared" ca="1" si="160"/>
        <v>0</v>
      </c>
      <c r="BL91" s="115">
        <f t="shared" ca="1" si="104"/>
        <v>0</v>
      </c>
      <c r="BM91" s="116" t="str">
        <f t="shared" ca="1" si="134"/>
        <v/>
      </c>
      <c r="BN91" s="61"/>
      <c r="BO91" s="117">
        <f t="shared" ca="1" si="119"/>
        <v>0</v>
      </c>
      <c r="BP91" s="117">
        <f t="shared" ca="1" si="120"/>
        <v>0</v>
      </c>
      <c r="BQ91" s="112"/>
      <c r="BR91" s="118">
        <f t="shared" ca="1" si="161"/>
        <v>0</v>
      </c>
      <c r="BS91" s="118">
        <f t="shared" ca="1" si="103"/>
        <v>0</v>
      </c>
      <c r="BT91" s="119" t="str">
        <f t="shared" ca="1" si="135"/>
        <v/>
      </c>
      <c r="BU91" s="61"/>
      <c r="BV91" s="120">
        <f t="shared" ca="1" si="136"/>
        <v>0</v>
      </c>
      <c r="BW91" s="120">
        <f t="shared" ca="1" si="137"/>
        <v>0</v>
      </c>
      <c r="BX91" s="112"/>
      <c r="BY91" s="121">
        <f t="shared" ca="1" si="162"/>
        <v>0</v>
      </c>
      <c r="BZ91" s="121">
        <f t="shared" ca="1" si="105"/>
        <v>0</v>
      </c>
      <c r="CA91" s="122" t="str">
        <f t="shared" ca="1" si="138"/>
        <v/>
      </c>
      <c r="CB91" s="61"/>
      <c r="CC91" s="123">
        <f t="shared" ca="1" si="163"/>
        <v>0</v>
      </c>
      <c r="CD91" s="123">
        <f t="shared" ca="1" si="164"/>
        <v>0</v>
      </c>
      <c r="CE91" s="112"/>
      <c r="CF91" s="124">
        <f t="shared" ca="1" si="165"/>
        <v>0</v>
      </c>
      <c r="CG91" s="124">
        <f t="shared" ca="1" si="106"/>
        <v>0</v>
      </c>
      <c r="CH91" s="125" t="str">
        <f t="shared" ca="1" si="139"/>
        <v/>
      </c>
      <c r="CI91" s="61"/>
      <c r="CJ91" s="487">
        <f t="shared" ca="1" si="113"/>
        <v>0</v>
      </c>
      <c r="CK91" s="487">
        <f t="shared" ca="1" si="114"/>
        <v>0</v>
      </c>
      <c r="CL91" s="112"/>
      <c r="CM91" s="127">
        <f t="shared" ca="1" si="166"/>
        <v>0</v>
      </c>
      <c r="CN91" s="127">
        <f t="shared" ca="1" si="107"/>
        <v>0</v>
      </c>
      <c r="CO91" s="128" t="str">
        <f t="shared" ca="1" si="140"/>
        <v/>
      </c>
      <c r="CP91" s="61"/>
      <c r="CQ91" s="108">
        <v>88</v>
      </c>
      <c r="CR91" s="273">
        <v>0.12</v>
      </c>
      <c r="CS91" s="61">
        <f t="shared" si="167"/>
        <v>0</v>
      </c>
      <c r="CT91" s="278">
        <f t="shared" si="168"/>
        <v>0.12</v>
      </c>
      <c r="CU91" s="61">
        <f t="shared" si="169"/>
        <v>1</v>
      </c>
      <c r="CV91" s="287">
        <f t="shared" si="125"/>
        <v>1</v>
      </c>
      <c r="CW91" s="309">
        <f t="shared" si="121"/>
        <v>128.58000000000001</v>
      </c>
      <c r="CX91" s="309">
        <f t="shared" si="122"/>
        <v>63.07</v>
      </c>
      <c r="CY91" s="300">
        <f t="shared" si="123"/>
        <v>255.3</v>
      </c>
      <c r="CZ91" s="309">
        <f t="shared" si="124"/>
        <v>141.72999999999999</v>
      </c>
      <c r="DA91"/>
      <c r="DC91" s="544">
        <v>485.96999999999997</v>
      </c>
    </row>
    <row r="92" spans="1:107">
      <c r="A92" s="146">
        <v>56</v>
      </c>
      <c r="B92" s="141">
        <f ca="1">RESUMEN!J59</f>
        <v>0</v>
      </c>
      <c r="C92" s="141">
        <f ca="1">+RESUMEN!K59</f>
        <v>0</v>
      </c>
      <c r="D92" s="142">
        <f t="shared" ca="1" si="141"/>
        <v>0</v>
      </c>
      <c r="E92" s="60"/>
      <c r="F92" s="60"/>
      <c r="G92" s="60"/>
      <c r="H92" s="133"/>
      <c r="I92" s="288"/>
      <c r="J92" s="132">
        <v>89</v>
      </c>
      <c r="K92" s="36">
        <v>354297.7</v>
      </c>
      <c r="L92" s="36">
        <v>250917.85</v>
      </c>
      <c r="M92" s="36">
        <v>314494.49</v>
      </c>
      <c r="N92" s="36">
        <v>222728.74</v>
      </c>
      <c r="O92" s="36">
        <v>278458.65999999997</v>
      </c>
      <c r="P92" s="36">
        <v>197207.74</v>
      </c>
      <c r="Q92" s="105">
        <f t="shared" si="126"/>
        <v>1295066.49</v>
      </c>
      <c r="R92" s="105">
        <f t="shared" si="127"/>
        <v>1057704.68</v>
      </c>
      <c r="S92" s="105">
        <f t="shared" si="128"/>
        <v>926116.48</v>
      </c>
      <c r="T92" s="105">
        <f t="shared" si="129"/>
        <v>782910.94</v>
      </c>
      <c r="U92" s="105">
        <f t="shared" si="130"/>
        <v>660294.06000000006</v>
      </c>
      <c r="V92" s="105">
        <f t="shared" si="131"/>
        <v>540033.41</v>
      </c>
      <c r="W92" s="61"/>
      <c r="X92" s="106">
        <v>1295066.49</v>
      </c>
      <c r="Y92" s="106">
        <v>1057704.68</v>
      </c>
      <c r="Z92" s="105">
        <f t="shared" si="142"/>
        <v>1350754.34907</v>
      </c>
      <c r="AA92" s="105">
        <f t="shared" si="143"/>
        <v>1103185.9812399999</v>
      </c>
      <c r="AB92" s="105">
        <f t="shared" si="144"/>
        <v>1450474.4688000001</v>
      </c>
      <c r="AC92" s="105">
        <f t="shared" si="145"/>
        <v>1184629.2416000001</v>
      </c>
      <c r="AD92" s="107">
        <v>926116.48</v>
      </c>
      <c r="AE92" s="107">
        <v>782910.94</v>
      </c>
      <c r="AF92" s="105">
        <f t="shared" si="146"/>
        <v>965939.48863999988</v>
      </c>
      <c r="AG92" s="105">
        <f t="shared" si="147"/>
        <v>816576.11041999992</v>
      </c>
      <c r="AH92" s="105">
        <f t="shared" si="148"/>
        <v>1037250.4576000001</v>
      </c>
      <c r="AI92" s="105">
        <f t="shared" si="149"/>
        <v>876860.25280000002</v>
      </c>
      <c r="AJ92" s="106">
        <v>660294.06000000006</v>
      </c>
      <c r="AK92" s="106">
        <v>540033.41</v>
      </c>
      <c r="AL92" s="105">
        <f t="shared" si="150"/>
        <v>688686.70458000002</v>
      </c>
      <c r="AM92" s="105">
        <f t="shared" si="151"/>
        <v>563254.84663000004</v>
      </c>
      <c r="AN92" s="105">
        <f t="shared" si="152"/>
        <v>739529.34720000008</v>
      </c>
      <c r="AO92" s="105">
        <f t="shared" si="153"/>
        <v>604837.41920000012</v>
      </c>
      <c r="AP92" s="61"/>
      <c r="AQ92" s="108">
        <v>89</v>
      </c>
      <c r="AR92" s="109">
        <f ca="1">+RESUMEN!F92</f>
        <v>0</v>
      </c>
      <c r="AS92" s="109">
        <f ca="1">+RESUMEN!G92</f>
        <v>0</v>
      </c>
      <c r="AT92" s="110">
        <f t="shared" ca="1" si="132"/>
        <v>0</v>
      </c>
      <c r="AU92" s="111">
        <f t="shared" si="154"/>
        <v>0</v>
      </c>
      <c r="AV92" s="111">
        <f t="shared" si="155"/>
        <v>0</v>
      </c>
      <c r="AW92" s="111">
        <f t="shared" si="156"/>
        <v>0</v>
      </c>
      <c r="AX92" s="111">
        <f t="shared" si="157"/>
        <v>0</v>
      </c>
      <c r="AY92" s="111">
        <f t="shared" ca="1" si="158"/>
        <v>0</v>
      </c>
      <c r="AZ92" s="110"/>
      <c r="BA92" s="111">
        <f t="shared" ca="1" si="115"/>
        <v>0</v>
      </c>
      <c r="BB92" s="111">
        <f t="shared" ca="1" si="116"/>
        <v>0</v>
      </c>
      <c r="BC92" s="112"/>
      <c r="BD92" s="113">
        <f t="shared" ca="1" si="159"/>
        <v>0</v>
      </c>
      <c r="BE92" s="113">
        <f t="shared" ca="1" si="102"/>
        <v>0</v>
      </c>
      <c r="BF92" s="114" t="str">
        <f t="shared" ca="1" si="133"/>
        <v/>
      </c>
      <c r="BG92" s="61"/>
      <c r="BH92" s="64">
        <f t="shared" ca="1" si="117"/>
        <v>0</v>
      </c>
      <c r="BI92" s="64">
        <f t="shared" ca="1" si="118"/>
        <v>0</v>
      </c>
      <c r="BJ92" s="112"/>
      <c r="BK92" s="115">
        <f t="shared" ca="1" si="160"/>
        <v>0</v>
      </c>
      <c r="BL92" s="115">
        <f t="shared" ca="1" si="104"/>
        <v>0</v>
      </c>
      <c r="BM92" s="116" t="str">
        <f t="shared" ca="1" si="134"/>
        <v/>
      </c>
      <c r="BN92" s="61"/>
      <c r="BO92" s="117">
        <f t="shared" ca="1" si="119"/>
        <v>0</v>
      </c>
      <c r="BP92" s="117">
        <f t="shared" ca="1" si="120"/>
        <v>0</v>
      </c>
      <c r="BQ92" s="112"/>
      <c r="BR92" s="118">
        <f t="shared" ca="1" si="161"/>
        <v>0</v>
      </c>
      <c r="BS92" s="118">
        <f t="shared" ca="1" si="103"/>
        <v>0</v>
      </c>
      <c r="BT92" s="119" t="str">
        <f t="shared" ca="1" si="135"/>
        <v/>
      </c>
      <c r="BU92" s="61"/>
      <c r="BV92" s="120">
        <f t="shared" ca="1" si="136"/>
        <v>0</v>
      </c>
      <c r="BW92" s="120">
        <f t="shared" ca="1" si="137"/>
        <v>0</v>
      </c>
      <c r="BX92" s="112"/>
      <c r="BY92" s="121">
        <f t="shared" ca="1" si="162"/>
        <v>0</v>
      </c>
      <c r="BZ92" s="121">
        <f t="shared" ca="1" si="105"/>
        <v>0</v>
      </c>
      <c r="CA92" s="122" t="str">
        <f t="shared" ca="1" si="138"/>
        <v/>
      </c>
      <c r="CB92" s="61"/>
      <c r="CC92" s="123">
        <f t="shared" ca="1" si="163"/>
        <v>0</v>
      </c>
      <c r="CD92" s="123">
        <f t="shared" ca="1" si="164"/>
        <v>0</v>
      </c>
      <c r="CE92" s="112"/>
      <c r="CF92" s="124">
        <f t="shared" ca="1" si="165"/>
        <v>0</v>
      </c>
      <c r="CG92" s="124">
        <f t="shared" ca="1" si="106"/>
        <v>0</v>
      </c>
      <c r="CH92" s="125" t="str">
        <f t="shared" ca="1" si="139"/>
        <v/>
      </c>
      <c r="CI92" s="61"/>
      <c r="CJ92" s="487">
        <f t="shared" ca="1" si="113"/>
        <v>0</v>
      </c>
      <c r="CK92" s="487">
        <f t="shared" ca="1" si="114"/>
        <v>0</v>
      </c>
      <c r="CL92" s="112"/>
      <c r="CM92" s="127">
        <f t="shared" ca="1" si="166"/>
        <v>0</v>
      </c>
      <c r="CN92" s="127">
        <f t="shared" ca="1" si="107"/>
        <v>0</v>
      </c>
      <c r="CO92" s="128" t="str">
        <f t="shared" ca="1" si="140"/>
        <v/>
      </c>
      <c r="CP92" s="61"/>
      <c r="CQ92" s="108">
        <v>89</v>
      </c>
      <c r="CR92" s="273">
        <v>0.12</v>
      </c>
      <c r="CS92" s="61">
        <f t="shared" si="167"/>
        <v>0</v>
      </c>
      <c r="CT92" s="278">
        <f t="shared" si="168"/>
        <v>0.12</v>
      </c>
      <c r="CU92" s="61">
        <f t="shared" si="169"/>
        <v>1</v>
      </c>
      <c r="CV92" s="287">
        <f t="shared" si="125"/>
        <v>1</v>
      </c>
      <c r="CW92" s="309">
        <f t="shared" si="121"/>
        <v>128.58000000000001</v>
      </c>
      <c r="CX92" s="309">
        <f t="shared" si="122"/>
        <v>63.07</v>
      </c>
      <c r="CY92" s="300">
        <f t="shared" si="123"/>
        <v>255.3</v>
      </c>
      <c r="CZ92" s="309">
        <f t="shared" si="124"/>
        <v>141.72999999999999</v>
      </c>
      <c r="DA92"/>
      <c r="DC92" s="544">
        <v>485.96999999999997</v>
      </c>
    </row>
    <row r="93" spans="1:107">
      <c r="A93" s="146">
        <v>57</v>
      </c>
      <c r="B93" s="141">
        <f ca="1">RESUMEN!J60</f>
        <v>0</v>
      </c>
      <c r="C93" s="141">
        <f ca="1">+RESUMEN!K60</f>
        <v>0</v>
      </c>
      <c r="D93" s="142">
        <f t="shared" ca="1" si="141"/>
        <v>0</v>
      </c>
      <c r="E93" s="60"/>
      <c r="F93"/>
      <c r="G93" s="577" t="s">
        <v>418</v>
      </c>
      <c r="H93" s="578"/>
      <c r="I93" s="288"/>
      <c r="J93" s="132">
        <v>90</v>
      </c>
      <c r="K93" s="36">
        <v>354297.7</v>
      </c>
      <c r="L93" s="36">
        <v>250917.85</v>
      </c>
      <c r="M93" s="36">
        <v>314494.49</v>
      </c>
      <c r="N93" s="36">
        <v>222728.74</v>
      </c>
      <c r="O93" s="36">
        <v>278458.65999999997</v>
      </c>
      <c r="P93" s="36">
        <v>197207.74</v>
      </c>
      <c r="Q93" s="105">
        <f t="shared" si="126"/>
        <v>1295066.49</v>
      </c>
      <c r="R93" s="105">
        <f t="shared" si="127"/>
        <v>1057704.68</v>
      </c>
      <c r="S93" s="105">
        <f t="shared" si="128"/>
        <v>926116.48</v>
      </c>
      <c r="T93" s="105">
        <f t="shared" si="129"/>
        <v>782910.94</v>
      </c>
      <c r="U93" s="105">
        <f t="shared" si="130"/>
        <v>660294.06000000006</v>
      </c>
      <c r="V93" s="105">
        <f t="shared" si="131"/>
        <v>540033.41</v>
      </c>
      <c r="W93" s="61"/>
      <c r="X93" s="106">
        <v>1295066.49</v>
      </c>
      <c r="Y93" s="106">
        <v>1057704.68</v>
      </c>
      <c r="Z93" s="105">
        <f t="shared" si="142"/>
        <v>1350754.34907</v>
      </c>
      <c r="AA93" s="105">
        <f t="shared" si="143"/>
        <v>1103185.9812399999</v>
      </c>
      <c r="AB93" s="105">
        <f t="shared" si="144"/>
        <v>1450474.4688000001</v>
      </c>
      <c r="AC93" s="105">
        <f t="shared" si="145"/>
        <v>1184629.2416000001</v>
      </c>
      <c r="AD93" s="107">
        <v>926116.48</v>
      </c>
      <c r="AE93" s="107">
        <v>782910.94</v>
      </c>
      <c r="AF93" s="105">
        <f t="shared" si="146"/>
        <v>965939.48863999988</v>
      </c>
      <c r="AG93" s="105">
        <f t="shared" si="147"/>
        <v>816576.11041999992</v>
      </c>
      <c r="AH93" s="105">
        <f t="shared" si="148"/>
        <v>1037250.4576000001</v>
      </c>
      <c r="AI93" s="105">
        <f t="shared" si="149"/>
        <v>876860.25280000002</v>
      </c>
      <c r="AJ93" s="106">
        <v>660294.06000000006</v>
      </c>
      <c r="AK93" s="106">
        <v>540033.41</v>
      </c>
      <c r="AL93" s="105">
        <f t="shared" si="150"/>
        <v>688686.70458000002</v>
      </c>
      <c r="AM93" s="105">
        <f t="shared" si="151"/>
        <v>563254.84663000004</v>
      </c>
      <c r="AN93" s="105">
        <f t="shared" si="152"/>
        <v>739529.34720000008</v>
      </c>
      <c r="AO93" s="105">
        <f t="shared" si="153"/>
        <v>604837.41920000012</v>
      </c>
      <c r="AP93" s="61"/>
      <c r="AQ93" s="108">
        <v>90</v>
      </c>
      <c r="AR93" s="109">
        <f ca="1">+RESUMEN!F93</f>
        <v>0</v>
      </c>
      <c r="AS93" s="109">
        <f ca="1">+RESUMEN!G93</f>
        <v>0</v>
      </c>
      <c r="AT93" s="110">
        <f t="shared" ca="1" si="132"/>
        <v>0</v>
      </c>
      <c r="AU93" s="111">
        <f t="shared" si="154"/>
        <v>0</v>
      </c>
      <c r="AV93" s="111">
        <f t="shared" si="155"/>
        <v>0</v>
      </c>
      <c r="AW93" s="111">
        <f t="shared" si="156"/>
        <v>0</v>
      </c>
      <c r="AX93" s="111">
        <f t="shared" si="157"/>
        <v>0</v>
      </c>
      <c r="AY93" s="111">
        <f t="shared" ca="1" si="158"/>
        <v>0</v>
      </c>
      <c r="AZ93" s="110"/>
      <c r="BA93" s="111">
        <f t="shared" ca="1" si="115"/>
        <v>0</v>
      </c>
      <c r="BB93" s="111">
        <f t="shared" ca="1" si="116"/>
        <v>0</v>
      </c>
      <c r="BC93" s="112"/>
      <c r="BD93" s="113">
        <f t="shared" ca="1" si="159"/>
        <v>0</v>
      </c>
      <c r="BE93" s="113">
        <f t="shared" ca="1" si="102"/>
        <v>0</v>
      </c>
      <c r="BF93" s="114" t="str">
        <f t="shared" ca="1" si="133"/>
        <v/>
      </c>
      <c r="BG93" s="61"/>
      <c r="BH93" s="64">
        <f t="shared" ca="1" si="117"/>
        <v>0</v>
      </c>
      <c r="BI93" s="64">
        <f t="shared" ca="1" si="118"/>
        <v>0</v>
      </c>
      <c r="BJ93" s="112"/>
      <c r="BK93" s="115">
        <f t="shared" ca="1" si="160"/>
        <v>0</v>
      </c>
      <c r="BL93" s="115">
        <f t="shared" ca="1" si="104"/>
        <v>0</v>
      </c>
      <c r="BM93" s="116" t="str">
        <f t="shared" ca="1" si="134"/>
        <v/>
      </c>
      <c r="BN93" s="61"/>
      <c r="BO93" s="117">
        <f t="shared" ca="1" si="119"/>
        <v>0</v>
      </c>
      <c r="BP93" s="117">
        <f t="shared" ca="1" si="120"/>
        <v>0</v>
      </c>
      <c r="BQ93" s="112"/>
      <c r="BR93" s="118">
        <f t="shared" ca="1" si="161"/>
        <v>0</v>
      </c>
      <c r="BS93" s="118">
        <f t="shared" ca="1" si="103"/>
        <v>0</v>
      </c>
      <c r="BT93" s="119" t="str">
        <f t="shared" ca="1" si="135"/>
        <v/>
      </c>
      <c r="BU93" s="61"/>
      <c r="BV93" s="120">
        <f t="shared" ca="1" si="136"/>
        <v>0</v>
      </c>
      <c r="BW93" s="120">
        <f t="shared" ca="1" si="137"/>
        <v>0</v>
      </c>
      <c r="BX93" s="112"/>
      <c r="BY93" s="121">
        <f t="shared" ca="1" si="162"/>
        <v>0</v>
      </c>
      <c r="BZ93" s="121">
        <f t="shared" ca="1" si="105"/>
        <v>0</v>
      </c>
      <c r="CA93" s="122" t="str">
        <f t="shared" ca="1" si="138"/>
        <v/>
      </c>
      <c r="CB93" s="61"/>
      <c r="CC93" s="123">
        <f t="shared" ca="1" si="163"/>
        <v>0</v>
      </c>
      <c r="CD93" s="123">
        <f t="shared" ca="1" si="164"/>
        <v>0</v>
      </c>
      <c r="CE93" s="112"/>
      <c r="CF93" s="124">
        <f t="shared" ca="1" si="165"/>
        <v>0</v>
      </c>
      <c r="CG93" s="124">
        <f t="shared" ca="1" si="106"/>
        <v>0</v>
      </c>
      <c r="CH93" s="125" t="str">
        <f t="shared" ca="1" si="139"/>
        <v/>
      </c>
      <c r="CI93" s="61"/>
      <c r="CJ93" s="487">
        <f t="shared" ca="1" si="113"/>
        <v>0</v>
      </c>
      <c r="CK93" s="487">
        <f t="shared" ca="1" si="114"/>
        <v>0</v>
      </c>
      <c r="CL93" s="112"/>
      <c r="CM93" s="127">
        <f t="shared" ca="1" si="166"/>
        <v>0</v>
      </c>
      <c r="CN93" s="127">
        <f t="shared" ca="1" si="107"/>
        <v>0</v>
      </c>
      <c r="CO93" s="128" t="str">
        <f t="shared" ca="1" si="140"/>
        <v/>
      </c>
      <c r="CP93" s="61"/>
      <c r="CQ93" s="108">
        <v>90</v>
      </c>
      <c r="CR93" s="273">
        <v>0.12</v>
      </c>
      <c r="CS93" s="61">
        <f t="shared" si="167"/>
        <v>0</v>
      </c>
      <c r="CT93" s="278">
        <f t="shared" si="168"/>
        <v>0.12</v>
      </c>
      <c r="CU93" s="61">
        <f t="shared" si="169"/>
        <v>1</v>
      </c>
      <c r="CV93" s="287">
        <f t="shared" si="125"/>
        <v>1</v>
      </c>
      <c r="CW93" s="309">
        <f t="shared" si="121"/>
        <v>128.58000000000001</v>
      </c>
      <c r="CX93" s="309">
        <f t="shared" si="122"/>
        <v>63.07</v>
      </c>
      <c r="CY93" s="300">
        <f t="shared" si="123"/>
        <v>255.3</v>
      </c>
      <c r="CZ93" s="309">
        <f t="shared" si="124"/>
        <v>141.72999999999999</v>
      </c>
      <c r="DA93"/>
      <c r="DC93" s="544">
        <v>485.96999999999997</v>
      </c>
    </row>
    <row r="94" spans="1:107">
      <c r="A94" s="146">
        <v>58</v>
      </c>
      <c r="B94" s="141">
        <f ca="1">RESUMEN!J61</f>
        <v>0</v>
      </c>
      <c r="C94" s="141">
        <f ca="1">+RESUMEN!K61</f>
        <v>0</v>
      </c>
      <c r="D94" s="142">
        <f t="shared" ca="1" si="141"/>
        <v>0</v>
      </c>
      <c r="E94" s="60"/>
      <c r="F94" s="155"/>
      <c r="G94" s="312" t="s">
        <v>419</v>
      </c>
      <c r="H94" s="314" t="s">
        <v>251</v>
      </c>
      <c r="I94" s="288"/>
      <c r="J94" s="132">
        <v>91</v>
      </c>
      <c r="K94" s="36">
        <v>354297.7</v>
      </c>
      <c r="L94" s="36">
        <v>250917.85</v>
      </c>
      <c r="M94" s="36">
        <v>314494.49</v>
      </c>
      <c r="N94" s="36">
        <v>222728.74</v>
      </c>
      <c r="O94" s="36">
        <v>278458.65999999997</v>
      </c>
      <c r="P94" s="36">
        <v>197207.74</v>
      </c>
      <c r="Q94" s="105">
        <f t="shared" si="126"/>
        <v>1295066.49</v>
      </c>
      <c r="R94" s="105">
        <f t="shared" si="127"/>
        <v>1057704.68</v>
      </c>
      <c r="S94" s="105">
        <f t="shared" si="128"/>
        <v>926116.48</v>
      </c>
      <c r="T94" s="105">
        <f t="shared" si="129"/>
        <v>782910.94</v>
      </c>
      <c r="U94" s="105">
        <f t="shared" si="130"/>
        <v>660294.06000000006</v>
      </c>
      <c r="V94" s="105">
        <f t="shared" si="131"/>
        <v>540033.41</v>
      </c>
      <c r="W94" s="61"/>
      <c r="X94" s="106">
        <v>1295066.49</v>
      </c>
      <c r="Y94" s="106">
        <v>1057704.68</v>
      </c>
      <c r="Z94" s="105">
        <f t="shared" si="142"/>
        <v>1350754.34907</v>
      </c>
      <c r="AA94" s="105">
        <f t="shared" si="143"/>
        <v>1103185.9812399999</v>
      </c>
      <c r="AB94" s="105">
        <f t="shared" si="144"/>
        <v>1450474.4688000001</v>
      </c>
      <c r="AC94" s="105">
        <f t="shared" si="145"/>
        <v>1184629.2416000001</v>
      </c>
      <c r="AD94" s="107">
        <v>926116.48</v>
      </c>
      <c r="AE94" s="107">
        <v>782910.94</v>
      </c>
      <c r="AF94" s="105">
        <f t="shared" si="146"/>
        <v>965939.48863999988</v>
      </c>
      <c r="AG94" s="105">
        <f t="shared" si="147"/>
        <v>816576.11041999992</v>
      </c>
      <c r="AH94" s="105">
        <f t="shared" si="148"/>
        <v>1037250.4576000001</v>
      </c>
      <c r="AI94" s="105">
        <f t="shared" si="149"/>
        <v>876860.25280000002</v>
      </c>
      <c r="AJ94" s="106">
        <v>660294.06000000006</v>
      </c>
      <c r="AK94" s="106">
        <v>540033.41</v>
      </c>
      <c r="AL94" s="105">
        <f t="shared" si="150"/>
        <v>688686.70458000002</v>
      </c>
      <c r="AM94" s="105">
        <f t="shared" si="151"/>
        <v>563254.84663000004</v>
      </c>
      <c r="AN94" s="105">
        <f t="shared" si="152"/>
        <v>739529.34720000008</v>
      </c>
      <c r="AO94" s="105">
        <f t="shared" si="153"/>
        <v>604837.41920000012</v>
      </c>
      <c r="AP94" s="61"/>
      <c r="AQ94" s="108">
        <v>91</v>
      </c>
      <c r="AR94" s="109">
        <f ca="1">+RESUMEN!F94</f>
        <v>0</v>
      </c>
      <c r="AS94" s="109">
        <f ca="1">+RESUMEN!G94</f>
        <v>0</v>
      </c>
      <c r="AT94" s="110">
        <f t="shared" ca="1" si="132"/>
        <v>0</v>
      </c>
      <c r="AU94" s="111">
        <f t="shared" si="154"/>
        <v>0</v>
      </c>
      <c r="AV94" s="111">
        <f t="shared" si="155"/>
        <v>0</v>
      </c>
      <c r="AW94" s="111">
        <f t="shared" si="156"/>
        <v>0</v>
      </c>
      <c r="AX94" s="111">
        <f t="shared" si="157"/>
        <v>0</v>
      </c>
      <c r="AY94" s="111">
        <f t="shared" ca="1" si="158"/>
        <v>0</v>
      </c>
      <c r="AZ94" s="110"/>
      <c r="BA94" s="111">
        <f t="shared" ca="1" si="115"/>
        <v>0</v>
      </c>
      <c r="BB94" s="111">
        <f t="shared" ca="1" si="116"/>
        <v>0</v>
      </c>
      <c r="BC94" s="112"/>
      <c r="BD94" s="113">
        <f t="shared" ca="1" si="159"/>
        <v>0</v>
      </c>
      <c r="BE94" s="113">
        <f t="shared" ca="1" si="102"/>
        <v>0</v>
      </c>
      <c r="BF94" s="114" t="str">
        <f t="shared" ca="1" si="133"/>
        <v/>
      </c>
      <c r="BG94" s="61"/>
      <c r="BH94" s="64">
        <f t="shared" ca="1" si="117"/>
        <v>0</v>
      </c>
      <c r="BI94" s="64">
        <f t="shared" ca="1" si="118"/>
        <v>0</v>
      </c>
      <c r="BJ94" s="112"/>
      <c r="BK94" s="115">
        <f t="shared" ca="1" si="160"/>
        <v>0</v>
      </c>
      <c r="BL94" s="115">
        <f t="shared" ca="1" si="104"/>
        <v>0</v>
      </c>
      <c r="BM94" s="116" t="str">
        <f t="shared" ca="1" si="134"/>
        <v/>
      </c>
      <c r="BN94" s="61"/>
      <c r="BO94" s="117">
        <f t="shared" ca="1" si="119"/>
        <v>0</v>
      </c>
      <c r="BP94" s="117">
        <f t="shared" ca="1" si="120"/>
        <v>0</v>
      </c>
      <c r="BQ94" s="112"/>
      <c r="BR94" s="118">
        <f t="shared" ca="1" si="161"/>
        <v>0</v>
      </c>
      <c r="BS94" s="118">
        <f t="shared" ca="1" si="103"/>
        <v>0</v>
      </c>
      <c r="BT94" s="119" t="str">
        <f t="shared" ca="1" si="135"/>
        <v/>
      </c>
      <c r="BU94" s="61"/>
      <c r="BV94" s="120">
        <f t="shared" ca="1" si="136"/>
        <v>0</v>
      </c>
      <c r="BW94" s="120">
        <f t="shared" ca="1" si="137"/>
        <v>0</v>
      </c>
      <c r="BX94" s="112"/>
      <c r="BY94" s="121">
        <f t="shared" ca="1" si="162"/>
        <v>0</v>
      </c>
      <c r="BZ94" s="121">
        <f t="shared" ca="1" si="105"/>
        <v>0</v>
      </c>
      <c r="CA94" s="122" t="str">
        <f t="shared" ca="1" si="138"/>
        <v/>
      </c>
      <c r="CB94" s="61"/>
      <c r="CC94" s="123">
        <f t="shared" ca="1" si="163"/>
        <v>0</v>
      </c>
      <c r="CD94" s="123">
        <f t="shared" ca="1" si="164"/>
        <v>0</v>
      </c>
      <c r="CE94" s="112"/>
      <c r="CF94" s="124">
        <f t="shared" ca="1" si="165"/>
        <v>0</v>
      </c>
      <c r="CG94" s="124">
        <f t="shared" ca="1" si="106"/>
        <v>0</v>
      </c>
      <c r="CH94" s="125" t="str">
        <f t="shared" ca="1" si="139"/>
        <v/>
      </c>
      <c r="CI94" s="61"/>
      <c r="CJ94" s="487">
        <f t="shared" ca="1" si="113"/>
        <v>0</v>
      </c>
      <c r="CK94" s="487">
        <f t="shared" ca="1" si="114"/>
        <v>0</v>
      </c>
      <c r="CL94" s="112"/>
      <c r="CM94" s="127">
        <f t="shared" ca="1" si="166"/>
        <v>0</v>
      </c>
      <c r="CN94" s="127">
        <f t="shared" ca="1" si="107"/>
        <v>0</v>
      </c>
      <c r="CO94" s="128" t="str">
        <f t="shared" ca="1" si="140"/>
        <v/>
      </c>
      <c r="CP94" s="61"/>
      <c r="CQ94" s="108">
        <v>91</v>
      </c>
      <c r="CR94" s="273">
        <v>0.12</v>
      </c>
      <c r="CS94" s="61">
        <f t="shared" si="167"/>
        <v>0</v>
      </c>
      <c r="CT94" s="278">
        <f t="shared" si="168"/>
        <v>0.12</v>
      </c>
      <c r="CU94" s="61">
        <f t="shared" si="169"/>
        <v>1</v>
      </c>
      <c r="CV94" s="287">
        <f t="shared" si="125"/>
        <v>1</v>
      </c>
      <c r="CW94" s="309">
        <f t="shared" si="121"/>
        <v>128.58000000000001</v>
      </c>
      <c r="CX94" s="309">
        <f t="shared" si="122"/>
        <v>63.07</v>
      </c>
      <c r="CY94" s="300">
        <f t="shared" si="123"/>
        <v>255.3</v>
      </c>
      <c r="CZ94" s="309">
        <f t="shared" si="124"/>
        <v>141.72999999999999</v>
      </c>
      <c r="DA94"/>
      <c r="DC94" s="544">
        <v>485.96999999999997</v>
      </c>
    </row>
    <row r="95" spans="1:107">
      <c r="A95" s="146">
        <v>59</v>
      </c>
      <c r="B95" s="141">
        <f ca="1">RESUMEN!J62</f>
        <v>0</v>
      </c>
      <c r="C95" s="141">
        <f ca="1">+RESUMEN!K62</f>
        <v>0</v>
      </c>
      <c r="D95" s="142">
        <f t="shared" ca="1" si="141"/>
        <v>0</v>
      </c>
      <c r="E95" s="60"/>
      <c r="F95" s="61">
        <v>1</v>
      </c>
      <c r="G95" s="317" t="s">
        <v>424</v>
      </c>
      <c r="H95" s="315">
        <v>1</v>
      </c>
      <c r="I95" s="288"/>
      <c r="J95" s="132">
        <v>92</v>
      </c>
      <c r="K95" s="36">
        <v>354297.7</v>
      </c>
      <c r="L95" s="36">
        <v>250917.85</v>
      </c>
      <c r="M95" s="36">
        <v>314494.49</v>
      </c>
      <c r="N95" s="36">
        <v>222728.74</v>
      </c>
      <c r="O95" s="36">
        <v>278458.65999999997</v>
      </c>
      <c r="P95" s="36">
        <v>197207.74</v>
      </c>
      <c r="Q95" s="105">
        <f t="shared" si="126"/>
        <v>1295066.49</v>
      </c>
      <c r="R95" s="105">
        <f t="shared" si="127"/>
        <v>1057704.68</v>
      </c>
      <c r="S95" s="105">
        <f t="shared" si="128"/>
        <v>926116.48</v>
      </c>
      <c r="T95" s="105">
        <f t="shared" si="129"/>
        <v>782910.94</v>
      </c>
      <c r="U95" s="105">
        <f t="shared" si="130"/>
        <v>660294.06000000006</v>
      </c>
      <c r="V95" s="105">
        <f t="shared" si="131"/>
        <v>540033.41</v>
      </c>
      <c r="W95" s="61"/>
      <c r="X95" s="106">
        <v>1295066.49</v>
      </c>
      <c r="Y95" s="106">
        <v>1057704.68</v>
      </c>
      <c r="Z95" s="105">
        <f t="shared" si="142"/>
        <v>1350754.34907</v>
      </c>
      <c r="AA95" s="105">
        <f t="shared" si="143"/>
        <v>1103185.9812399999</v>
      </c>
      <c r="AB95" s="105">
        <f t="shared" si="144"/>
        <v>1450474.4688000001</v>
      </c>
      <c r="AC95" s="105">
        <f t="shared" si="145"/>
        <v>1184629.2416000001</v>
      </c>
      <c r="AD95" s="107">
        <v>926116.48</v>
      </c>
      <c r="AE95" s="107">
        <v>782910.94</v>
      </c>
      <c r="AF95" s="105">
        <f t="shared" si="146"/>
        <v>965939.48863999988</v>
      </c>
      <c r="AG95" s="105">
        <f t="shared" si="147"/>
        <v>816576.11041999992</v>
      </c>
      <c r="AH95" s="105">
        <f t="shared" si="148"/>
        <v>1037250.4576000001</v>
      </c>
      <c r="AI95" s="105">
        <f t="shared" si="149"/>
        <v>876860.25280000002</v>
      </c>
      <c r="AJ95" s="106">
        <v>660294.06000000006</v>
      </c>
      <c r="AK95" s="106">
        <v>540033.41</v>
      </c>
      <c r="AL95" s="105">
        <f t="shared" si="150"/>
        <v>688686.70458000002</v>
      </c>
      <c r="AM95" s="105">
        <f t="shared" si="151"/>
        <v>563254.84663000004</v>
      </c>
      <c r="AN95" s="105">
        <f t="shared" si="152"/>
        <v>739529.34720000008</v>
      </c>
      <c r="AO95" s="105">
        <f t="shared" si="153"/>
        <v>604837.41920000012</v>
      </c>
      <c r="AP95" s="61"/>
      <c r="AQ95" s="108">
        <v>92</v>
      </c>
      <c r="AR95" s="109">
        <f ca="1">+RESUMEN!F95</f>
        <v>0</v>
      </c>
      <c r="AS95" s="109">
        <f ca="1">+RESUMEN!G95</f>
        <v>0</v>
      </c>
      <c r="AT95" s="110">
        <f t="shared" ca="1" si="132"/>
        <v>0</v>
      </c>
      <c r="AU95" s="111">
        <f t="shared" si="154"/>
        <v>0</v>
      </c>
      <c r="AV95" s="111">
        <f t="shared" si="155"/>
        <v>0</v>
      </c>
      <c r="AW95" s="111">
        <f t="shared" si="156"/>
        <v>0</v>
      </c>
      <c r="AX95" s="111">
        <f t="shared" si="157"/>
        <v>0</v>
      </c>
      <c r="AY95" s="111">
        <f t="shared" ca="1" si="158"/>
        <v>0</v>
      </c>
      <c r="AZ95" s="110"/>
      <c r="BA95" s="111">
        <f t="shared" ca="1" si="115"/>
        <v>0</v>
      </c>
      <c r="BB95" s="111">
        <f t="shared" ca="1" si="116"/>
        <v>0</v>
      </c>
      <c r="BC95" s="112"/>
      <c r="BD95" s="113">
        <f t="shared" ca="1" si="159"/>
        <v>0</v>
      </c>
      <c r="BE95" s="113">
        <f t="shared" ca="1" si="102"/>
        <v>0</v>
      </c>
      <c r="BF95" s="114" t="str">
        <f t="shared" ca="1" si="133"/>
        <v/>
      </c>
      <c r="BG95" s="61"/>
      <c r="BH95" s="64">
        <f t="shared" ca="1" si="117"/>
        <v>0</v>
      </c>
      <c r="BI95" s="64">
        <f t="shared" ca="1" si="118"/>
        <v>0</v>
      </c>
      <c r="BJ95" s="112"/>
      <c r="BK95" s="115">
        <f t="shared" ca="1" si="160"/>
        <v>0</v>
      </c>
      <c r="BL95" s="115">
        <f t="shared" ca="1" si="104"/>
        <v>0</v>
      </c>
      <c r="BM95" s="116" t="str">
        <f t="shared" ca="1" si="134"/>
        <v/>
      </c>
      <c r="BN95" s="61"/>
      <c r="BO95" s="117">
        <f t="shared" ca="1" si="119"/>
        <v>0</v>
      </c>
      <c r="BP95" s="117">
        <f t="shared" ca="1" si="120"/>
        <v>0</v>
      </c>
      <c r="BQ95" s="112"/>
      <c r="BR95" s="118">
        <f t="shared" ca="1" si="161"/>
        <v>0</v>
      </c>
      <c r="BS95" s="118">
        <f t="shared" ca="1" si="103"/>
        <v>0</v>
      </c>
      <c r="BT95" s="119" t="str">
        <f t="shared" ca="1" si="135"/>
        <v/>
      </c>
      <c r="BU95" s="61"/>
      <c r="BV95" s="120">
        <f t="shared" ca="1" si="136"/>
        <v>0</v>
      </c>
      <c r="BW95" s="120">
        <f t="shared" ca="1" si="137"/>
        <v>0</v>
      </c>
      <c r="BX95" s="112"/>
      <c r="BY95" s="121">
        <f t="shared" ca="1" si="162"/>
        <v>0</v>
      </c>
      <c r="BZ95" s="121">
        <f t="shared" ca="1" si="105"/>
        <v>0</v>
      </c>
      <c r="CA95" s="122" t="str">
        <f t="shared" ca="1" si="138"/>
        <v/>
      </c>
      <c r="CB95" s="61"/>
      <c r="CC95" s="123">
        <f t="shared" ca="1" si="163"/>
        <v>0</v>
      </c>
      <c r="CD95" s="123">
        <f t="shared" ca="1" si="164"/>
        <v>0</v>
      </c>
      <c r="CE95" s="112"/>
      <c r="CF95" s="124">
        <f t="shared" ca="1" si="165"/>
        <v>0</v>
      </c>
      <c r="CG95" s="124">
        <f t="shared" ca="1" si="106"/>
        <v>0</v>
      </c>
      <c r="CH95" s="125" t="str">
        <f t="shared" ca="1" si="139"/>
        <v/>
      </c>
      <c r="CI95" s="61"/>
      <c r="CJ95" s="487">
        <f t="shared" ca="1" si="113"/>
        <v>0</v>
      </c>
      <c r="CK95" s="487">
        <f t="shared" ca="1" si="114"/>
        <v>0</v>
      </c>
      <c r="CL95" s="112"/>
      <c r="CM95" s="127">
        <f t="shared" ca="1" si="166"/>
        <v>0</v>
      </c>
      <c r="CN95" s="127">
        <f t="shared" ca="1" si="107"/>
        <v>0</v>
      </c>
      <c r="CO95" s="128" t="str">
        <f t="shared" ca="1" si="140"/>
        <v/>
      </c>
      <c r="CP95" s="61"/>
      <c r="CQ95" s="108">
        <v>92</v>
      </c>
      <c r="CR95" s="273">
        <v>0.12</v>
      </c>
      <c r="CS95" s="61">
        <f t="shared" si="167"/>
        <v>0</v>
      </c>
      <c r="CT95" s="278">
        <f t="shared" si="168"/>
        <v>0.12</v>
      </c>
      <c r="CU95" s="61">
        <f t="shared" si="169"/>
        <v>1</v>
      </c>
      <c r="CV95" s="287">
        <f t="shared" si="125"/>
        <v>1</v>
      </c>
      <c r="CW95" s="309">
        <f t="shared" si="121"/>
        <v>128.58000000000001</v>
      </c>
      <c r="CX95" s="309">
        <f t="shared" si="122"/>
        <v>63.07</v>
      </c>
      <c r="CY95" s="300">
        <f t="shared" si="123"/>
        <v>255.3</v>
      </c>
      <c r="CZ95" s="309">
        <f t="shared" si="124"/>
        <v>141.72999999999999</v>
      </c>
      <c r="DA95"/>
      <c r="DC95" s="544">
        <v>485.96999999999997</v>
      </c>
    </row>
    <row r="96" spans="1:107">
      <c r="A96" s="146">
        <v>60</v>
      </c>
      <c r="B96" s="141">
        <f ca="1">RESUMEN!J63</f>
        <v>0</v>
      </c>
      <c r="C96" s="141">
        <f ca="1">+RESUMEN!K63</f>
        <v>0</v>
      </c>
      <c r="D96" s="142">
        <f t="shared" ca="1" si="141"/>
        <v>0</v>
      </c>
      <c r="E96" s="60"/>
      <c r="F96" s="61">
        <v>2</v>
      </c>
      <c r="G96" s="317" t="s">
        <v>425</v>
      </c>
      <c r="H96" s="315">
        <v>2</v>
      </c>
      <c r="I96" s="288"/>
      <c r="J96" s="132">
        <v>93</v>
      </c>
      <c r="K96" s="36">
        <v>354297.7</v>
      </c>
      <c r="L96" s="36">
        <v>250917.85</v>
      </c>
      <c r="M96" s="36">
        <v>314494.49</v>
      </c>
      <c r="N96" s="36">
        <v>222728.74</v>
      </c>
      <c r="O96" s="36">
        <v>278458.65999999997</v>
      </c>
      <c r="P96" s="36">
        <v>197207.74</v>
      </c>
      <c r="Q96" s="105">
        <f t="shared" si="126"/>
        <v>1295066.49</v>
      </c>
      <c r="R96" s="105">
        <f t="shared" si="127"/>
        <v>1057704.68</v>
      </c>
      <c r="S96" s="105">
        <f t="shared" si="128"/>
        <v>926116.48</v>
      </c>
      <c r="T96" s="105">
        <f t="shared" si="129"/>
        <v>782910.94</v>
      </c>
      <c r="U96" s="105">
        <f t="shared" si="130"/>
        <v>660294.06000000006</v>
      </c>
      <c r="V96" s="105">
        <f t="shared" si="131"/>
        <v>540033.41</v>
      </c>
      <c r="W96" s="61"/>
      <c r="X96" s="106">
        <v>1295066.49</v>
      </c>
      <c r="Y96" s="106">
        <v>1057704.68</v>
      </c>
      <c r="Z96" s="105">
        <f t="shared" si="142"/>
        <v>1350754.34907</v>
      </c>
      <c r="AA96" s="105">
        <f t="shared" si="143"/>
        <v>1103185.9812399999</v>
      </c>
      <c r="AB96" s="105">
        <f t="shared" si="144"/>
        <v>1450474.4688000001</v>
      </c>
      <c r="AC96" s="105">
        <f t="shared" si="145"/>
        <v>1184629.2416000001</v>
      </c>
      <c r="AD96" s="107">
        <v>926116.48</v>
      </c>
      <c r="AE96" s="107">
        <v>782910.94</v>
      </c>
      <c r="AF96" s="105">
        <f t="shared" si="146"/>
        <v>965939.48863999988</v>
      </c>
      <c r="AG96" s="105">
        <f t="shared" si="147"/>
        <v>816576.11041999992</v>
      </c>
      <c r="AH96" s="105">
        <f t="shared" si="148"/>
        <v>1037250.4576000001</v>
      </c>
      <c r="AI96" s="105">
        <f t="shared" si="149"/>
        <v>876860.25280000002</v>
      </c>
      <c r="AJ96" s="106">
        <v>660294.06000000006</v>
      </c>
      <c r="AK96" s="106">
        <v>540033.41</v>
      </c>
      <c r="AL96" s="105">
        <f t="shared" si="150"/>
        <v>688686.70458000002</v>
      </c>
      <c r="AM96" s="105">
        <f t="shared" si="151"/>
        <v>563254.84663000004</v>
      </c>
      <c r="AN96" s="105">
        <f t="shared" si="152"/>
        <v>739529.34720000008</v>
      </c>
      <c r="AO96" s="105">
        <f t="shared" si="153"/>
        <v>604837.41920000012</v>
      </c>
      <c r="AP96" s="61"/>
      <c r="AQ96" s="108">
        <v>93</v>
      </c>
      <c r="AR96" s="109">
        <f ca="1">+RESUMEN!F96</f>
        <v>0</v>
      </c>
      <c r="AS96" s="109">
        <f ca="1">+RESUMEN!G96</f>
        <v>0</v>
      </c>
      <c r="AT96" s="110">
        <f t="shared" ca="1" si="132"/>
        <v>0</v>
      </c>
      <c r="AU96" s="111">
        <f t="shared" si="154"/>
        <v>0</v>
      </c>
      <c r="AV96" s="111">
        <f t="shared" si="155"/>
        <v>0</v>
      </c>
      <c r="AW96" s="111">
        <f t="shared" si="156"/>
        <v>0</v>
      </c>
      <c r="AX96" s="111">
        <f t="shared" si="157"/>
        <v>0</v>
      </c>
      <c r="AY96" s="111">
        <f t="shared" ca="1" si="158"/>
        <v>0</v>
      </c>
      <c r="AZ96" s="110"/>
      <c r="BA96" s="111">
        <f t="shared" ca="1" si="115"/>
        <v>0</v>
      </c>
      <c r="BB96" s="111">
        <f t="shared" ca="1" si="116"/>
        <v>0</v>
      </c>
      <c r="BC96" s="112"/>
      <c r="BD96" s="113">
        <f t="shared" ca="1" si="159"/>
        <v>0</v>
      </c>
      <c r="BE96" s="113">
        <f t="shared" ca="1" si="102"/>
        <v>0</v>
      </c>
      <c r="BF96" s="114" t="str">
        <f t="shared" ca="1" si="133"/>
        <v/>
      </c>
      <c r="BG96" s="61"/>
      <c r="BH96" s="64">
        <f t="shared" ca="1" si="117"/>
        <v>0</v>
      </c>
      <c r="BI96" s="64">
        <f t="shared" ca="1" si="118"/>
        <v>0</v>
      </c>
      <c r="BJ96" s="112"/>
      <c r="BK96" s="115">
        <f t="shared" ca="1" si="160"/>
        <v>0</v>
      </c>
      <c r="BL96" s="115">
        <f t="shared" ca="1" si="104"/>
        <v>0</v>
      </c>
      <c r="BM96" s="116" t="str">
        <f t="shared" ca="1" si="134"/>
        <v/>
      </c>
      <c r="BN96" s="61"/>
      <c r="BO96" s="117">
        <f t="shared" ca="1" si="119"/>
        <v>0</v>
      </c>
      <c r="BP96" s="117">
        <f t="shared" ca="1" si="120"/>
        <v>0</v>
      </c>
      <c r="BQ96" s="112"/>
      <c r="BR96" s="118">
        <f t="shared" ca="1" si="161"/>
        <v>0</v>
      </c>
      <c r="BS96" s="118">
        <f t="shared" ca="1" si="103"/>
        <v>0</v>
      </c>
      <c r="BT96" s="119" t="str">
        <f t="shared" ca="1" si="135"/>
        <v/>
      </c>
      <c r="BU96" s="61"/>
      <c r="BV96" s="120">
        <f t="shared" ca="1" si="136"/>
        <v>0</v>
      </c>
      <c r="BW96" s="120">
        <f t="shared" ca="1" si="137"/>
        <v>0</v>
      </c>
      <c r="BX96" s="112"/>
      <c r="BY96" s="121">
        <f t="shared" ca="1" si="162"/>
        <v>0</v>
      </c>
      <c r="BZ96" s="121">
        <f t="shared" ca="1" si="105"/>
        <v>0</v>
      </c>
      <c r="CA96" s="122" t="str">
        <f t="shared" ca="1" si="138"/>
        <v/>
      </c>
      <c r="CB96" s="61"/>
      <c r="CC96" s="123">
        <f t="shared" ca="1" si="163"/>
        <v>0</v>
      </c>
      <c r="CD96" s="123">
        <f t="shared" ca="1" si="164"/>
        <v>0</v>
      </c>
      <c r="CE96" s="112"/>
      <c r="CF96" s="124">
        <f t="shared" ca="1" si="165"/>
        <v>0</v>
      </c>
      <c r="CG96" s="124">
        <f t="shared" ca="1" si="106"/>
        <v>0</v>
      </c>
      <c r="CH96" s="125" t="str">
        <f t="shared" ca="1" si="139"/>
        <v/>
      </c>
      <c r="CI96" s="61"/>
      <c r="CJ96" s="487">
        <f t="shared" ca="1" si="113"/>
        <v>0</v>
      </c>
      <c r="CK96" s="487">
        <f t="shared" ca="1" si="114"/>
        <v>0</v>
      </c>
      <c r="CL96" s="112"/>
      <c r="CM96" s="127">
        <f t="shared" ca="1" si="166"/>
        <v>0</v>
      </c>
      <c r="CN96" s="127">
        <f t="shared" ca="1" si="107"/>
        <v>0</v>
      </c>
      <c r="CO96" s="128" t="str">
        <f t="shared" ca="1" si="140"/>
        <v/>
      </c>
      <c r="CP96" s="61"/>
      <c r="CQ96" s="108">
        <v>93</v>
      </c>
      <c r="CR96" s="273">
        <v>0.12</v>
      </c>
      <c r="CS96" s="61">
        <f t="shared" si="167"/>
        <v>0</v>
      </c>
      <c r="CT96" s="278">
        <f t="shared" si="168"/>
        <v>0.12</v>
      </c>
      <c r="CU96" s="61">
        <f t="shared" si="169"/>
        <v>1</v>
      </c>
      <c r="CV96" s="287">
        <f t="shared" si="125"/>
        <v>1</v>
      </c>
      <c r="CW96" s="309">
        <f t="shared" si="121"/>
        <v>128.58000000000001</v>
      </c>
      <c r="CX96" s="309">
        <f t="shared" si="122"/>
        <v>63.07</v>
      </c>
      <c r="CY96" s="300">
        <f t="shared" si="123"/>
        <v>255.3</v>
      </c>
      <c r="CZ96" s="309">
        <f t="shared" si="124"/>
        <v>141.72999999999999</v>
      </c>
      <c r="DA96"/>
      <c r="DC96" s="544">
        <v>485.96999999999997</v>
      </c>
    </row>
    <row r="97" spans="1:107">
      <c r="A97" s="146">
        <v>61</v>
      </c>
      <c r="B97" s="141">
        <f ca="1">RESUMEN!J64</f>
        <v>0</v>
      </c>
      <c r="C97" s="141">
        <f ca="1">+RESUMEN!K64</f>
        <v>0</v>
      </c>
      <c r="D97" s="142">
        <f t="shared" ca="1" si="141"/>
        <v>0</v>
      </c>
      <c r="E97" s="60"/>
      <c r="F97" s="61">
        <v>3</v>
      </c>
      <c r="G97" s="317" t="s">
        <v>426</v>
      </c>
      <c r="H97" s="315">
        <v>3</v>
      </c>
      <c r="I97" s="288"/>
      <c r="J97" s="132">
        <v>94</v>
      </c>
      <c r="K97" s="36">
        <v>354297.7</v>
      </c>
      <c r="L97" s="36">
        <v>250917.85</v>
      </c>
      <c r="M97" s="36">
        <v>314494.49</v>
      </c>
      <c r="N97" s="36">
        <v>222728.74</v>
      </c>
      <c r="O97" s="36">
        <v>278458.65999999997</v>
      </c>
      <c r="P97" s="36">
        <v>197207.74</v>
      </c>
      <c r="Q97" s="105">
        <f t="shared" si="126"/>
        <v>1295066.49</v>
      </c>
      <c r="R97" s="105">
        <f t="shared" si="127"/>
        <v>1057704.68</v>
      </c>
      <c r="S97" s="105">
        <f t="shared" si="128"/>
        <v>926116.48</v>
      </c>
      <c r="T97" s="105">
        <f t="shared" si="129"/>
        <v>782910.94</v>
      </c>
      <c r="U97" s="105">
        <f t="shared" si="130"/>
        <v>660294.06000000006</v>
      </c>
      <c r="V97" s="105">
        <f t="shared" si="131"/>
        <v>540033.41</v>
      </c>
      <c r="W97" s="61"/>
      <c r="X97" s="106">
        <v>1295066.49</v>
      </c>
      <c r="Y97" s="106">
        <v>1057704.68</v>
      </c>
      <c r="Z97" s="105">
        <f t="shared" si="142"/>
        <v>1350754.34907</v>
      </c>
      <c r="AA97" s="105">
        <f t="shared" si="143"/>
        <v>1103185.9812399999</v>
      </c>
      <c r="AB97" s="105">
        <f t="shared" si="144"/>
        <v>1450474.4688000001</v>
      </c>
      <c r="AC97" s="105">
        <f t="shared" si="145"/>
        <v>1184629.2416000001</v>
      </c>
      <c r="AD97" s="107">
        <v>926116.48</v>
      </c>
      <c r="AE97" s="107">
        <v>782910.94</v>
      </c>
      <c r="AF97" s="105">
        <f t="shared" si="146"/>
        <v>965939.48863999988</v>
      </c>
      <c r="AG97" s="105">
        <f t="shared" si="147"/>
        <v>816576.11041999992</v>
      </c>
      <c r="AH97" s="105">
        <f t="shared" si="148"/>
        <v>1037250.4576000001</v>
      </c>
      <c r="AI97" s="105">
        <f t="shared" si="149"/>
        <v>876860.25280000002</v>
      </c>
      <c r="AJ97" s="106">
        <v>660294.06000000006</v>
      </c>
      <c r="AK97" s="106">
        <v>540033.41</v>
      </c>
      <c r="AL97" s="105">
        <f t="shared" si="150"/>
        <v>688686.70458000002</v>
      </c>
      <c r="AM97" s="105">
        <f t="shared" si="151"/>
        <v>563254.84663000004</v>
      </c>
      <c r="AN97" s="105">
        <f t="shared" si="152"/>
        <v>739529.34720000008</v>
      </c>
      <c r="AO97" s="105">
        <f t="shared" si="153"/>
        <v>604837.41920000012</v>
      </c>
      <c r="AP97" s="61"/>
      <c r="AQ97" s="108">
        <v>94</v>
      </c>
      <c r="AR97" s="109">
        <f ca="1">+RESUMEN!F97</f>
        <v>0</v>
      </c>
      <c r="AS97" s="109">
        <f ca="1">+RESUMEN!G97</f>
        <v>0</v>
      </c>
      <c r="AT97" s="110">
        <f t="shared" ca="1" si="132"/>
        <v>0</v>
      </c>
      <c r="AU97" s="111">
        <f t="shared" si="154"/>
        <v>0</v>
      </c>
      <c r="AV97" s="111">
        <f t="shared" si="155"/>
        <v>0</v>
      </c>
      <c r="AW97" s="111">
        <f t="shared" si="156"/>
        <v>0</v>
      </c>
      <c r="AX97" s="111">
        <f t="shared" si="157"/>
        <v>0</v>
      </c>
      <c r="AY97" s="111">
        <f t="shared" ca="1" si="158"/>
        <v>0</v>
      </c>
      <c r="AZ97" s="110"/>
      <c r="BA97" s="111">
        <f t="shared" ca="1" si="115"/>
        <v>0</v>
      </c>
      <c r="BB97" s="111">
        <f t="shared" ca="1" si="116"/>
        <v>0</v>
      </c>
      <c r="BC97" s="112"/>
      <c r="BD97" s="113">
        <f t="shared" ca="1" si="159"/>
        <v>0</v>
      </c>
      <c r="BE97" s="113">
        <f t="shared" ca="1" si="102"/>
        <v>0</v>
      </c>
      <c r="BF97" s="114" t="str">
        <f t="shared" ca="1" si="133"/>
        <v/>
      </c>
      <c r="BG97" s="61"/>
      <c r="BH97" s="64">
        <f t="shared" ca="1" si="117"/>
        <v>0</v>
      </c>
      <c r="BI97" s="64">
        <f t="shared" ca="1" si="118"/>
        <v>0</v>
      </c>
      <c r="BJ97" s="112"/>
      <c r="BK97" s="115">
        <f t="shared" ca="1" si="160"/>
        <v>0</v>
      </c>
      <c r="BL97" s="115">
        <f t="shared" ca="1" si="104"/>
        <v>0</v>
      </c>
      <c r="BM97" s="116" t="str">
        <f t="shared" ca="1" si="134"/>
        <v/>
      </c>
      <c r="BN97" s="61"/>
      <c r="BO97" s="117">
        <f t="shared" ca="1" si="119"/>
        <v>0</v>
      </c>
      <c r="BP97" s="117">
        <f t="shared" ca="1" si="120"/>
        <v>0</v>
      </c>
      <c r="BQ97" s="112"/>
      <c r="BR97" s="118">
        <f t="shared" ca="1" si="161"/>
        <v>0</v>
      </c>
      <c r="BS97" s="118">
        <f t="shared" ca="1" si="103"/>
        <v>0</v>
      </c>
      <c r="BT97" s="119" t="str">
        <f t="shared" ca="1" si="135"/>
        <v/>
      </c>
      <c r="BU97" s="61"/>
      <c r="BV97" s="120">
        <f t="shared" ca="1" si="136"/>
        <v>0</v>
      </c>
      <c r="BW97" s="120">
        <f t="shared" ca="1" si="137"/>
        <v>0</v>
      </c>
      <c r="BX97" s="112"/>
      <c r="BY97" s="121">
        <f t="shared" ca="1" si="162"/>
        <v>0</v>
      </c>
      <c r="BZ97" s="121">
        <f t="shared" ca="1" si="105"/>
        <v>0</v>
      </c>
      <c r="CA97" s="122" t="str">
        <f t="shared" ca="1" si="138"/>
        <v/>
      </c>
      <c r="CB97" s="61"/>
      <c r="CC97" s="123">
        <f t="shared" ca="1" si="163"/>
        <v>0</v>
      </c>
      <c r="CD97" s="123">
        <f t="shared" ca="1" si="164"/>
        <v>0</v>
      </c>
      <c r="CE97" s="112"/>
      <c r="CF97" s="124">
        <f t="shared" ca="1" si="165"/>
        <v>0</v>
      </c>
      <c r="CG97" s="124">
        <f t="shared" ca="1" si="106"/>
        <v>0</v>
      </c>
      <c r="CH97" s="125" t="str">
        <f t="shared" ca="1" si="139"/>
        <v/>
      </c>
      <c r="CI97" s="61"/>
      <c r="CJ97" s="487">
        <f t="shared" ca="1" si="113"/>
        <v>0</v>
      </c>
      <c r="CK97" s="487">
        <f t="shared" ca="1" si="114"/>
        <v>0</v>
      </c>
      <c r="CL97" s="112"/>
      <c r="CM97" s="127">
        <f t="shared" ca="1" si="166"/>
        <v>0</v>
      </c>
      <c r="CN97" s="127">
        <f t="shared" ca="1" si="107"/>
        <v>0</v>
      </c>
      <c r="CO97" s="128" t="str">
        <f t="shared" ca="1" si="140"/>
        <v/>
      </c>
      <c r="CP97" s="61"/>
      <c r="CQ97" s="108">
        <v>94</v>
      </c>
      <c r="CR97" s="273">
        <v>0.12</v>
      </c>
      <c r="CS97" s="61">
        <f t="shared" si="167"/>
        <v>0</v>
      </c>
      <c r="CT97" s="278">
        <f t="shared" si="168"/>
        <v>0.12</v>
      </c>
      <c r="CU97" s="61">
        <f t="shared" si="169"/>
        <v>1</v>
      </c>
      <c r="CV97" s="287">
        <f t="shared" si="125"/>
        <v>1</v>
      </c>
      <c r="CW97" s="309">
        <f t="shared" si="121"/>
        <v>128.58000000000001</v>
      </c>
      <c r="CX97" s="309">
        <f t="shared" si="122"/>
        <v>63.07</v>
      </c>
      <c r="CY97" s="300">
        <f t="shared" si="123"/>
        <v>255.3</v>
      </c>
      <c r="CZ97" s="309">
        <f t="shared" si="124"/>
        <v>141.72999999999999</v>
      </c>
      <c r="DA97"/>
      <c r="DC97" s="544">
        <v>485.96999999999997</v>
      </c>
    </row>
    <row r="98" spans="1:107">
      <c r="A98" s="146">
        <v>62</v>
      </c>
      <c r="B98" s="141">
        <f ca="1">RESUMEN!J65</f>
        <v>0</v>
      </c>
      <c r="C98" s="141">
        <f ca="1">+RESUMEN!K65</f>
        <v>0</v>
      </c>
      <c r="D98" s="142">
        <f t="shared" ca="1" si="141"/>
        <v>0</v>
      </c>
      <c r="E98" s="60"/>
      <c r="F98" s="61">
        <v>4</v>
      </c>
      <c r="G98" s="317" t="s">
        <v>427</v>
      </c>
      <c r="H98" s="315">
        <v>4</v>
      </c>
      <c r="I98" s="288"/>
      <c r="J98" s="132">
        <v>95</v>
      </c>
      <c r="K98" s="36">
        <v>354297.7</v>
      </c>
      <c r="L98" s="36">
        <v>250917.85</v>
      </c>
      <c r="M98" s="36">
        <v>314494.49</v>
      </c>
      <c r="N98" s="36">
        <v>222728.74</v>
      </c>
      <c r="O98" s="36">
        <v>278458.65999999997</v>
      </c>
      <c r="P98" s="36">
        <v>197207.74</v>
      </c>
      <c r="Q98" s="105">
        <f t="shared" si="126"/>
        <v>1295066.49</v>
      </c>
      <c r="R98" s="105">
        <f t="shared" si="127"/>
        <v>1057704.68</v>
      </c>
      <c r="S98" s="105">
        <f t="shared" si="128"/>
        <v>926116.48</v>
      </c>
      <c r="T98" s="105">
        <f t="shared" si="129"/>
        <v>782910.94</v>
      </c>
      <c r="U98" s="105">
        <f t="shared" si="130"/>
        <v>660294.06000000006</v>
      </c>
      <c r="V98" s="105">
        <f t="shared" si="131"/>
        <v>540033.41</v>
      </c>
      <c r="W98" s="61"/>
      <c r="X98" s="106">
        <v>1295066.49</v>
      </c>
      <c r="Y98" s="106">
        <v>1057704.68</v>
      </c>
      <c r="Z98" s="105">
        <f t="shared" si="142"/>
        <v>1350754.34907</v>
      </c>
      <c r="AA98" s="105">
        <f t="shared" si="143"/>
        <v>1103185.9812399999</v>
      </c>
      <c r="AB98" s="105">
        <f t="shared" si="144"/>
        <v>1450474.4688000001</v>
      </c>
      <c r="AC98" s="105">
        <f t="shared" si="145"/>
        <v>1184629.2416000001</v>
      </c>
      <c r="AD98" s="107">
        <v>926116.48</v>
      </c>
      <c r="AE98" s="107">
        <v>782910.94</v>
      </c>
      <c r="AF98" s="105">
        <f t="shared" si="146"/>
        <v>965939.48863999988</v>
      </c>
      <c r="AG98" s="105">
        <f t="shared" si="147"/>
        <v>816576.11041999992</v>
      </c>
      <c r="AH98" s="105">
        <f t="shared" si="148"/>
        <v>1037250.4576000001</v>
      </c>
      <c r="AI98" s="105">
        <f t="shared" si="149"/>
        <v>876860.25280000002</v>
      </c>
      <c r="AJ98" s="106">
        <v>660294.06000000006</v>
      </c>
      <c r="AK98" s="106">
        <v>540033.41</v>
      </c>
      <c r="AL98" s="105">
        <f t="shared" si="150"/>
        <v>688686.70458000002</v>
      </c>
      <c r="AM98" s="105">
        <f t="shared" si="151"/>
        <v>563254.84663000004</v>
      </c>
      <c r="AN98" s="105">
        <f t="shared" si="152"/>
        <v>739529.34720000008</v>
      </c>
      <c r="AO98" s="105">
        <f t="shared" si="153"/>
        <v>604837.41920000012</v>
      </c>
      <c r="AP98" s="61"/>
      <c r="AQ98" s="108">
        <v>95</v>
      </c>
      <c r="AR98" s="109">
        <f ca="1">+RESUMEN!F98</f>
        <v>0</v>
      </c>
      <c r="AS98" s="109">
        <f ca="1">+RESUMEN!G98</f>
        <v>0</v>
      </c>
      <c r="AT98" s="110">
        <f t="shared" ca="1" si="132"/>
        <v>0</v>
      </c>
      <c r="AU98" s="111">
        <f t="shared" si="154"/>
        <v>0</v>
      </c>
      <c r="AV98" s="111">
        <f t="shared" si="155"/>
        <v>0</v>
      </c>
      <c r="AW98" s="111">
        <f t="shared" si="156"/>
        <v>0</v>
      </c>
      <c r="AX98" s="111">
        <f t="shared" si="157"/>
        <v>0</v>
      </c>
      <c r="AY98" s="111">
        <f t="shared" ca="1" si="158"/>
        <v>0</v>
      </c>
      <c r="AZ98" s="110"/>
      <c r="BA98" s="111">
        <f t="shared" ca="1" si="115"/>
        <v>0</v>
      </c>
      <c r="BB98" s="111">
        <f t="shared" ca="1" si="116"/>
        <v>0</v>
      </c>
      <c r="BC98" s="112"/>
      <c r="BD98" s="113">
        <f t="shared" ca="1" si="159"/>
        <v>0</v>
      </c>
      <c r="BE98" s="113">
        <f t="shared" ca="1" si="102"/>
        <v>0</v>
      </c>
      <c r="BF98" s="114" t="str">
        <f t="shared" ca="1" si="133"/>
        <v/>
      </c>
      <c r="BG98" s="61"/>
      <c r="BH98" s="64">
        <f t="shared" ca="1" si="117"/>
        <v>0</v>
      </c>
      <c r="BI98" s="64">
        <f t="shared" ca="1" si="118"/>
        <v>0</v>
      </c>
      <c r="BJ98" s="112"/>
      <c r="BK98" s="115">
        <f t="shared" ca="1" si="160"/>
        <v>0</v>
      </c>
      <c r="BL98" s="115">
        <f t="shared" ca="1" si="104"/>
        <v>0</v>
      </c>
      <c r="BM98" s="116" t="str">
        <f t="shared" ca="1" si="134"/>
        <v/>
      </c>
      <c r="BN98" s="61"/>
      <c r="BO98" s="117">
        <f t="shared" ca="1" si="119"/>
        <v>0</v>
      </c>
      <c r="BP98" s="117">
        <f t="shared" ca="1" si="120"/>
        <v>0</v>
      </c>
      <c r="BQ98" s="112"/>
      <c r="BR98" s="118">
        <f t="shared" ca="1" si="161"/>
        <v>0</v>
      </c>
      <c r="BS98" s="118">
        <f t="shared" ca="1" si="103"/>
        <v>0</v>
      </c>
      <c r="BT98" s="119" t="str">
        <f t="shared" ca="1" si="135"/>
        <v/>
      </c>
      <c r="BU98" s="61"/>
      <c r="BV98" s="120">
        <f t="shared" ca="1" si="136"/>
        <v>0</v>
      </c>
      <c r="BW98" s="120">
        <f t="shared" ca="1" si="137"/>
        <v>0</v>
      </c>
      <c r="BX98" s="112"/>
      <c r="BY98" s="121">
        <f t="shared" ca="1" si="162"/>
        <v>0</v>
      </c>
      <c r="BZ98" s="121">
        <f t="shared" ca="1" si="105"/>
        <v>0</v>
      </c>
      <c r="CA98" s="122" t="str">
        <f t="shared" ca="1" si="138"/>
        <v/>
      </c>
      <c r="CB98" s="61"/>
      <c r="CC98" s="123">
        <f t="shared" ca="1" si="163"/>
        <v>0</v>
      </c>
      <c r="CD98" s="123">
        <f t="shared" ca="1" si="164"/>
        <v>0</v>
      </c>
      <c r="CE98" s="112"/>
      <c r="CF98" s="124">
        <f t="shared" ca="1" si="165"/>
        <v>0</v>
      </c>
      <c r="CG98" s="124">
        <f t="shared" ca="1" si="106"/>
        <v>0</v>
      </c>
      <c r="CH98" s="125" t="str">
        <f t="shared" ca="1" si="139"/>
        <v/>
      </c>
      <c r="CI98" s="61"/>
      <c r="CJ98" s="487">
        <f t="shared" ca="1" si="113"/>
        <v>0</v>
      </c>
      <c r="CK98" s="487">
        <f t="shared" ca="1" si="114"/>
        <v>0</v>
      </c>
      <c r="CL98" s="112"/>
      <c r="CM98" s="127">
        <f t="shared" ca="1" si="166"/>
        <v>0</v>
      </c>
      <c r="CN98" s="127">
        <f t="shared" ca="1" si="107"/>
        <v>0</v>
      </c>
      <c r="CO98" s="128" t="str">
        <f t="shared" ca="1" si="140"/>
        <v/>
      </c>
      <c r="CP98" s="61"/>
      <c r="CQ98" s="108">
        <v>95</v>
      </c>
      <c r="CR98" s="273">
        <v>0.12</v>
      </c>
      <c r="CS98" s="61">
        <f t="shared" si="167"/>
        <v>0</v>
      </c>
      <c r="CT98" s="278">
        <f t="shared" si="168"/>
        <v>0.12</v>
      </c>
      <c r="CU98" s="61">
        <f t="shared" si="169"/>
        <v>1</v>
      </c>
      <c r="CV98" s="287">
        <f t="shared" si="125"/>
        <v>1</v>
      </c>
      <c r="CW98" s="309">
        <f t="shared" si="121"/>
        <v>128.58000000000001</v>
      </c>
      <c r="CX98" s="309">
        <f t="shared" si="122"/>
        <v>63.07</v>
      </c>
      <c r="CY98" s="300">
        <f t="shared" si="123"/>
        <v>255.3</v>
      </c>
      <c r="CZ98" s="309">
        <f t="shared" si="124"/>
        <v>141.72999999999999</v>
      </c>
      <c r="DA98"/>
      <c r="DC98" s="544">
        <v>485.96999999999997</v>
      </c>
    </row>
    <row r="99" spans="1:107">
      <c r="A99" s="146">
        <v>63</v>
      </c>
      <c r="B99" s="141">
        <f ca="1">RESUMEN!J66</f>
        <v>0</v>
      </c>
      <c r="C99" s="141">
        <f ca="1">+RESUMEN!K66</f>
        <v>0</v>
      </c>
      <c r="D99" s="142">
        <f t="shared" ca="1" si="141"/>
        <v>0</v>
      </c>
      <c r="E99" s="60"/>
      <c r="F99" s="61">
        <v>5</v>
      </c>
      <c r="G99" s="317" t="s">
        <v>428</v>
      </c>
      <c r="H99" s="315">
        <v>5</v>
      </c>
      <c r="I99" s="288"/>
      <c r="J99" s="132">
        <v>96</v>
      </c>
      <c r="K99" s="36">
        <v>354297.7</v>
      </c>
      <c r="L99" s="36">
        <v>250917.85</v>
      </c>
      <c r="M99" s="36">
        <v>314494.49</v>
      </c>
      <c r="N99" s="36">
        <v>222728.74</v>
      </c>
      <c r="O99" s="36">
        <v>278458.65999999997</v>
      </c>
      <c r="P99" s="36">
        <v>197207.74</v>
      </c>
      <c r="Q99" s="105">
        <f t="shared" si="126"/>
        <v>1295066.49</v>
      </c>
      <c r="R99" s="105">
        <f t="shared" si="127"/>
        <v>1057704.68</v>
      </c>
      <c r="S99" s="105">
        <f t="shared" si="128"/>
        <v>926116.48</v>
      </c>
      <c r="T99" s="105">
        <f t="shared" si="129"/>
        <v>782910.94</v>
      </c>
      <c r="U99" s="105">
        <f t="shared" si="130"/>
        <v>660294.06000000006</v>
      </c>
      <c r="V99" s="105">
        <f t="shared" si="131"/>
        <v>540033.41</v>
      </c>
      <c r="W99" s="61"/>
      <c r="X99" s="106">
        <v>1295066.49</v>
      </c>
      <c r="Y99" s="106">
        <v>1057704.68</v>
      </c>
      <c r="Z99" s="105">
        <f t="shared" si="142"/>
        <v>1350754.34907</v>
      </c>
      <c r="AA99" s="105">
        <f t="shared" si="143"/>
        <v>1103185.9812399999</v>
      </c>
      <c r="AB99" s="105">
        <f t="shared" si="144"/>
        <v>1450474.4688000001</v>
      </c>
      <c r="AC99" s="105">
        <f t="shared" si="145"/>
        <v>1184629.2416000001</v>
      </c>
      <c r="AD99" s="107">
        <v>926116.48</v>
      </c>
      <c r="AE99" s="107">
        <v>782910.94</v>
      </c>
      <c r="AF99" s="105">
        <f t="shared" si="146"/>
        <v>965939.48863999988</v>
      </c>
      <c r="AG99" s="105">
        <f t="shared" si="147"/>
        <v>816576.11041999992</v>
      </c>
      <c r="AH99" s="105">
        <f t="shared" si="148"/>
        <v>1037250.4576000001</v>
      </c>
      <c r="AI99" s="105">
        <f t="shared" si="149"/>
        <v>876860.25280000002</v>
      </c>
      <c r="AJ99" s="106">
        <v>660294.06000000006</v>
      </c>
      <c r="AK99" s="106">
        <v>540033.41</v>
      </c>
      <c r="AL99" s="105">
        <f t="shared" si="150"/>
        <v>688686.70458000002</v>
      </c>
      <c r="AM99" s="105">
        <f t="shared" si="151"/>
        <v>563254.84663000004</v>
      </c>
      <c r="AN99" s="105">
        <f t="shared" si="152"/>
        <v>739529.34720000008</v>
      </c>
      <c r="AO99" s="105">
        <f t="shared" si="153"/>
        <v>604837.41920000012</v>
      </c>
      <c r="AP99" s="61"/>
      <c r="AQ99" s="108">
        <v>96</v>
      </c>
      <c r="AR99" s="109">
        <f ca="1">+RESUMEN!F99</f>
        <v>0</v>
      </c>
      <c r="AS99" s="109">
        <f ca="1">+RESUMEN!G99</f>
        <v>0</v>
      </c>
      <c r="AT99" s="110">
        <f ca="1">AR99+AS99</f>
        <v>0</v>
      </c>
      <c r="AU99" s="111">
        <f t="shared" si="154"/>
        <v>0</v>
      </c>
      <c r="AV99" s="111">
        <f t="shared" si="155"/>
        <v>0</v>
      </c>
      <c r="AW99" s="111">
        <f t="shared" si="156"/>
        <v>0</v>
      </c>
      <c r="AX99" s="111">
        <f t="shared" si="157"/>
        <v>0</v>
      </c>
      <c r="AY99" s="111">
        <f t="shared" ca="1" si="158"/>
        <v>0</v>
      </c>
      <c r="AZ99" s="110"/>
      <c r="BA99" s="111">
        <f t="shared" ca="1" si="115"/>
        <v>0</v>
      </c>
      <c r="BB99" s="111">
        <f t="shared" ca="1" si="116"/>
        <v>0</v>
      </c>
      <c r="BC99" s="112"/>
      <c r="BD99" s="113">
        <f t="shared" ca="1" si="159"/>
        <v>0</v>
      </c>
      <c r="BE99" s="113">
        <f t="shared" ca="1" si="102"/>
        <v>0</v>
      </c>
      <c r="BF99" s="114" t="str">
        <f ca="1">IF(BA99=0,"",(SUM(BD99:BE99)))</f>
        <v/>
      </c>
      <c r="BG99" s="61"/>
      <c r="BH99" s="64">
        <f t="shared" ca="1" si="117"/>
        <v>0</v>
      </c>
      <c r="BI99" s="64">
        <f t="shared" ca="1" si="118"/>
        <v>0</v>
      </c>
      <c r="BJ99" s="112"/>
      <c r="BK99" s="115">
        <f t="shared" ca="1" si="160"/>
        <v>0</v>
      </c>
      <c r="BL99" s="115">
        <f t="shared" ca="1" si="104"/>
        <v>0</v>
      </c>
      <c r="BM99" s="116" t="str">
        <f ca="1">IF(BH99=0,"",(SUM(BK99:BL99)))</f>
        <v/>
      </c>
      <c r="BN99" s="61"/>
      <c r="BO99" s="117">
        <f t="shared" ca="1" si="119"/>
        <v>0</v>
      </c>
      <c r="BP99" s="117">
        <f t="shared" ca="1" si="120"/>
        <v>0</v>
      </c>
      <c r="BQ99" s="112"/>
      <c r="BR99" s="118">
        <f t="shared" ca="1" si="161"/>
        <v>0</v>
      </c>
      <c r="BS99" s="118">
        <f t="shared" ca="1" si="103"/>
        <v>0</v>
      </c>
      <c r="BT99" s="119" t="str">
        <f ca="1">IF(BO99=0,"",(SUM(BR99:BS99)))</f>
        <v/>
      </c>
      <c r="BU99" s="61"/>
      <c r="BV99" s="120">
        <f t="shared" ca="1" si="136"/>
        <v>0</v>
      </c>
      <c r="BW99" s="120">
        <f t="shared" ca="1" si="137"/>
        <v>0</v>
      </c>
      <c r="BX99" s="112"/>
      <c r="BY99" s="121">
        <f t="shared" ca="1" si="162"/>
        <v>0</v>
      </c>
      <c r="BZ99" s="121">
        <f t="shared" ca="1" si="105"/>
        <v>0</v>
      </c>
      <c r="CA99" s="122" t="str">
        <f ca="1">IF(BV99=0,"",(SUM(BY99:BZ99)))</f>
        <v/>
      </c>
      <c r="CB99" s="61"/>
      <c r="CC99" s="123">
        <f t="shared" ca="1" si="163"/>
        <v>0</v>
      </c>
      <c r="CD99" s="123">
        <f t="shared" ca="1" si="164"/>
        <v>0</v>
      </c>
      <c r="CE99" s="112"/>
      <c r="CF99" s="124">
        <f t="shared" ca="1" si="165"/>
        <v>0</v>
      </c>
      <c r="CG99" s="124">
        <f t="shared" ca="1" si="106"/>
        <v>0</v>
      </c>
      <c r="CH99" s="125" t="str">
        <f ca="1">IF(CC99=0,"",(SUM(CF99:CG99)))</f>
        <v/>
      </c>
      <c r="CI99" s="61"/>
      <c r="CJ99" s="487">
        <f t="shared" ca="1" si="113"/>
        <v>0</v>
      </c>
      <c r="CK99" s="487">
        <f t="shared" ca="1" si="114"/>
        <v>0</v>
      </c>
      <c r="CL99" s="112"/>
      <c r="CM99" s="127">
        <f t="shared" ca="1" si="166"/>
        <v>0</v>
      </c>
      <c r="CN99" s="127">
        <f t="shared" ca="1" si="107"/>
        <v>0</v>
      </c>
      <c r="CO99" s="128" t="str">
        <f ca="1">IF(CJ99=0,"",(SUM(CM99:CN99)))</f>
        <v/>
      </c>
      <c r="CP99" s="61"/>
      <c r="CQ99" s="108">
        <v>96</v>
      </c>
      <c r="CR99" s="273">
        <v>0.12</v>
      </c>
      <c r="CS99" s="61">
        <f t="shared" si="167"/>
        <v>0</v>
      </c>
      <c r="CT99" s="278">
        <f t="shared" si="168"/>
        <v>0.12</v>
      </c>
      <c r="CU99" s="61">
        <f t="shared" si="169"/>
        <v>1</v>
      </c>
      <c r="CV99" s="287">
        <f t="shared" si="125"/>
        <v>1</v>
      </c>
      <c r="CW99" s="309">
        <f t="shared" si="121"/>
        <v>128.58000000000001</v>
      </c>
      <c r="CX99" s="309">
        <f t="shared" si="122"/>
        <v>63.07</v>
      </c>
      <c r="CY99" s="300">
        <f t="shared" si="123"/>
        <v>255.3</v>
      </c>
      <c r="CZ99" s="309">
        <f t="shared" si="124"/>
        <v>141.72999999999999</v>
      </c>
      <c r="DA99"/>
      <c r="DC99" s="544">
        <v>485.96999999999997</v>
      </c>
    </row>
    <row r="100" spans="1:107">
      <c r="A100" s="146">
        <v>64</v>
      </c>
      <c r="B100" s="141">
        <f ca="1">RESUMEN!J67</f>
        <v>0</v>
      </c>
      <c r="C100" s="141">
        <f ca="1">+RESUMEN!K67</f>
        <v>0</v>
      </c>
      <c r="D100" s="142">
        <f t="shared" ref="D100:D131" ca="1" si="170">B100+C100</f>
        <v>0</v>
      </c>
      <c r="E100" s="60"/>
      <c r="F100" s="60"/>
      <c r="G100" s="60"/>
      <c r="H100" s="133"/>
      <c r="I100" s="288"/>
      <c r="J100" s="132">
        <v>97</v>
      </c>
      <c r="K100" s="36">
        <v>354297.7</v>
      </c>
      <c r="L100" s="36">
        <v>250917.85</v>
      </c>
      <c r="M100" s="36">
        <v>314494.49</v>
      </c>
      <c r="N100" s="36">
        <v>222728.74</v>
      </c>
      <c r="O100" s="36">
        <v>278458.65999999997</v>
      </c>
      <c r="P100" s="36">
        <v>197207.74</v>
      </c>
      <c r="Q100" s="105">
        <f t="shared" si="126"/>
        <v>1295066.49</v>
      </c>
      <c r="R100" s="105">
        <f t="shared" si="127"/>
        <v>1057704.68</v>
      </c>
      <c r="S100" s="105">
        <f t="shared" si="128"/>
        <v>926116.48</v>
      </c>
      <c r="T100" s="105">
        <f t="shared" si="129"/>
        <v>782910.94</v>
      </c>
      <c r="U100" s="105">
        <f t="shared" si="130"/>
        <v>660294.06000000006</v>
      </c>
      <c r="V100" s="105">
        <f t="shared" si="131"/>
        <v>540033.41</v>
      </c>
      <c r="W100" s="61"/>
      <c r="X100" s="106">
        <v>1295066.49</v>
      </c>
      <c r="Y100" s="106">
        <v>1057704.68</v>
      </c>
      <c r="Z100" s="105">
        <f t="shared" si="142"/>
        <v>1350754.34907</v>
      </c>
      <c r="AA100" s="105">
        <f t="shared" si="143"/>
        <v>1103185.9812399999</v>
      </c>
      <c r="AB100" s="105">
        <f t="shared" si="144"/>
        <v>1450474.4688000001</v>
      </c>
      <c r="AC100" s="105">
        <f t="shared" si="145"/>
        <v>1184629.2416000001</v>
      </c>
      <c r="AD100" s="107">
        <v>926116.48</v>
      </c>
      <c r="AE100" s="107">
        <v>782910.94</v>
      </c>
      <c r="AF100" s="105">
        <f t="shared" si="146"/>
        <v>965939.48863999988</v>
      </c>
      <c r="AG100" s="105">
        <f t="shared" si="147"/>
        <v>816576.11041999992</v>
      </c>
      <c r="AH100" s="105">
        <f t="shared" si="148"/>
        <v>1037250.4576000001</v>
      </c>
      <c r="AI100" s="105">
        <f t="shared" si="149"/>
        <v>876860.25280000002</v>
      </c>
      <c r="AJ100" s="106">
        <v>660294.06000000006</v>
      </c>
      <c r="AK100" s="106">
        <v>540033.41</v>
      </c>
      <c r="AL100" s="105">
        <f t="shared" si="150"/>
        <v>688686.70458000002</v>
      </c>
      <c r="AM100" s="105">
        <f t="shared" si="151"/>
        <v>563254.84663000004</v>
      </c>
      <c r="AN100" s="105">
        <f t="shared" si="152"/>
        <v>739529.34720000008</v>
      </c>
      <c r="AO100" s="105">
        <f t="shared" si="153"/>
        <v>604837.41920000012</v>
      </c>
      <c r="AP100" s="61"/>
      <c r="AQ100" s="108">
        <v>97</v>
      </c>
      <c r="AR100" s="109">
        <f ca="1">+RESUMEN!F100</f>
        <v>0</v>
      </c>
      <c r="AS100" s="109">
        <f ca="1">+RESUMEN!G100</f>
        <v>0</v>
      </c>
      <c r="AT100" s="110">
        <f ca="1">AR100+AS100</f>
        <v>0</v>
      </c>
      <c r="AU100" s="111">
        <f t="shared" si="154"/>
        <v>0</v>
      </c>
      <c r="AV100" s="111">
        <f t="shared" si="155"/>
        <v>0</v>
      </c>
      <c r="AW100" s="111">
        <f t="shared" si="156"/>
        <v>0</v>
      </c>
      <c r="AX100" s="111">
        <f t="shared" si="157"/>
        <v>0</v>
      </c>
      <c r="AY100" s="111">
        <f t="shared" ca="1" si="158"/>
        <v>0</v>
      </c>
      <c r="AZ100" s="110"/>
      <c r="BA100" s="111">
        <f t="shared" ca="1" si="115"/>
        <v>0</v>
      </c>
      <c r="BB100" s="111">
        <f t="shared" ca="1" si="116"/>
        <v>0</v>
      </c>
      <c r="BC100" s="112"/>
      <c r="BD100" s="113">
        <f t="shared" ca="1" si="159"/>
        <v>0</v>
      </c>
      <c r="BE100" s="113">
        <f t="shared" ca="1" si="102"/>
        <v>0</v>
      </c>
      <c r="BF100" s="114" t="str">
        <f ca="1">IF(BA100=0,"",(SUM(BD100:BE100)))</f>
        <v/>
      </c>
      <c r="BG100" s="61"/>
      <c r="BH100" s="64">
        <f t="shared" ca="1" si="117"/>
        <v>0</v>
      </c>
      <c r="BI100" s="64">
        <f t="shared" ca="1" si="118"/>
        <v>0</v>
      </c>
      <c r="BJ100" s="112"/>
      <c r="BK100" s="115">
        <f t="shared" ca="1" si="160"/>
        <v>0</v>
      </c>
      <c r="BL100" s="115">
        <f t="shared" ca="1" si="104"/>
        <v>0</v>
      </c>
      <c r="BM100" s="116" t="str">
        <f ca="1">IF(BH100=0,"",(SUM(BK100:BL100)))</f>
        <v/>
      </c>
      <c r="BN100" s="61"/>
      <c r="BO100" s="117">
        <f t="shared" ca="1" si="119"/>
        <v>0</v>
      </c>
      <c r="BP100" s="117">
        <f t="shared" ca="1" si="120"/>
        <v>0</v>
      </c>
      <c r="BQ100" s="112"/>
      <c r="BR100" s="118">
        <f t="shared" ca="1" si="161"/>
        <v>0</v>
      </c>
      <c r="BS100" s="118">
        <f t="shared" ca="1" si="103"/>
        <v>0</v>
      </c>
      <c r="BT100" s="119" t="str">
        <f ca="1">IF(BO100=0,"",(SUM(BR100:BS100)))</f>
        <v/>
      </c>
      <c r="BU100" s="61"/>
      <c r="BV100" s="120">
        <f t="shared" ca="1" si="136"/>
        <v>0</v>
      </c>
      <c r="BW100" s="120">
        <f t="shared" ca="1" si="137"/>
        <v>0</v>
      </c>
      <c r="BX100" s="112"/>
      <c r="BY100" s="121">
        <f t="shared" ca="1" si="162"/>
        <v>0</v>
      </c>
      <c r="BZ100" s="121">
        <f t="shared" ca="1" si="105"/>
        <v>0</v>
      </c>
      <c r="CA100" s="122" t="str">
        <f ca="1">IF(BV100=0,"",(SUM(BY100:BZ100)))</f>
        <v/>
      </c>
      <c r="CB100" s="61"/>
      <c r="CC100" s="123">
        <f t="shared" ca="1" si="163"/>
        <v>0</v>
      </c>
      <c r="CD100" s="123">
        <f t="shared" ca="1" si="164"/>
        <v>0</v>
      </c>
      <c r="CE100" s="112"/>
      <c r="CF100" s="124">
        <f t="shared" ca="1" si="165"/>
        <v>0</v>
      </c>
      <c r="CG100" s="124">
        <f t="shared" ca="1" si="106"/>
        <v>0</v>
      </c>
      <c r="CH100" s="125" t="str">
        <f ca="1">IF(CC100=0,"",(SUM(CF100:CG100)))</f>
        <v/>
      </c>
      <c r="CI100" s="61"/>
      <c r="CJ100" s="487">
        <f t="shared" ca="1" si="113"/>
        <v>0</v>
      </c>
      <c r="CK100" s="487">
        <f t="shared" ca="1" si="114"/>
        <v>0</v>
      </c>
      <c r="CL100" s="112"/>
      <c r="CM100" s="127">
        <f t="shared" ca="1" si="166"/>
        <v>0</v>
      </c>
      <c r="CN100" s="127">
        <f t="shared" ca="1" si="107"/>
        <v>0</v>
      </c>
      <c r="CO100" s="128" t="str">
        <f ca="1">IF(CJ100=0,"",(SUM(CM100:CN100)))</f>
        <v/>
      </c>
      <c r="CP100" s="61"/>
      <c r="CQ100" s="108">
        <v>97</v>
      </c>
      <c r="CR100" s="273">
        <v>0.12</v>
      </c>
      <c r="CS100" s="61">
        <f t="shared" si="167"/>
        <v>0</v>
      </c>
      <c r="CT100" s="278">
        <f t="shared" si="168"/>
        <v>0.12</v>
      </c>
      <c r="CU100" s="61">
        <f t="shared" si="169"/>
        <v>1</v>
      </c>
      <c r="CV100" s="287">
        <f t="shared" si="125"/>
        <v>1</v>
      </c>
      <c r="CW100" s="309">
        <f t="shared" si="121"/>
        <v>128.58000000000001</v>
      </c>
      <c r="CX100" s="309">
        <f t="shared" si="122"/>
        <v>63.07</v>
      </c>
      <c r="CY100" s="300">
        <f t="shared" si="123"/>
        <v>255.3</v>
      </c>
      <c r="CZ100" s="309">
        <f t="shared" si="124"/>
        <v>141.72999999999999</v>
      </c>
      <c r="DA100"/>
      <c r="DC100" s="544">
        <v>485.96999999999997</v>
      </c>
    </row>
    <row r="101" spans="1:107">
      <c r="A101" s="146">
        <v>65</v>
      </c>
      <c r="B101" s="141">
        <f ca="1">RESUMEN!J68</f>
        <v>0</v>
      </c>
      <c r="C101" s="141">
        <f ca="1">+RESUMEN!K68</f>
        <v>0</v>
      </c>
      <c r="D101" s="142">
        <f t="shared" ca="1" si="170"/>
        <v>0</v>
      </c>
      <c r="E101" s="60"/>
      <c r="F101" s="60"/>
      <c r="G101" s="60"/>
      <c r="H101" s="133"/>
      <c r="I101" s="288"/>
      <c r="J101" s="132">
        <v>98</v>
      </c>
      <c r="K101" s="36">
        <v>354297.7</v>
      </c>
      <c r="L101" s="36">
        <v>250917.85</v>
      </c>
      <c r="M101" s="36">
        <v>314494.49</v>
      </c>
      <c r="N101" s="36">
        <v>222728.74</v>
      </c>
      <c r="O101" s="36">
        <v>278458.65999999997</v>
      </c>
      <c r="P101" s="36">
        <v>197207.74</v>
      </c>
      <c r="Q101" s="105">
        <f t="shared" si="126"/>
        <v>1295066.49</v>
      </c>
      <c r="R101" s="105">
        <f t="shared" si="127"/>
        <v>1057704.68</v>
      </c>
      <c r="S101" s="105">
        <f t="shared" si="128"/>
        <v>926116.48</v>
      </c>
      <c r="T101" s="105">
        <f t="shared" si="129"/>
        <v>782910.94</v>
      </c>
      <c r="U101" s="105">
        <f t="shared" si="130"/>
        <v>660294.06000000006</v>
      </c>
      <c r="V101" s="105">
        <f t="shared" si="131"/>
        <v>540033.41</v>
      </c>
      <c r="W101" s="61"/>
      <c r="X101" s="106">
        <v>1295066.49</v>
      </c>
      <c r="Y101" s="106">
        <v>1057704.68</v>
      </c>
      <c r="Z101" s="105">
        <f t="shared" si="142"/>
        <v>1350754.34907</v>
      </c>
      <c r="AA101" s="105">
        <f t="shared" si="143"/>
        <v>1103185.9812399999</v>
      </c>
      <c r="AB101" s="105">
        <f t="shared" si="144"/>
        <v>1450474.4688000001</v>
      </c>
      <c r="AC101" s="105">
        <f t="shared" si="145"/>
        <v>1184629.2416000001</v>
      </c>
      <c r="AD101" s="107">
        <v>926116.48</v>
      </c>
      <c r="AE101" s="107">
        <v>782910.94</v>
      </c>
      <c r="AF101" s="105">
        <f t="shared" si="146"/>
        <v>965939.48863999988</v>
      </c>
      <c r="AG101" s="105">
        <f t="shared" si="147"/>
        <v>816576.11041999992</v>
      </c>
      <c r="AH101" s="105">
        <f t="shared" si="148"/>
        <v>1037250.4576000001</v>
      </c>
      <c r="AI101" s="105">
        <f t="shared" si="149"/>
        <v>876860.25280000002</v>
      </c>
      <c r="AJ101" s="106">
        <v>660294.06000000006</v>
      </c>
      <c r="AK101" s="106">
        <v>540033.41</v>
      </c>
      <c r="AL101" s="105">
        <f t="shared" si="150"/>
        <v>688686.70458000002</v>
      </c>
      <c r="AM101" s="105">
        <f t="shared" si="151"/>
        <v>563254.84663000004</v>
      </c>
      <c r="AN101" s="105">
        <f t="shared" si="152"/>
        <v>739529.34720000008</v>
      </c>
      <c r="AO101" s="105">
        <f t="shared" si="153"/>
        <v>604837.41920000012</v>
      </c>
      <c r="AP101" s="61"/>
      <c r="AQ101" s="108">
        <v>98</v>
      </c>
      <c r="AR101" s="109">
        <f ca="1">+RESUMEN!F101</f>
        <v>0</v>
      </c>
      <c r="AS101" s="109">
        <f ca="1">+RESUMEN!G101</f>
        <v>0</v>
      </c>
      <c r="AT101" s="110">
        <f ca="1">AR101+AS101</f>
        <v>0</v>
      </c>
      <c r="AU101" s="111">
        <f t="shared" si="154"/>
        <v>0</v>
      </c>
      <c r="AV101" s="111">
        <f t="shared" si="155"/>
        <v>0</v>
      </c>
      <c r="AW101" s="111">
        <f t="shared" si="156"/>
        <v>0</v>
      </c>
      <c r="AX101" s="111">
        <f t="shared" si="157"/>
        <v>0</v>
      </c>
      <c r="AY101" s="111">
        <f t="shared" ca="1" si="158"/>
        <v>0</v>
      </c>
      <c r="AZ101" s="110"/>
      <c r="BA101" s="111">
        <f t="shared" ca="1" si="115"/>
        <v>0</v>
      </c>
      <c r="BB101" s="111">
        <f t="shared" ca="1" si="116"/>
        <v>0</v>
      </c>
      <c r="BC101" s="112"/>
      <c r="BD101" s="113">
        <f t="shared" ca="1" si="159"/>
        <v>0</v>
      </c>
      <c r="BE101" s="113">
        <f t="shared" ca="1" si="102"/>
        <v>0</v>
      </c>
      <c r="BF101" s="114" t="str">
        <f ca="1">IF(BA101=0,"",(SUM(BD101:BE101)))</f>
        <v/>
      </c>
      <c r="BG101" s="61"/>
      <c r="BH101" s="64">
        <f t="shared" ca="1" si="117"/>
        <v>0</v>
      </c>
      <c r="BI101" s="64">
        <f t="shared" ca="1" si="118"/>
        <v>0</v>
      </c>
      <c r="BJ101" s="112"/>
      <c r="BK101" s="115">
        <f t="shared" ca="1" si="160"/>
        <v>0</v>
      </c>
      <c r="BL101" s="115">
        <f t="shared" ca="1" si="104"/>
        <v>0</v>
      </c>
      <c r="BM101" s="116" t="str">
        <f ca="1">IF(BH101=0,"",(SUM(BK101:BL101)))</f>
        <v/>
      </c>
      <c r="BN101" s="61"/>
      <c r="BO101" s="117">
        <f t="shared" ca="1" si="119"/>
        <v>0</v>
      </c>
      <c r="BP101" s="117">
        <f t="shared" ca="1" si="120"/>
        <v>0</v>
      </c>
      <c r="BQ101" s="112"/>
      <c r="BR101" s="118">
        <f t="shared" ca="1" si="161"/>
        <v>0</v>
      </c>
      <c r="BS101" s="118">
        <f t="shared" ca="1" si="103"/>
        <v>0</v>
      </c>
      <c r="BT101" s="119" t="str">
        <f ca="1">IF(BO101=0,"",(SUM(BR101:BS101)))</f>
        <v/>
      </c>
      <c r="BU101" s="61"/>
      <c r="BV101" s="120">
        <f t="shared" ca="1" si="136"/>
        <v>0</v>
      </c>
      <c r="BW101" s="120">
        <f t="shared" ca="1" si="137"/>
        <v>0</v>
      </c>
      <c r="BX101" s="112"/>
      <c r="BY101" s="121">
        <f t="shared" ca="1" si="162"/>
        <v>0</v>
      </c>
      <c r="BZ101" s="121">
        <f t="shared" ca="1" si="105"/>
        <v>0</v>
      </c>
      <c r="CA101" s="122" t="str">
        <f ca="1">IF(BV101=0,"",(SUM(BY101:BZ101)))</f>
        <v/>
      </c>
      <c r="CB101" s="61"/>
      <c r="CC101" s="123">
        <f t="shared" ca="1" si="163"/>
        <v>0</v>
      </c>
      <c r="CD101" s="123">
        <f t="shared" ca="1" si="164"/>
        <v>0</v>
      </c>
      <c r="CE101" s="112"/>
      <c r="CF101" s="124">
        <f t="shared" ca="1" si="165"/>
        <v>0</v>
      </c>
      <c r="CG101" s="124">
        <f t="shared" ca="1" si="106"/>
        <v>0</v>
      </c>
      <c r="CH101" s="125" t="str">
        <f ca="1">IF(CC101=0,"",(SUM(CF101:CG101)))</f>
        <v/>
      </c>
      <c r="CI101" s="61"/>
      <c r="CJ101" s="487">
        <f t="shared" ca="1" si="113"/>
        <v>0</v>
      </c>
      <c r="CK101" s="487">
        <f t="shared" ca="1" si="114"/>
        <v>0</v>
      </c>
      <c r="CL101" s="112"/>
      <c r="CM101" s="127">
        <f t="shared" ca="1" si="166"/>
        <v>0</v>
      </c>
      <c r="CN101" s="127">
        <f t="shared" ca="1" si="107"/>
        <v>0</v>
      </c>
      <c r="CO101" s="128" t="str">
        <f ca="1">IF(CJ101=0,"",(SUM(CM101:CN101)))</f>
        <v/>
      </c>
      <c r="CP101" s="61"/>
      <c r="CQ101" s="108">
        <v>98</v>
      </c>
      <c r="CR101" s="273">
        <v>0.12</v>
      </c>
      <c r="CS101" s="61">
        <f t="shared" si="167"/>
        <v>0</v>
      </c>
      <c r="CT101" s="278">
        <f t="shared" si="168"/>
        <v>0.12</v>
      </c>
      <c r="CU101" s="61">
        <f t="shared" si="169"/>
        <v>1</v>
      </c>
      <c r="CV101" s="287">
        <f t="shared" si="125"/>
        <v>1</v>
      </c>
      <c r="CW101" s="309">
        <f t="shared" si="121"/>
        <v>128.58000000000001</v>
      </c>
      <c r="CX101" s="309">
        <f t="shared" si="122"/>
        <v>63.07</v>
      </c>
      <c r="CY101" s="300">
        <f t="shared" si="123"/>
        <v>255.3</v>
      </c>
      <c r="CZ101" s="309">
        <f t="shared" si="124"/>
        <v>141.72999999999999</v>
      </c>
      <c r="DA101"/>
      <c r="DC101" s="544">
        <v>485.96999999999997</v>
      </c>
    </row>
    <row r="102" spans="1:107">
      <c r="A102" s="146">
        <v>66</v>
      </c>
      <c r="B102" s="141">
        <f ca="1">RESUMEN!J69</f>
        <v>0</v>
      </c>
      <c r="C102" s="141">
        <f ca="1">+RESUMEN!K69</f>
        <v>0</v>
      </c>
      <c r="D102" s="142">
        <f t="shared" ca="1" si="170"/>
        <v>0</v>
      </c>
      <c r="E102" s="60"/>
      <c r="F102" s="60"/>
      <c r="G102" s="60"/>
      <c r="H102" s="133"/>
      <c r="I102" s="288"/>
      <c r="J102" s="132">
        <v>99</v>
      </c>
      <c r="K102" s="36">
        <v>354297.7</v>
      </c>
      <c r="L102" s="36">
        <v>250917.85</v>
      </c>
      <c r="M102" s="36">
        <v>314494.49</v>
      </c>
      <c r="N102" s="36">
        <v>222728.74</v>
      </c>
      <c r="O102" s="36">
        <v>278458.65999999997</v>
      </c>
      <c r="P102" s="36">
        <v>197207.74</v>
      </c>
      <c r="Q102" s="105">
        <f t="shared" si="126"/>
        <v>1295066.49</v>
      </c>
      <c r="R102" s="105">
        <f t="shared" si="127"/>
        <v>1057704.68</v>
      </c>
      <c r="S102" s="105">
        <f t="shared" si="128"/>
        <v>926116.48</v>
      </c>
      <c r="T102" s="105">
        <f t="shared" si="129"/>
        <v>782910.94</v>
      </c>
      <c r="U102" s="105">
        <f t="shared" si="130"/>
        <v>660294.06000000006</v>
      </c>
      <c r="V102" s="105">
        <f t="shared" si="131"/>
        <v>540033.41</v>
      </c>
      <c r="W102" s="61"/>
      <c r="X102" s="106">
        <v>1295066.49</v>
      </c>
      <c r="Y102" s="106">
        <v>1057704.68</v>
      </c>
      <c r="Z102" s="105">
        <f t="shared" si="142"/>
        <v>1350754.34907</v>
      </c>
      <c r="AA102" s="105">
        <f t="shared" si="143"/>
        <v>1103185.9812399999</v>
      </c>
      <c r="AB102" s="105">
        <f t="shared" si="144"/>
        <v>1450474.4688000001</v>
      </c>
      <c r="AC102" s="105">
        <f t="shared" si="145"/>
        <v>1184629.2416000001</v>
      </c>
      <c r="AD102" s="107">
        <v>926116.48</v>
      </c>
      <c r="AE102" s="107">
        <v>782910.94</v>
      </c>
      <c r="AF102" s="105">
        <f t="shared" si="146"/>
        <v>965939.48863999988</v>
      </c>
      <c r="AG102" s="105">
        <f t="shared" si="147"/>
        <v>816576.11041999992</v>
      </c>
      <c r="AH102" s="105">
        <f t="shared" si="148"/>
        <v>1037250.4576000001</v>
      </c>
      <c r="AI102" s="105">
        <f t="shared" si="149"/>
        <v>876860.25280000002</v>
      </c>
      <c r="AJ102" s="106">
        <v>660294.06000000006</v>
      </c>
      <c r="AK102" s="106">
        <v>540033.41</v>
      </c>
      <c r="AL102" s="105">
        <f t="shared" si="150"/>
        <v>688686.70458000002</v>
      </c>
      <c r="AM102" s="105">
        <f t="shared" si="151"/>
        <v>563254.84663000004</v>
      </c>
      <c r="AN102" s="105">
        <f t="shared" si="152"/>
        <v>739529.34720000008</v>
      </c>
      <c r="AO102" s="105">
        <f t="shared" si="153"/>
        <v>604837.41920000012</v>
      </c>
      <c r="AP102" s="61"/>
      <c r="AQ102" s="108">
        <v>99</v>
      </c>
      <c r="AR102" s="109">
        <f ca="1">+RESUMEN!F102</f>
        <v>0</v>
      </c>
      <c r="AS102" s="109">
        <f ca="1">+RESUMEN!G102</f>
        <v>0</v>
      </c>
      <c r="AT102" s="110">
        <f ca="1">AR102+AS102</f>
        <v>0</v>
      </c>
      <c r="AU102" s="111">
        <f t="shared" si="154"/>
        <v>0</v>
      </c>
      <c r="AV102" s="111">
        <f t="shared" si="155"/>
        <v>0</v>
      </c>
      <c r="AW102" s="111">
        <f t="shared" si="156"/>
        <v>0</v>
      </c>
      <c r="AX102" s="111">
        <f t="shared" si="157"/>
        <v>0</v>
      </c>
      <c r="AY102" s="111">
        <f t="shared" ca="1" si="158"/>
        <v>0</v>
      </c>
      <c r="AZ102" s="110"/>
      <c r="BA102" s="111">
        <f t="shared" ca="1" si="115"/>
        <v>0</v>
      </c>
      <c r="BB102" s="111">
        <f t="shared" ca="1" si="116"/>
        <v>0</v>
      </c>
      <c r="BC102" s="112"/>
      <c r="BD102" s="113">
        <f t="shared" ca="1" si="159"/>
        <v>0</v>
      </c>
      <c r="BE102" s="113">
        <f t="shared" ca="1" si="102"/>
        <v>0</v>
      </c>
      <c r="BF102" s="114" t="str">
        <f ca="1">IF(BA102=0,"",(SUM(BD102:BE102)))</f>
        <v/>
      </c>
      <c r="BG102" s="61"/>
      <c r="BH102" s="64">
        <f t="shared" ca="1" si="117"/>
        <v>0</v>
      </c>
      <c r="BI102" s="64">
        <f t="shared" ca="1" si="118"/>
        <v>0</v>
      </c>
      <c r="BJ102" s="112"/>
      <c r="BK102" s="115">
        <f t="shared" ca="1" si="160"/>
        <v>0</v>
      </c>
      <c r="BL102" s="115">
        <f t="shared" ca="1" si="104"/>
        <v>0</v>
      </c>
      <c r="BM102" s="116" t="str">
        <f ca="1">IF(BH102=0,"",(SUM(BK102:BL102)))</f>
        <v/>
      </c>
      <c r="BN102" s="61"/>
      <c r="BO102" s="117">
        <f t="shared" ca="1" si="119"/>
        <v>0</v>
      </c>
      <c r="BP102" s="117">
        <f t="shared" ca="1" si="120"/>
        <v>0</v>
      </c>
      <c r="BQ102" s="112"/>
      <c r="BR102" s="118">
        <f t="shared" ca="1" si="161"/>
        <v>0</v>
      </c>
      <c r="BS102" s="118">
        <f t="shared" ca="1" si="103"/>
        <v>0</v>
      </c>
      <c r="BT102" s="119" t="str">
        <f ca="1">IF(BO102=0,"",(SUM(BR102:BS102)))</f>
        <v/>
      </c>
      <c r="BU102" s="61"/>
      <c r="BV102" s="120">
        <f t="shared" ca="1" si="136"/>
        <v>0</v>
      </c>
      <c r="BW102" s="120">
        <f t="shared" ca="1" si="137"/>
        <v>0</v>
      </c>
      <c r="BX102" s="112"/>
      <c r="BY102" s="121">
        <f t="shared" ca="1" si="162"/>
        <v>0</v>
      </c>
      <c r="BZ102" s="121">
        <f t="shared" ca="1" si="105"/>
        <v>0</v>
      </c>
      <c r="CA102" s="122" t="str">
        <f ca="1">IF(BV102=0,"",(SUM(BY102:BZ102)))</f>
        <v/>
      </c>
      <c r="CB102" s="61"/>
      <c r="CC102" s="123">
        <f t="shared" ca="1" si="163"/>
        <v>0</v>
      </c>
      <c r="CD102" s="123">
        <f t="shared" ca="1" si="164"/>
        <v>0</v>
      </c>
      <c r="CE102" s="112"/>
      <c r="CF102" s="124">
        <f t="shared" ca="1" si="165"/>
        <v>0</v>
      </c>
      <c r="CG102" s="124">
        <f t="shared" ca="1" si="106"/>
        <v>0</v>
      </c>
      <c r="CH102" s="125" t="str">
        <f ca="1">IF(CC102=0,"",(SUM(CF102:CG102)))</f>
        <v/>
      </c>
      <c r="CI102" s="61"/>
      <c r="CJ102" s="487">
        <f t="shared" ca="1" si="113"/>
        <v>0</v>
      </c>
      <c r="CK102" s="487">
        <f t="shared" ca="1" si="114"/>
        <v>0</v>
      </c>
      <c r="CL102" s="112"/>
      <c r="CM102" s="127">
        <f t="shared" ca="1" si="166"/>
        <v>0</v>
      </c>
      <c r="CN102" s="127">
        <f t="shared" ca="1" si="107"/>
        <v>0</v>
      </c>
      <c r="CO102" s="128" t="str">
        <f ca="1">IF(CJ102=0,"",(SUM(CM102:CN102)))</f>
        <v/>
      </c>
      <c r="CP102" s="61"/>
      <c r="CQ102" s="108">
        <v>99</v>
      </c>
      <c r="CR102" s="273">
        <v>0.12</v>
      </c>
      <c r="CS102" s="61">
        <f t="shared" si="167"/>
        <v>0</v>
      </c>
      <c r="CT102" s="278">
        <f t="shared" si="168"/>
        <v>0.12</v>
      </c>
      <c r="CU102" s="61">
        <f t="shared" si="169"/>
        <v>1</v>
      </c>
      <c r="CV102" s="287">
        <f t="shared" si="125"/>
        <v>1</v>
      </c>
      <c r="CW102" s="309">
        <f t="shared" si="121"/>
        <v>128.58000000000001</v>
      </c>
      <c r="CX102" s="309">
        <f t="shared" si="122"/>
        <v>63.07</v>
      </c>
      <c r="CY102" s="300">
        <f t="shared" si="123"/>
        <v>255.3</v>
      </c>
      <c r="CZ102" s="309">
        <f t="shared" si="124"/>
        <v>141.72999999999999</v>
      </c>
      <c r="DA102"/>
      <c r="DC102" s="544">
        <v>485.96999999999997</v>
      </c>
    </row>
    <row r="103" spans="1:107" ht="16" thickBot="1">
      <c r="A103" s="146">
        <v>67</v>
      </c>
      <c r="B103" s="141">
        <f ca="1">RESUMEN!J70</f>
        <v>0</v>
      </c>
      <c r="C103" s="141">
        <f ca="1">+RESUMEN!K70</f>
        <v>0</v>
      </c>
      <c r="D103" s="142">
        <f t="shared" ca="1" si="170"/>
        <v>0</v>
      </c>
      <c r="E103" s="60"/>
      <c r="F103" s="60"/>
      <c r="G103" s="60"/>
      <c r="H103" s="133"/>
      <c r="I103" s="288"/>
      <c r="J103" s="132">
        <v>100</v>
      </c>
      <c r="K103" s="36">
        <v>354297.7</v>
      </c>
      <c r="L103" s="36">
        <v>250917.85</v>
      </c>
      <c r="M103" s="36">
        <v>314494.49</v>
      </c>
      <c r="N103" s="36">
        <v>222728.74</v>
      </c>
      <c r="O103" s="36">
        <v>278458.65999999997</v>
      </c>
      <c r="P103" s="36">
        <v>197207.74</v>
      </c>
      <c r="Q103" s="105">
        <f t="shared" si="126"/>
        <v>1295066.49</v>
      </c>
      <c r="R103" s="105">
        <f t="shared" si="127"/>
        <v>1057704.68</v>
      </c>
      <c r="S103" s="105">
        <f t="shared" si="128"/>
        <v>926116.48</v>
      </c>
      <c r="T103" s="105">
        <f t="shared" si="129"/>
        <v>782910.94</v>
      </c>
      <c r="U103" s="105">
        <f t="shared" si="130"/>
        <v>660294.06000000006</v>
      </c>
      <c r="V103" s="105">
        <f t="shared" si="131"/>
        <v>540033.41</v>
      </c>
      <c r="W103" s="61"/>
      <c r="X103" s="106">
        <v>1295066.49</v>
      </c>
      <c r="Y103" s="106">
        <v>1057704.68</v>
      </c>
      <c r="Z103" s="105">
        <f t="shared" si="142"/>
        <v>1350754.34907</v>
      </c>
      <c r="AA103" s="105">
        <f t="shared" si="143"/>
        <v>1103185.9812399999</v>
      </c>
      <c r="AB103" s="105">
        <f t="shared" si="144"/>
        <v>1450474.4688000001</v>
      </c>
      <c r="AC103" s="105">
        <f t="shared" si="145"/>
        <v>1184629.2416000001</v>
      </c>
      <c r="AD103" s="107">
        <v>926116.48</v>
      </c>
      <c r="AE103" s="107">
        <v>782910.94</v>
      </c>
      <c r="AF103" s="105">
        <f t="shared" si="146"/>
        <v>965939.48863999988</v>
      </c>
      <c r="AG103" s="105">
        <f t="shared" si="147"/>
        <v>816576.11041999992</v>
      </c>
      <c r="AH103" s="105">
        <f t="shared" si="148"/>
        <v>1037250.4576000001</v>
      </c>
      <c r="AI103" s="105">
        <f t="shared" si="149"/>
        <v>876860.25280000002</v>
      </c>
      <c r="AJ103" s="106">
        <v>660294.06000000006</v>
      </c>
      <c r="AK103" s="106">
        <v>540033.41</v>
      </c>
      <c r="AL103" s="105">
        <f t="shared" si="150"/>
        <v>688686.70458000002</v>
      </c>
      <c r="AM103" s="105">
        <f t="shared" si="151"/>
        <v>563254.84663000004</v>
      </c>
      <c r="AN103" s="105">
        <f t="shared" si="152"/>
        <v>739529.34720000008</v>
      </c>
      <c r="AO103" s="105">
        <f t="shared" si="153"/>
        <v>604837.41920000012</v>
      </c>
      <c r="AP103" s="61"/>
      <c r="AQ103" s="331">
        <v>100</v>
      </c>
      <c r="AR103" s="515">
        <f ca="1">+RESUMEN!F103</f>
        <v>0</v>
      </c>
      <c r="AS103" s="515">
        <f ca="1">+RESUMEN!G103</f>
        <v>0</v>
      </c>
      <c r="AT103" s="516">
        <f ca="1">AR103+AS103</f>
        <v>0</v>
      </c>
      <c r="AU103" s="517">
        <f t="shared" si="154"/>
        <v>0</v>
      </c>
      <c r="AV103" s="517">
        <f t="shared" si="155"/>
        <v>0</v>
      </c>
      <c r="AW103" s="517">
        <f t="shared" si="156"/>
        <v>0</v>
      </c>
      <c r="AX103" s="517">
        <f t="shared" si="157"/>
        <v>0</v>
      </c>
      <c r="AY103" s="517">
        <f t="shared" ca="1" si="158"/>
        <v>0</v>
      </c>
      <c r="AZ103" s="516"/>
      <c r="BA103" s="111">
        <f t="shared" ca="1" si="115"/>
        <v>0</v>
      </c>
      <c r="BB103" s="111">
        <f t="shared" ca="1" si="116"/>
        <v>0</v>
      </c>
      <c r="BC103" s="518"/>
      <c r="BD103" s="519">
        <f t="shared" ca="1" si="159"/>
        <v>0</v>
      </c>
      <c r="BE103" s="519">
        <f t="shared" ca="1" si="102"/>
        <v>0</v>
      </c>
      <c r="BF103" s="520" t="str">
        <f ca="1">IF(BA103=0,"",(SUM(BD103:BE103)))</f>
        <v/>
      </c>
      <c r="BG103" s="333"/>
      <c r="BH103" s="64">
        <f t="shared" ca="1" si="117"/>
        <v>0</v>
      </c>
      <c r="BI103" s="64">
        <f t="shared" ca="1" si="118"/>
        <v>0</v>
      </c>
      <c r="BJ103" s="518"/>
      <c r="BK103" s="521">
        <f t="shared" ca="1" si="160"/>
        <v>0</v>
      </c>
      <c r="BL103" s="521">
        <f t="shared" ca="1" si="104"/>
        <v>0</v>
      </c>
      <c r="BM103" s="522" t="str">
        <f ca="1">IF(BH103=0,"",(SUM(BK103:BL103)))</f>
        <v/>
      </c>
      <c r="BN103" s="333"/>
      <c r="BO103" s="117">
        <f t="shared" ca="1" si="119"/>
        <v>0</v>
      </c>
      <c r="BP103" s="117">
        <f t="shared" ca="1" si="120"/>
        <v>0</v>
      </c>
      <c r="BQ103" s="518"/>
      <c r="BR103" s="523">
        <f t="shared" ca="1" si="161"/>
        <v>0</v>
      </c>
      <c r="BS103" s="523">
        <f t="shared" ca="1" si="103"/>
        <v>0</v>
      </c>
      <c r="BT103" s="524" t="str">
        <f ca="1">IF(BO103=0,"",(SUM(BR103:BS103)))</f>
        <v/>
      </c>
      <c r="BU103" s="333"/>
      <c r="BV103" s="525">
        <f t="shared" ca="1" si="136"/>
        <v>0</v>
      </c>
      <c r="BW103" s="525">
        <f t="shared" ca="1" si="137"/>
        <v>0</v>
      </c>
      <c r="BX103" s="518"/>
      <c r="BY103" s="526">
        <f t="shared" ca="1" si="162"/>
        <v>0</v>
      </c>
      <c r="BZ103" s="526">
        <f t="shared" ca="1" si="105"/>
        <v>0</v>
      </c>
      <c r="CA103" s="527" t="str">
        <f ca="1">IF(BV103=0,"",(SUM(BY103:BZ103)))</f>
        <v/>
      </c>
      <c r="CB103" s="333"/>
      <c r="CC103" s="123">
        <f t="shared" ca="1" si="163"/>
        <v>0</v>
      </c>
      <c r="CD103" s="123">
        <f t="shared" ca="1" si="164"/>
        <v>0</v>
      </c>
      <c r="CE103" s="518"/>
      <c r="CF103" s="124">
        <f t="shared" ca="1" si="165"/>
        <v>0</v>
      </c>
      <c r="CG103" s="124">
        <f t="shared" ca="1" si="106"/>
        <v>0</v>
      </c>
      <c r="CH103" s="528" t="str">
        <f ca="1">IF(CC103=0,"",(SUM(CF103:CG103)))</f>
        <v/>
      </c>
      <c r="CI103" s="333"/>
      <c r="CJ103" s="487">
        <f t="shared" ca="1" si="113"/>
        <v>0</v>
      </c>
      <c r="CK103" s="487">
        <f t="shared" ca="1" si="114"/>
        <v>0</v>
      </c>
      <c r="CL103" s="518"/>
      <c r="CM103" s="529">
        <f t="shared" ca="1" si="166"/>
        <v>0</v>
      </c>
      <c r="CN103" s="529">
        <f t="shared" ca="1" si="107"/>
        <v>0</v>
      </c>
      <c r="CO103" s="530" t="str">
        <f ca="1">IF(CJ103=0,"",(SUM(CM103:CN103)))</f>
        <v/>
      </c>
      <c r="CP103" s="333"/>
      <c r="CQ103" s="331">
        <v>100</v>
      </c>
      <c r="CR103" s="332">
        <v>0.12</v>
      </c>
      <c r="CS103" s="333">
        <f t="shared" si="167"/>
        <v>0</v>
      </c>
      <c r="CT103" s="334">
        <f t="shared" si="168"/>
        <v>0.12</v>
      </c>
      <c r="CU103" s="333">
        <f t="shared" si="169"/>
        <v>1</v>
      </c>
      <c r="CV103" s="335">
        <f t="shared" si="125"/>
        <v>1</v>
      </c>
      <c r="CW103" s="309">
        <f t="shared" si="121"/>
        <v>128.58000000000001</v>
      </c>
      <c r="CX103" s="309">
        <f t="shared" si="122"/>
        <v>63.07</v>
      </c>
      <c r="CY103" s="300">
        <f t="shared" si="123"/>
        <v>255.3</v>
      </c>
      <c r="CZ103" s="309">
        <f t="shared" si="124"/>
        <v>141.72999999999999</v>
      </c>
      <c r="DA103"/>
      <c r="DC103" s="544">
        <v>485.96999999999997</v>
      </c>
    </row>
    <row r="104" spans="1:107" ht="16" thickBot="1">
      <c r="A104" s="146">
        <v>68</v>
      </c>
      <c r="B104" s="141">
        <f ca="1">RESUMEN!J71</f>
        <v>0</v>
      </c>
      <c r="C104" s="141">
        <f ca="1">+RESUMEN!K71</f>
        <v>0</v>
      </c>
      <c r="D104" s="142">
        <f t="shared" ca="1" si="170"/>
        <v>0</v>
      </c>
      <c r="E104" s="60"/>
      <c r="F104" s="60"/>
      <c r="G104" s="60"/>
      <c r="H104" s="133"/>
      <c r="I104" s="133"/>
      <c r="J104" s="149"/>
      <c r="K104" s="150"/>
      <c r="L104" s="150"/>
      <c r="M104" s="150"/>
      <c r="N104" s="150"/>
      <c r="O104" s="264"/>
      <c r="P104" s="264"/>
      <c r="Q104" s="153" t="s">
        <v>294</v>
      </c>
      <c r="R104" s="153"/>
      <c r="S104" s="153"/>
      <c r="T104" s="153"/>
      <c r="U104" s="153"/>
      <c r="V104" s="153"/>
      <c r="W104" s="153"/>
      <c r="X104" s="153"/>
      <c r="Y104" s="153"/>
      <c r="Z104" s="153"/>
      <c r="AA104" s="153"/>
      <c r="AB104" s="153"/>
      <c r="AC104" s="153"/>
      <c r="AD104" s="153"/>
      <c r="AE104" s="153"/>
      <c r="AF104" s="61"/>
      <c r="AG104" s="61"/>
      <c r="AH104" s="61"/>
      <c r="AI104" s="61"/>
      <c r="AJ104" s="61"/>
      <c r="AK104" s="61"/>
      <c r="AL104" s="150"/>
      <c r="AM104" s="150"/>
      <c r="AN104" s="150"/>
      <c r="AO104" s="150"/>
      <c r="AP104" s="61"/>
      <c r="AQ104" s="176" t="s">
        <v>52</v>
      </c>
      <c r="AR104" s="490">
        <f ca="1">+SUM(AR3:AR103)</f>
        <v>0</v>
      </c>
      <c r="AS104" s="490">
        <f ca="1">+SUM(AS3:AS103)</f>
        <v>0</v>
      </c>
      <c r="AT104" s="490">
        <f ca="1">+SUM(AT3:AT103)</f>
        <v>0</v>
      </c>
      <c r="AU104" s="491"/>
      <c r="AV104" s="491"/>
      <c r="AW104" s="491"/>
      <c r="AX104" s="491"/>
      <c r="AY104" s="491"/>
      <c r="AZ104" s="490"/>
      <c r="BA104" s="491"/>
      <c r="BB104" s="491"/>
      <c r="BC104" s="491"/>
      <c r="BD104" s="491">
        <f ca="1">+SUM(BD3:BD103)</f>
        <v>0</v>
      </c>
      <c r="BE104" s="491">
        <f ca="1">+SUM(BE3:BE103)</f>
        <v>0</v>
      </c>
      <c r="BF104" s="491">
        <f ca="1">+SUM(BF3:BF103)</f>
        <v>0</v>
      </c>
      <c r="BG104" s="61"/>
      <c r="BH104" s="492"/>
      <c r="BI104" s="492"/>
      <c r="BJ104" s="492"/>
      <c r="BK104" s="492">
        <f ca="1">+SUM(BK3:BK103)</f>
        <v>0</v>
      </c>
      <c r="BL104" s="492">
        <f ca="1">+SUM(BL3:BL103)</f>
        <v>0</v>
      </c>
      <c r="BM104" s="492">
        <f ca="1">+SUM(BM3:BM103)</f>
        <v>0</v>
      </c>
      <c r="BN104" s="61"/>
      <c r="BO104" s="493"/>
      <c r="BP104" s="493"/>
      <c r="BQ104" s="493"/>
      <c r="BR104" s="493">
        <f ca="1">+SUM(BR3:BR103)</f>
        <v>0</v>
      </c>
      <c r="BS104" s="493">
        <f ca="1">+SUM(BS3:BS103)</f>
        <v>0</v>
      </c>
      <c r="BT104" s="493">
        <f ca="1">+SUM(BT3:BT103)</f>
        <v>0</v>
      </c>
      <c r="BU104" s="61"/>
      <c r="BV104" s="494"/>
      <c r="BW104" s="494"/>
      <c r="BX104" s="494"/>
      <c r="BY104" s="494">
        <f ca="1">+SUM(BY3:BY103)</f>
        <v>0</v>
      </c>
      <c r="BZ104" s="494">
        <f ca="1">+SUM(BZ3:BZ103)</f>
        <v>0</v>
      </c>
      <c r="CA104" s="494">
        <f ca="1">+SUM(CA3:CA103)</f>
        <v>0</v>
      </c>
      <c r="CB104" s="61"/>
      <c r="CC104" s="495"/>
      <c r="CD104" s="495"/>
      <c r="CE104" s="495"/>
      <c r="CF104" s="495">
        <f ca="1">+SUM(CF3:CF103)</f>
        <v>0</v>
      </c>
      <c r="CG104" s="495">
        <f ca="1">+SUM(CG3:CG103)</f>
        <v>0</v>
      </c>
      <c r="CH104" s="495">
        <f ca="1">+SUM(CH3:CH103)</f>
        <v>0</v>
      </c>
      <c r="CI104" s="61"/>
      <c r="CJ104" s="496"/>
      <c r="CK104" s="496"/>
      <c r="CL104" s="496"/>
      <c r="CM104" s="496">
        <f ca="1">+SUM(CM3:CM103)</f>
        <v>0</v>
      </c>
      <c r="CN104" s="496">
        <f ca="1">+SUM(CN3:CN103)</f>
        <v>0</v>
      </c>
      <c r="CO104" s="496">
        <f ca="1">+SUM(CO3:CO103)</f>
        <v>0</v>
      </c>
      <c r="CP104" s="61"/>
      <c r="CQ104" s="61"/>
      <c r="CR104" s="496"/>
      <c r="CS104" s="61"/>
      <c r="CT104" s="61"/>
      <c r="CU104" s="61"/>
      <c r="CV104" s="61"/>
    </row>
    <row r="105" spans="1:107">
      <c r="A105" s="146">
        <v>69</v>
      </c>
      <c r="B105" s="141">
        <f ca="1">RESUMEN!J72</f>
        <v>0</v>
      </c>
      <c r="C105" s="141">
        <f ca="1">+RESUMEN!K72</f>
        <v>0</v>
      </c>
      <c r="D105" s="142">
        <f t="shared" ca="1" si="170"/>
        <v>0</v>
      </c>
      <c r="E105" s="60"/>
      <c r="F105" s="573" t="s">
        <v>418</v>
      </c>
      <c r="G105" s="574"/>
      <c r="H105" s="574"/>
      <c r="I105" s="133"/>
      <c r="J105" s="575" t="s">
        <v>11</v>
      </c>
      <c r="K105" s="576"/>
      <c r="L105"/>
      <c r="M105" s="151"/>
      <c r="N105" s="151"/>
      <c r="O105" s="61"/>
      <c r="P105" s="61"/>
      <c r="Q105" s="152" t="s">
        <v>17</v>
      </c>
      <c r="R105" s="153" t="s">
        <v>220</v>
      </c>
      <c r="S105" s="153" t="s">
        <v>63</v>
      </c>
      <c r="T105" s="153" t="s">
        <v>221</v>
      </c>
      <c r="U105" s="153" t="s">
        <v>222</v>
      </c>
      <c r="V105" s="61"/>
      <c r="W105" s="152" t="s">
        <v>284</v>
      </c>
      <c r="X105" s="153" t="s">
        <v>221</v>
      </c>
      <c r="Y105" s="153" t="s">
        <v>63</v>
      </c>
      <c r="Z105" s="153" t="s">
        <v>220</v>
      </c>
      <c r="AA105" s="153" t="s">
        <v>60</v>
      </c>
      <c r="AB105" s="153" t="s">
        <v>221</v>
      </c>
      <c r="AC105" s="153" t="s">
        <v>63</v>
      </c>
      <c r="AD105" s="153" t="s">
        <v>220</v>
      </c>
      <c r="AE105" s="153" t="s">
        <v>60</v>
      </c>
      <c r="AF105" s="61"/>
      <c r="AG105"/>
      <c r="AH105"/>
      <c r="AI105"/>
      <c r="AJ105" s="61"/>
      <c r="AK105" s="61"/>
      <c r="AL105" s="150"/>
      <c r="AM105" s="150"/>
      <c r="AN105" s="150"/>
      <c r="AO105" s="150"/>
      <c r="AP105" s="61"/>
      <c r="AQ105" s="61">
        <v>1</v>
      </c>
      <c r="AR105" s="61">
        <v>2</v>
      </c>
      <c r="AS105" s="61">
        <v>3</v>
      </c>
      <c r="AT105" s="61">
        <v>4</v>
      </c>
      <c r="AU105" s="61">
        <v>5</v>
      </c>
      <c r="AV105" s="61">
        <v>6</v>
      </c>
      <c r="AW105" s="61">
        <v>7</v>
      </c>
      <c r="AX105" s="61">
        <v>8</v>
      </c>
      <c r="AY105" s="61">
        <v>9</v>
      </c>
      <c r="AZ105" s="61">
        <v>10</v>
      </c>
      <c r="BA105" s="61">
        <v>11</v>
      </c>
      <c r="BB105" s="61">
        <v>12</v>
      </c>
      <c r="BC105" s="61">
        <v>13</v>
      </c>
      <c r="BD105" s="61">
        <v>14</v>
      </c>
      <c r="BE105" s="61">
        <v>15</v>
      </c>
      <c r="BF105" s="61">
        <v>16</v>
      </c>
      <c r="BG105" s="61">
        <v>17</v>
      </c>
      <c r="BH105" s="61">
        <v>18</v>
      </c>
      <c r="BI105" s="61">
        <v>19</v>
      </c>
      <c r="BJ105" s="61">
        <v>20</v>
      </c>
      <c r="BK105" s="61">
        <v>21</v>
      </c>
      <c r="BL105" s="61">
        <v>22</v>
      </c>
      <c r="BM105" s="61">
        <v>23</v>
      </c>
      <c r="BN105" s="61">
        <v>24</v>
      </c>
      <c r="BO105" s="61">
        <v>25</v>
      </c>
      <c r="BP105" s="61">
        <v>26</v>
      </c>
      <c r="BQ105" s="61">
        <v>27</v>
      </c>
      <c r="BR105" s="61">
        <v>28</v>
      </c>
      <c r="BS105" s="61">
        <v>29</v>
      </c>
      <c r="BT105" s="61">
        <v>30</v>
      </c>
      <c r="BU105" s="61">
        <v>31</v>
      </c>
      <c r="BV105" s="61">
        <v>32</v>
      </c>
      <c r="BW105" s="61">
        <v>33</v>
      </c>
      <c r="BX105" s="61">
        <v>34</v>
      </c>
      <c r="BY105" s="61">
        <v>35</v>
      </c>
      <c r="BZ105" s="61">
        <v>36</v>
      </c>
      <c r="CA105" s="61">
        <v>37</v>
      </c>
      <c r="CB105" s="61">
        <v>38</v>
      </c>
      <c r="CC105" s="61">
        <v>39</v>
      </c>
      <c r="CD105" s="61">
        <v>40</v>
      </c>
      <c r="CE105" s="61">
        <v>41</v>
      </c>
      <c r="CF105" s="61">
        <v>42</v>
      </c>
      <c r="CG105" s="61">
        <v>43</v>
      </c>
      <c r="CH105" s="61">
        <v>44</v>
      </c>
      <c r="CI105" s="61">
        <v>45</v>
      </c>
      <c r="CJ105" s="61">
        <v>46</v>
      </c>
      <c r="CK105" s="61">
        <v>47</v>
      </c>
      <c r="CL105" s="61">
        <v>48</v>
      </c>
      <c r="CM105" s="61">
        <v>49</v>
      </c>
      <c r="CN105" s="61">
        <v>50</v>
      </c>
      <c r="CO105" s="61">
        <v>51</v>
      </c>
      <c r="CP105" s="61"/>
      <c r="CQ105" s="61"/>
      <c r="CR105" s="61"/>
      <c r="CS105" s="61"/>
      <c r="CT105" s="61"/>
      <c r="CU105" s="61"/>
      <c r="CV105" s="61"/>
    </row>
    <row r="106" spans="1:107">
      <c r="A106" s="146">
        <v>70</v>
      </c>
      <c r="B106" s="141">
        <f ca="1">RESUMEN!J73</f>
        <v>0</v>
      </c>
      <c r="C106" s="141">
        <f ca="1">+RESUMEN!K73</f>
        <v>0</v>
      </c>
      <c r="D106" s="142">
        <f t="shared" ca="1" si="170"/>
        <v>0</v>
      </c>
      <c r="E106" s="60"/>
      <c r="F106" s="312" t="s">
        <v>17</v>
      </c>
      <c r="G106" s="314" t="s">
        <v>5</v>
      </c>
      <c r="H106" s="314" t="s">
        <v>6</v>
      </c>
      <c r="I106" s="133"/>
      <c r="J106" s="151" t="s">
        <v>17</v>
      </c>
      <c r="K106" s="154" t="s">
        <v>117</v>
      </c>
      <c r="L106" s="155"/>
      <c r="M106" s="151" t="s">
        <v>85</v>
      </c>
      <c r="N106" s="154" t="s">
        <v>251</v>
      </c>
      <c r="O106" s="61"/>
      <c r="P106" s="61"/>
      <c r="Q106" s="156">
        <v>18</v>
      </c>
      <c r="R106" s="157">
        <v>41</v>
      </c>
      <c r="S106" s="157">
        <v>39</v>
      </c>
      <c r="T106" s="157">
        <v>37</v>
      </c>
      <c r="U106" s="157">
        <v>77.47821975085985</v>
      </c>
      <c r="V106" s="61"/>
      <c r="W106" s="158">
        <v>1</v>
      </c>
      <c r="X106" s="159">
        <v>0</v>
      </c>
      <c r="Y106" s="159">
        <v>0</v>
      </c>
      <c r="Z106" s="159">
        <v>0</v>
      </c>
      <c r="AA106" s="159">
        <v>0</v>
      </c>
      <c r="AB106" s="160">
        <v>18000</v>
      </c>
      <c r="AC106" s="160">
        <v>19000</v>
      </c>
      <c r="AD106" s="160">
        <v>20000</v>
      </c>
      <c r="AE106" s="160">
        <v>25000</v>
      </c>
      <c r="AF106" s="61"/>
      <c r="AG106"/>
      <c r="AH106"/>
      <c r="AI106"/>
      <c r="AJ106" s="61"/>
      <c r="AK106" s="61"/>
      <c r="AL106" s="150"/>
      <c r="AM106" s="150"/>
      <c r="AN106" s="150"/>
      <c r="AO106" s="150"/>
      <c r="AP106" s="61"/>
      <c r="AQ106" s="61"/>
      <c r="AR106" s="61"/>
      <c r="AS106" s="61"/>
      <c r="AT106" s="61"/>
      <c r="AU106" s="61"/>
      <c r="AV106" s="61"/>
      <c r="AW106" s="61"/>
      <c r="AX106" s="61"/>
      <c r="AY106" s="61"/>
      <c r="AZ106" s="61"/>
      <c r="BA106" s="61"/>
      <c r="BB106" s="61"/>
      <c r="BC106" s="61"/>
      <c r="BD106" s="61"/>
      <c r="BE106" s="61"/>
      <c r="BF106" s="61"/>
      <c r="BG106" s="61"/>
      <c r="BH106" s="61"/>
      <c r="BI106" s="61"/>
      <c r="BJ106" s="61"/>
      <c r="BK106" s="61"/>
      <c r="BL106" s="61"/>
      <c r="BM106" s="61"/>
      <c r="BN106" s="61"/>
      <c r="BO106" s="61"/>
      <c r="BP106" s="61"/>
      <c r="BQ106" s="61"/>
      <c r="BR106" s="61"/>
      <c r="BS106" s="61"/>
      <c r="BT106" s="61"/>
      <c r="BU106" s="61"/>
      <c r="BV106" s="61"/>
      <c r="BW106" s="61"/>
      <c r="BX106" s="61"/>
      <c r="BY106" s="61"/>
      <c r="BZ106" s="61"/>
      <c r="CA106" s="61"/>
      <c r="CB106" s="61"/>
      <c r="CC106" s="61"/>
      <c r="CD106" s="61"/>
      <c r="CE106" s="61"/>
      <c r="CF106" s="61"/>
      <c r="CG106" s="61"/>
      <c r="CH106" s="61"/>
      <c r="CI106" s="61"/>
      <c r="CJ106" s="61"/>
      <c r="CK106" s="61"/>
      <c r="CL106" s="61"/>
      <c r="CM106" s="61"/>
      <c r="CN106" s="61"/>
      <c r="CO106" s="61"/>
      <c r="CP106" s="61"/>
      <c r="CQ106" s="61"/>
      <c r="CR106" s="61"/>
      <c r="CS106" s="61"/>
      <c r="CT106" s="61"/>
      <c r="CU106" s="61"/>
      <c r="CV106" s="61"/>
    </row>
    <row r="107" spans="1:107">
      <c r="A107" s="146">
        <v>71</v>
      </c>
      <c r="B107" s="141">
        <f ca="1">RESUMEN!J74</f>
        <v>0</v>
      </c>
      <c r="C107" s="141">
        <f ca="1">+RESUMEN!K74</f>
        <v>0</v>
      </c>
      <c r="D107" s="142">
        <f t="shared" ca="1" si="170"/>
        <v>0</v>
      </c>
      <c r="E107" s="60"/>
      <c r="F107" s="313" t="s">
        <v>118</v>
      </c>
      <c r="G107" s="316">
        <v>357.94</v>
      </c>
      <c r="H107" s="316">
        <v>393.73</v>
      </c>
      <c r="I107" s="133"/>
      <c r="J107" s="161" t="s">
        <v>118</v>
      </c>
      <c r="K107" s="162">
        <v>17.32</v>
      </c>
      <c r="L107" s="61">
        <v>1</v>
      </c>
      <c r="M107" s="163" t="s">
        <v>223</v>
      </c>
      <c r="N107" s="164">
        <v>1</v>
      </c>
      <c r="O107" s="266"/>
      <c r="P107" s="267"/>
      <c r="Q107" s="165">
        <v>19</v>
      </c>
      <c r="R107" s="157">
        <v>84</v>
      </c>
      <c r="S107" s="157">
        <v>80</v>
      </c>
      <c r="T107" s="157">
        <v>76</v>
      </c>
      <c r="U107" s="157">
        <v>151.00909845754322</v>
      </c>
      <c r="V107" s="61"/>
      <c r="W107" s="166">
        <v>2</v>
      </c>
      <c r="X107" s="159">
        <v>0</v>
      </c>
      <c r="Y107" s="159">
        <v>0</v>
      </c>
      <c r="Z107" s="159">
        <v>0</v>
      </c>
      <c r="AA107" s="159">
        <v>0</v>
      </c>
      <c r="AB107" s="160">
        <v>20000</v>
      </c>
      <c r="AC107" s="160">
        <v>20000</v>
      </c>
      <c r="AD107" s="160">
        <v>30000</v>
      </c>
      <c r="AE107" s="160">
        <v>30000</v>
      </c>
      <c r="AF107" s="61"/>
      <c r="AG107"/>
      <c r="AH107"/>
      <c r="AI107"/>
      <c r="AJ107" s="61"/>
      <c r="AK107" s="61"/>
      <c r="AL107" s="286"/>
      <c r="AM107" s="155"/>
      <c r="AN107" s="155"/>
      <c r="AO107" s="155"/>
      <c r="AP107" s="61"/>
      <c r="AQ107" s="61"/>
      <c r="AR107" s="61"/>
      <c r="AS107" s="61"/>
      <c r="AT107" s="61"/>
      <c r="AU107" s="61"/>
      <c r="AV107" s="61"/>
      <c r="AW107" s="61"/>
      <c r="AX107" s="61"/>
      <c r="AY107" s="61"/>
      <c r="AZ107" s="61"/>
      <c r="BA107" s="61"/>
      <c r="BB107" s="61"/>
      <c r="BC107" s="61"/>
      <c r="BD107" s="61"/>
      <c r="BE107" s="61"/>
      <c r="BF107" s="61"/>
      <c r="BG107" s="61"/>
      <c r="BH107" s="61"/>
      <c r="BI107" s="61"/>
      <c r="BJ107" s="61"/>
      <c r="BK107" s="61"/>
      <c r="BL107" s="61"/>
      <c r="BM107" s="61"/>
      <c r="BN107" s="61"/>
      <c r="BO107" s="61"/>
      <c r="BP107" s="61"/>
      <c r="BQ107" s="61"/>
      <c r="BR107" s="61"/>
      <c r="BS107" s="61"/>
      <c r="BT107" s="61"/>
      <c r="BU107" s="61"/>
      <c r="BV107" s="61"/>
      <c r="BW107" s="61"/>
      <c r="BX107" s="61"/>
      <c r="BY107" s="61"/>
      <c r="BZ107" s="61"/>
      <c r="CA107" s="61"/>
      <c r="CB107" s="61"/>
      <c r="CC107" s="61"/>
      <c r="CD107" s="61"/>
      <c r="CE107" s="61"/>
      <c r="CF107" s="61"/>
      <c r="CG107" s="61"/>
      <c r="CH107" s="61"/>
      <c r="CI107" s="61"/>
      <c r="CJ107" s="61"/>
      <c r="CK107" s="61"/>
      <c r="CL107" s="61"/>
      <c r="CM107" s="61"/>
      <c r="CN107" s="61"/>
      <c r="CO107" s="61"/>
      <c r="CP107" s="61"/>
      <c r="CQ107" s="61"/>
      <c r="CR107" s="61"/>
      <c r="CS107" s="61"/>
      <c r="CT107" s="61"/>
      <c r="CU107" s="61"/>
      <c r="CV107" s="61"/>
    </row>
    <row r="108" spans="1:107">
      <c r="A108" s="146">
        <v>72</v>
      </c>
      <c r="B108" s="141">
        <f ca="1">RESUMEN!J75</f>
        <v>0</v>
      </c>
      <c r="C108" s="141">
        <f ca="1">+RESUMEN!K75</f>
        <v>0</v>
      </c>
      <c r="D108" s="142">
        <f t="shared" ca="1" si="170"/>
        <v>0</v>
      </c>
      <c r="E108" s="60"/>
      <c r="F108" s="313" t="s">
        <v>119</v>
      </c>
      <c r="G108" s="316">
        <v>366.96</v>
      </c>
      <c r="H108" s="316">
        <v>380.75</v>
      </c>
      <c r="I108" s="133"/>
      <c r="J108" s="161" t="s">
        <v>119</v>
      </c>
      <c r="K108" s="162">
        <v>17.32</v>
      </c>
      <c r="L108" s="61">
        <v>2</v>
      </c>
      <c r="M108" s="163" t="s">
        <v>224</v>
      </c>
      <c r="N108" s="164">
        <v>1.2186999999999999</v>
      </c>
      <c r="O108" s="266"/>
      <c r="P108" s="267"/>
      <c r="Q108" s="165">
        <v>20</v>
      </c>
      <c r="R108" s="157">
        <v>160</v>
      </c>
      <c r="S108" s="157">
        <v>152</v>
      </c>
      <c r="T108" s="157">
        <v>144</v>
      </c>
      <c r="U108" s="157">
        <v>275.77813988359367</v>
      </c>
      <c r="V108" s="61"/>
      <c r="W108" s="166">
        <v>3</v>
      </c>
      <c r="X108" s="159">
        <v>0</v>
      </c>
      <c r="Y108" s="159">
        <v>0</v>
      </c>
      <c r="Z108" s="159">
        <v>0</v>
      </c>
      <c r="AA108" s="159">
        <v>0</v>
      </c>
      <c r="AB108" s="160">
        <v>30000</v>
      </c>
      <c r="AC108" s="160">
        <v>30000</v>
      </c>
      <c r="AD108" s="160">
        <v>40000</v>
      </c>
      <c r="AE108" s="160">
        <v>40000</v>
      </c>
      <c r="AF108" s="61"/>
      <c r="AJ108" s="167"/>
      <c r="AK108" s="167"/>
      <c r="AL108" s="168"/>
      <c r="AM108" s="168"/>
      <c r="AN108" s="168"/>
      <c r="AO108" s="168"/>
      <c r="AP108" s="61"/>
      <c r="AQ108" s="61"/>
      <c r="AR108" s="61"/>
      <c r="AS108" s="61"/>
      <c r="AT108" s="61"/>
      <c r="AU108" s="61"/>
      <c r="AV108" s="61"/>
      <c r="AW108" s="61"/>
      <c r="AX108" s="61"/>
      <c r="AY108" s="61"/>
      <c r="AZ108" s="61"/>
      <c r="BA108" s="61"/>
      <c r="BB108" s="61"/>
      <c r="BC108" s="61"/>
      <c r="BD108" s="61"/>
      <c r="BE108" s="61"/>
      <c r="BF108" s="61"/>
      <c r="BG108" s="61"/>
      <c r="BH108" s="61"/>
      <c r="BI108" s="61"/>
      <c r="BJ108" s="61"/>
      <c r="BK108" s="61"/>
      <c r="BL108" s="61"/>
      <c r="BM108" s="61"/>
      <c r="BN108" s="61"/>
      <c r="BO108" s="61"/>
      <c r="BP108" s="61"/>
      <c r="BQ108" s="61"/>
      <c r="BR108" s="61"/>
      <c r="BS108" s="61"/>
      <c r="BT108" s="61"/>
      <c r="BU108" s="61"/>
      <c r="BV108" s="61"/>
      <c r="BW108" s="61"/>
      <c r="BX108" s="61"/>
      <c r="BY108" s="61"/>
      <c r="BZ108" s="61"/>
      <c r="CA108" s="61"/>
      <c r="CB108" s="61"/>
      <c r="CC108" s="61"/>
      <c r="CD108" s="61"/>
      <c r="CE108" s="61"/>
      <c r="CF108" s="61"/>
      <c r="CG108" s="61"/>
      <c r="CH108" s="61"/>
      <c r="CI108" s="61"/>
      <c r="CJ108" s="61"/>
      <c r="CK108" s="61"/>
      <c r="CL108" s="61"/>
      <c r="CM108" s="61"/>
      <c r="CN108" s="61"/>
      <c r="CO108" s="61"/>
      <c r="CP108" s="61"/>
      <c r="CQ108" s="61"/>
      <c r="CR108" s="61"/>
      <c r="CS108" s="61"/>
      <c r="CT108" s="61"/>
      <c r="CU108" s="61"/>
      <c r="CV108" s="61"/>
    </row>
    <row r="109" spans="1:107">
      <c r="A109" s="146">
        <v>73</v>
      </c>
      <c r="B109" s="141">
        <f ca="1">RESUMEN!J76</f>
        <v>0</v>
      </c>
      <c r="C109" s="141">
        <f ca="1">+RESUMEN!K76</f>
        <v>0</v>
      </c>
      <c r="D109" s="142">
        <f t="shared" ca="1" si="170"/>
        <v>0</v>
      </c>
      <c r="E109" s="60"/>
      <c r="F109" s="313" t="s">
        <v>120</v>
      </c>
      <c r="G109" s="316">
        <v>375.98</v>
      </c>
      <c r="H109" s="316">
        <v>367.77</v>
      </c>
      <c r="I109" s="133"/>
      <c r="J109" s="161" t="s">
        <v>120</v>
      </c>
      <c r="K109" s="162">
        <v>17.36</v>
      </c>
      <c r="L109" s="61">
        <v>3</v>
      </c>
      <c r="M109" s="163" t="s">
        <v>225</v>
      </c>
      <c r="N109" s="164">
        <v>1.4249000000000001</v>
      </c>
      <c r="O109" s="266"/>
      <c r="P109" s="267"/>
      <c r="Q109" s="165">
        <v>21</v>
      </c>
      <c r="R109" s="157">
        <v>286</v>
      </c>
      <c r="S109" s="157">
        <v>271</v>
      </c>
      <c r="T109" s="157">
        <v>257</v>
      </c>
      <c r="U109" s="157">
        <v>472.9912583800014</v>
      </c>
      <c r="V109" s="61"/>
      <c r="W109" s="166">
        <v>4</v>
      </c>
      <c r="X109" s="159">
        <v>0</v>
      </c>
      <c r="Y109" s="159">
        <v>0</v>
      </c>
      <c r="Z109" s="159">
        <v>0</v>
      </c>
      <c r="AA109" s="159">
        <v>0</v>
      </c>
      <c r="AB109" s="160">
        <v>30000</v>
      </c>
      <c r="AC109" s="160">
        <v>40000</v>
      </c>
      <c r="AD109" s="160">
        <v>50000</v>
      </c>
      <c r="AE109" s="160">
        <v>50000</v>
      </c>
      <c r="AF109" s="61"/>
      <c r="AG109" s="169"/>
      <c r="AH109" s="169"/>
      <c r="AI109" s="61"/>
      <c r="AJ109" s="169"/>
      <c r="AK109" s="169"/>
      <c r="AL109" s="61"/>
      <c r="AM109" s="170"/>
      <c r="AN109" s="170"/>
      <c r="AO109" s="61"/>
      <c r="AP109" s="61"/>
      <c r="AQ109" s="61"/>
      <c r="AR109" s="61"/>
      <c r="AS109" s="61"/>
      <c r="AT109" s="61"/>
      <c r="AU109" s="167"/>
      <c r="AV109" s="167"/>
      <c r="AW109" s="167"/>
      <c r="AX109" s="167"/>
      <c r="AY109" s="167"/>
      <c r="AZ109" s="61"/>
      <c r="BA109" s="167"/>
      <c r="BB109" s="167"/>
      <c r="BC109" s="167"/>
      <c r="BD109" s="167"/>
      <c r="BE109" s="168"/>
      <c r="BF109" s="168"/>
      <c r="BG109" s="168"/>
      <c r="BH109" s="168"/>
      <c r="BI109" s="168"/>
      <c r="BJ109" s="168"/>
      <c r="BK109" s="168"/>
      <c r="BL109" s="168"/>
      <c r="BM109" s="168"/>
      <c r="BN109" s="168"/>
      <c r="BO109" s="168"/>
      <c r="BP109" s="168"/>
      <c r="BQ109" s="168"/>
      <c r="BR109" s="168"/>
      <c r="BS109" s="61"/>
      <c r="BT109" s="61"/>
      <c r="BU109" s="61"/>
      <c r="BV109" s="61"/>
      <c r="BW109" s="61"/>
      <c r="BX109" s="61"/>
      <c r="BY109" s="61"/>
      <c r="BZ109" s="61"/>
      <c r="CA109" s="61"/>
      <c r="CB109" s="61"/>
      <c r="CC109" s="130" t="s">
        <v>47</v>
      </c>
      <c r="CD109" s="259">
        <f>+VLOOKUP(B5,DATOS!S4:Z51,7,0)/100</f>
        <v>1</v>
      </c>
      <c r="CE109"/>
      <c r="CF109"/>
      <c r="CG109" s="61"/>
      <c r="CH109" s="61"/>
      <c r="CI109" s="61"/>
      <c r="CJ109" s="61"/>
      <c r="CK109" s="61"/>
      <c r="CL109" s="61"/>
      <c r="CM109" s="61"/>
      <c r="CN109" s="61"/>
      <c r="CO109" s="61"/>
      <c r="CP109" s="61"/>
      <c r="CQ109" s="61"/>
      <c r="CR109" s="61"/>
      <c r="CS109" s="61"/>
      <c r="CT109" s="61"/>
      <c r="CU109" s="61"/>
      <c r="CV109" s="61"/>
    </row>
    <row r="110" spans="1:107">
      <c r="A110" s="146">
        <v>74</v>
      </c>
      <c r="B110" s="141">
        <f ca="1">RESUMEN!J77</f>
        <v>0</v>
      </c>
      <c r="C110" s="141">
        <f ca="1">+RESUMEN!K77</f>
        <v>0</v>
      </c>
      <c r="D110" s="142">
        <f t="shared" ca="1" si="170"/>
        <v>0</v>
      </c>
      <c r="E110" s="60"/>
      <c r="F110" s="313" t="s">
        <v>121</v>
      </c>
      <c r="G110" s="316">
        <v>385</v>
      </c>
      <c r="H110" s="316">
        <v>354.79</v>
      </c>
      <c r="I110" s="133"/>
      <c r="J110" s="161" t="s">
        <v>121</v>
      </c>
      <c r="K110" s="162">
        <v>17.36</v>
      </c>
      <c r="L110" s="61">
        <v>4</v>
      </c>
      <c r="M110" s="163" t="s">
        <v>226</v>
      </c>
      <c r="N110" s="164">
        <v>1.6185</v>
      </c>
      <c r="O110" s="266"/>
      <c r="P110" s="267"/>
      <c r="Q110" s="165">
        <v>22</v>
      </c>
      <c r="R110" s="157">
        <v>479</v>
      </c>
      <c r="S110" s="157">
        <v>455</v>
      </c>
      <c r="T110" s="157">
        <v>431</v>
      </c>
      <c r="U110" s="157">
        <v>763.45368554182585</v>
      </c>
      <c r="V110" s="61"/>
      <c r="W110" s="166">
        <v>5</v>
      </c>
      <c r="X110" s="159">
        <v>0</v>
      </c>
      <c r="Y110" s="159">
        <v>0</v>
      </c>
      <c r="Z110" s="159">
        <v>0</v>
      </c>
      <c r="AA110" s="159">
        <v>0</v>
      </c>
      <c r="AB110" s="160">
        <v>30000</v>
      </c>
      <c r="AC110" s="160">
        <v>50000</v>
      </c>
      <c r="AD110" s="160">
        <v>50000</v>
      </c>
      <c r="AE110" s="160">
        <v>50000</v>
      </c>
      <c r="AF110" s="61"/>
      <c r="AG110" s="169"/>
      <c r="AH110" s="169"/>
      <c r="AI110" s="61"/>
      <c r="AJ110" s="169"/>
      <c r="AK110" s="169"/>
      <c r="AL110" s="61"/>
      <c r="AM110" s="170"/>
      <c r="AN110" s="170"/>
      <c r="AO110" s="61"/>
      <c r="AP110" s="61"/>
      <c r="AQ110" s="61"/>
      <c r="AR110" s="61"/>
      <c r="AS110" s="61"/>
      <c r="AT110" s="61"/>
      <c r="AU110" s="167"/>
      <c r="AV110" s="167"/>
      <c r="AW110" s="167"/>
      <c r="AX110" s="167"/>
      <c r="AY110" s="167"/>
      <c r="AZ110" s="61"/>
      <c r="BA110" s="167"/>
      <c r="BB110" s="167"/>
      <c r="BC110" s="167"/>
      <c r="BD110" s="167"/>
      <c r="BE110" s="168"/>
      <c r="BF110" s="168"/>
      <c r="BG110" s="168"/>
      <c r="BH110" s="168"/>
      <c r="BI110" s="168"/>
      <c r="BJ110" s="168"/>
      <c r="BK110" s="168"/>
      <c r="BL110" s="168"/>
      <c r="BM110" s="168"/>
      <c r="BN110" s="168"/>
      <c r="BO110" s="168"/>
      <c r="BP110" s="168"/>
      <c r="BQ110" s="168"/>
      <c r="BR110" s="168"/>
      <c r="BS110" s="61"/>
      <c r="BT110" s="61"/>
      <c r="BU110" s="61"/>
      <c r="BV110" s="61"/>
      <c r="BW110" s="61"/>
      <c r="BX110" s="61"/>
      <c r="BY110" s="61"/>
      <c r="BZ110" s="61"/>
      <c r="CA110" s="61"/>
      <c r="CB110" s="61"/>
      <c r="CC110" s="130" t="s">
        <v>252</v>
      </c>
      <c r="CD110" s="260">
        <v>1</v>
      </c>
      <c r="CE110"/>
      <c r="CF110"/>
      <c r="CG110" s="61"/>
      <c r="CH110" s="61"/>
      <c r="CI110" s="61"/>
      <c r="CJ110" s="61"/>
      <c r="CK110" s="61"/>
      <c r="CL110" s="61"/>
      <c r="CM110" s="61"/>
      <c r="CN110" s="61"/>
      <c r="CO110" s="61"/>
      <c r="CP110" s="61"/>
      <c r="CQ110" s="61"/>
      <c r="CR110" s="61"/>
      <c r="CS110" s="61"/>
      <c r="CT110" s="61"/>
      <c r="CU110" s="61"/>
      <c r="CV110" s="61"/>
    </row>
    <row r="111" spans="1:107">
      <c r="A111" s="146">
        <v>75</v>
      </c>
      <c r="B111" s="141">
        <f ca="1">RESUMEN!J78</f>
        <v>0</v>
      </c>
      <c r="C111" s="141">
        <f ca="1">+RESUMEN!K78</f>
        <v>0</v>
      </c>
      <c r="D111" s="142">
        <f t="shared" ca="1" si="170"/>
        <v>0</v>
      </c>
      <c r="E111" s="60"/>
      <c r="F111" s="313" t="s">
        <v>122</v>
      </c>
      <c r="G111" s="316">
        <v>394.02</v>
      </c>
      <c r="H111" s="316">
        <v>341.81</v>
      </c>
      <c r="I111" s="133"/>
      <c r="J111" s="161" t="s">
        <v>122</v>
      </c>
      <c r="K111" s="162">
        <v>17.399999999999999</v>
      </c>
      <c r="L111" s="61">
        <v>5</v>
      </c>
      <c r="M111" s="163" t="s">
        <v>227</v>
      </c>
      <c r="N111" s="164">
        <v>1.7997000000000001</v>
      </c>
      <c r="O111" s="266"/>
      <c r="P111" s="267"/>
      <c r="Q111" s="165">
        <v>23</v>
      </c>
      <c r="R111" s="157">
        <v>754</v>
      </c>
      <c r="S111" s="157">
        <v>717</v>
      </c>
      <c r="T111" s="157">
        <v>679</v>
      </c>
      <c r="U111" s="157">
        <v>1161.8716986623269</v>
      </c>
      <c r="V111" s="61"/>
      <c r="W111" s="61"/>
      <c r="X111" s="133"/>
      <c r="Y111" s="133"/>
      <c r="Z111" s="133"/>
      <c r="AA111" s="133"/>
      <c r="AB111" s="61"/>
      <c r="AC111" s="133"/>
      <c r="AD111" s="61"/>
      <c r="AE111" s="61"/>
      <c r="AF111" s="61"/>
      <c r="AG111" s="61"/>
      <c r="AH111" s="169"/>
      <c r="AI111" s="61"/>
      <c r="AJ111" s="169"/>
      <c r="AK111" s="169"/>
      <c r="AL111" s="61"/>
      <c r="AM111" s="170"/>
      <c r="AN111" s="170"/>
      <c r="AO111" s="61"/>
      <c r="AP111" s="61"/>
      <c r="AQ111" s="61"/>
      <c r="AR111" s="61"/>
      <c r="AS111" s="61"/>
      <c r="AT111" s="61"/>
      <c r="AU111" s="167"/>
      <c r="AV111" s="167"/>
      <c r="AW111" s="167"/>
      <c r="AX111" s="167"/>
      <c r="AY111" s="167"/>
      <c r="AZ111" s="61"/>
      <c r="BA111" s="167"/>
      <c r="BB111" s="167"/>
      <c r="BC111" s="167"/>
      <c r="BD111" s="167"/>
      <c r="BE111" s="168"/>
      <c r="BF111" s="168"/>
      <c r="BG111" s="168"/>
      <c r="BH111" s="168"/>
      <c r="BI111" s="168"/>
      <c r="BJ111" s="168"/>
      <c r="BK111" s="168"/>
      <c r="BL111" s="168"/>
      <c r="BM111" s="168"/>
      <c r="BN111" s="168"/>
      <c r="BO111" s="168"/>
      <c r="BP111" s="168"/>
      <c r="BQ111" s="168"/>
      <c r="BR111" s="168"/>
      <c r="BS111" s="61"/>
      <c r="BT111" s="61"/>
      <c r="BU111" s="61"/>
      <c r="BV111" s="61"/>
      <c r="BW111" s="61"/>
      <c r="BX111" s="61"/>
      <c r="BY111" s="61"/>
      <c r="BZ111" s="61"/>
      <c r="CA111" s="61"/>
      <c r="CB111" s="61"/>
      <c r="CC111" s="130" t="s">
        <v>85</v>
      </c>
      <c r="CD111" s="260">
        <v>1</v>
      </c>
      <c r="CE111"/>
      <c r="CF111"/>
      <c r="CG111" s="61"/>
      <c r="CH111" s="61"/>
      <c r="CI111" s="61"/>
      <c r="CJ111" s="61"/>
      <c r="CK111" s="61"/>
      <c r="CL111" s="61"/>
      <c r="CM111" s="61"/>
      <c r="CN111" s="61"/>
      <c r="CO111" s="61"/>
      <c r="CP111" s="61"/>
      <c r="CQ111" s="61"/>
      <c r="CR111" s="61"/>
      <c r="CS111" s="61"/>
      <c r="CT111" s="61"/>
      <c r="CU111" s="61"/>
      <c r="CV111" s="61"/>
    </row>
    <row r="112" spans="1:107">
      <c r="A112" s="146">
        <v>76</v>
      </c>
      <c r="B112" s="141">
        <f ca="1">RESUMEN!J79</f>
        <v>0</v>
      </c>
      <c r="C112" s="141">
        <f ca="1">+RESUMEN!K79</f>
        <v>0</v>
      </c>
      <c r="D112" s="142">
        <f t="shared" ca="1" si="170"/>
        <v>0</v>
      </c>
      <c r="E112" s="60"/>
      <c r="F112" s="313" t="s">
        <v>123</v>
      </c>
      <c r="G112" s="316">
        <v>414.9</v>
      </c>
      <c r="H112" s="316">
        <v>358.41</v>
      </c>
      <c r="I112" s="60"/>
      <c r="J112" s="161" t="s">
        <v>123</v>
      </c>
      <c r="K112" s="162">
        <v>17.440000000000001</v>
      </c>
      <c r="L112" s="61">
        <v>6</v>
      </c>
      <c r="M112" s="163" t="s">
        <v>228</v>
      </c>
      <c r="N112" s="164">
        <v>1.9682999999999999</v>
      </c>
      <c r="O112" s="266"/>
      <c r="P112" s="267"/>
      <c r="Q112" s="165">
        <v>24</v>
      </c>
      <c r="R112" s="157">
        <v>1120</v>
      </c>
      <c r="S112" s="157">
        <v>1064</v>
      </c>
      <c r="T112" s="157">
        <v>1008</v>
      </c>
      <c r="U112" s="157">
        <v>1669.9753723840431</v>
      </c>
      <c r="V112" s="61"/>
      <c r="W112" s="133"/>
      <c r="X112" s="133"/>
      <c r="Y112" s="133"/>
      <c r="Z112" s="133"/>
      <c r="AA112" s="133"/>
      <c r="AB112" s="171"/>
      <c r="AC112" s="61"/>
      <c r="AD112" s="61"/>
      <c r="AE112" s="61"/>
      <c r="AF112" s="61"/>
      <c r="AG112" s="61"/>
      <c r="AH112" s="169"/>
      <c r="AI112" s="61"/>
      <c r="AJ112" s="169"/>
      <c r="AK112" s="169"/>
      <c r="AL112" s="61"/>
      <c r="AM112" s="170"/>
      <c r="AN112" s="170"/>
      <c r="AO112" s="61"/>
      <c r="AP112" s="61"/>
      <c r="AQ112" s="61"/>
      <c r="AR112" s="61"/>
      <c r="AS112" s="61"/>
      <c r="AT112" s="61"/>
      <c r="AU112" s="167"/>
      <c r="AV112" s="167"/>
      <c r="AW112" s="167"/>
      <c r="AX112" s="167"/>
      <c r="AY112" s="167"/>
      <c r="AZ112" s="61"/>
      <c r="BA112" s="167"/>
      <c r="BB112" s="167"/>
      <c r="BC112" s="167"/>
      <c r="BD112" s="167"/>
      <c r="BE112" s="168"/>
      <c r="BF112" s="168"/>
      <c r="BG112" s="168"/>
      <c r="BH112" s="168"/>
      <c r="BI112" s="168"/>
      <c r="BJ112" s="168"/>
      <c r="BK112" s="168"/>
      <c r="BL112" s="168"/>
      <c r="BM112" s="168"/>
      <c r="BN112" s="168"/>
      <c r="BO112" s="168"/>
      <c r="BP112" s="168"/>
      <c r="BQ112" s="168"/>
      <c r="BR112" s="168"/>
      <c r="BS112" s="61"/>
      <c r="BT112" s="61"/>
      <c r="BU112" s="61"/>
      <c r="BV112" s="61"/>
      <c r="BW112" s="61"/>
      <c r="BX112" s="61"/>
      <c r="BY112" s="61"/>
      <c r="BZ112" s="61"/>
      <c r="CA112" s="61"/>
      <c r="CB112" s="61"/>
      <c r="CC112" s="130" t="s">
        <v>86</v>
      </c>
      <c r="CD112" s="260">
        <v>1</v>
      </c>
      <c r="CE112"/>
      <c r="CF112"/>
      <c r="CG112" s="61"/>
      <c r="CH112" s="61"/>
      <c r="CI112" s="61"/>
      <c r="CJ112" s="61"/>
      <c r="CK112" s="61"/>
      <c r="CL112" s="61"/>
      <c r="CM112" s="61"/>
      <c r="CN112" s="61"/>
      <c r="CO112" s="61"/>
      <c r="CP112" s="61"/>
      <c r="CQ112" s="61"/>
      <c r="CR112" s="61"/>
      <c r="CS112" s="61"/>
      <c r="CT112" s="61"/>
      <c r="CU112" s="61"/>
      <c r="CV112" s="61"/>
    </row>
    <row r="113" spans="1:100">
      <c r="A113" s="146">
        <v>77</v>
      </c>
      <c r="B113" s="141">
        <f ca="1">RESUMEN!J80</f>
        <v>0</v>
      </c>
      <c r="C113" s="141">
        <f ca="1">+RESUMEN!K80</f>
        <v>0</v>
      </c>
      <c r="D113" s="142">
        <f t="shared" ca="1" si="170"/>
        <v>0</v>
      </c>
      <c r="E113" s="60"/>
      <c r="F113" s="313" t="s">
        <v>124</v>
      </c>
      <c r="G113" s="316">
        <v>435.77</v>
      </c>
      <c r="H113" s="316">
        <v>375</v>
      </c>
      <c r="I113" s="60"/>
      <c r="J113" s="161" t="s">
        <v>124</v>
      </c>
      <c r="K113" s="162">
        <v>17.52</v>
      </c>
      <c r="L113" s="61">
        <v>7</v>
      </c>
      <c r="M113" s="163" t="s">
        <v>229</v>
      </c>
      <c r="N113" s="164">
        <v>2.1244000000000001</v>
      </c>
      <c r="O113" s="266"/>
      <c r="P113" s="267"/>
      <c r="Q113" s="165">
        <v>25</v>
      </c>
      <c r="R113" s="157">
        <v>1567</v>
      </c>
      <c r="S113" s="157">
        <v>1489</v>
      </c>
      <c r="T113" s="157">
        <v>1411</v>
      </c>
      <c r="U113" s="157">
        <v>2270.3827737650236</v>
      </c>
      <c r="V113" s="61"/>
      <c r="W113" s="133"/>
      <c r="X113" s="133"/>
      <c r="Y113" s="133"/>
      <c r="Z113" s="133"/>
      <c r="AA113" s="133"/>
      <c r="AB113" s="61"/>
      <c r="AC113" s="61"/>
      <c r="AD113" s="61"/>
      <c r="AE113" s="61"/>
      <c r="AF113" s="61"/>
      <c r="AG113" s="61"/>
      <c r="AH113" s="169"/>
      <c r="AI113" s="61"/>
      <c r="AJ113" s="169"/>
      <c r="AK113" s="169"/>
      <c r="AL113" s="61"/>
      <c r="AM113" s="170"/>
      <c r="AN113" s="170"/>
      <c r="AO113" s="61"/>
      <c r="AP113" s="61"/>
      <c r="AQ113" s="61"/>
      <c r="AR113" s="61"/>
      <c r="AS113" s="61"/>
      <c r="AT113" s="61"/>
      <c r="AU113" s="167"/>
      <c r="AV113" s="167"/>
      <c r="AW113" s="167"/>
      <c r="AX113" s="167"/>
      <c r="AY113" s="167"/>
      <c r="AZ113" s="61"/>
      <c r="BA113" s="167"/>
      <c r="BB113" s="167"/>
      <c r="BC113" s="167"/>
      <c r="BD113" s="167"/>
      <c r="BE113" s="168"/>
      <c r="BF113" s="168"/>
      <c r="BG113" s="168"/>
      <c r="BH113" s="168"/>
      <c r="BI113" s="168"/>
      <c r="BJ113" s="168"/>
      <c r="BK113" s="168"/>
      <c r="BL113" s="168"/>
      <c r="BM113" s="168"/>
      <c r="BN113" s="168"/>
      <c r="BO113" s="168"/>
      <c r="BP113" s="168"/>
      <c r="BQ113" s="168"/>
      <c r="BR113" s="168"/>
      <c r="BS113" s="61"/>
      <c r="BT113" s="61"/>
      <c r="BU113" s="61"/>
      <c r="BV113" s="61"/>
      <c r="BW113" s="61"/>
      <c r="BX113" s="61"/>
      <c r="BY113" s="61"/>
      <c r="BZ113" s="61"/>
      <c r="CA113" s="61"/>
      <c r="CB113" s="61"/>
      <c r="CC113" s="130" t="s">
        <v>59</v>
      </c>
      <c r="CD113" s="260">
        <v>1</v>
      </c>
      <c r="CE113"/>
      <c r="CF113"/>
      <c r="CG113" s="61"/>
      <c r="CH113" s="61"/>
      <c r="CI113" s="61"/>
      <c r="CJ113" s="61"/>
      <c r="CK113" s="61"/>
      <c r="CL113" s="61"/>
      <c r="CM113" s="61"/>
      <c r="CN113" s="61"/>
      <c r="CO113" s="61"/>
      <c r="CP113" s="61"/>
      <c r="CQ113" s="61"/>
      <c r="CR113" s="61"/>
      <c r="CS113" s="61"/>
      <c r="CT113" s="61"/>
      <c r="CU113" s="61"/>
      <c r="CV113" s="61"/>
    </row>
    <row r="114" spans="1:100">
      <c r="A114" s="146">
        <v>78</v>
      </c>
      <c r="B114" s="141">
        <f ca="1">RESUMEN!J81</f>
        <v>0</v>
      </c>
      <c r="C114" s="141">
        <f ca="1">+RESUMEN!K81</f>
        <v>0</v>
      </c>
      <c r="D114" s="142">
        <f t="shared" ca="1" si="170"/>
        <v>0</v>
      </c>
      <c r="E114" s="60"/>
      <c r="F114" s="313" t="s">
        <v>125</v>
      </c>
      <c r="G114" s="316">
        <v>456.64</v>
      </c>
      <c r="H114" s="316">
        <v>391.6</v>
      </c>
      <c r="I114" s="60"/>
      <c r="J114" s="161" t="s">
        <v>125</v>
      </c>
      <c r="K114" s="162">
        <v>17.600000000000001</v>
      </c>
      <c r="L114" s="61">
        <v>8</v>
      </c>
      <c r="M114" s="163" t="s">
        <v>230</v>
      </c>
      <c r="N114" s="164">
        <v>2.2679999999999998</v>
      </c>
      <c r="O114" s="266"/>
      <c r="P114" s="267"/>
      <c r="Q114" s="165">
        <v>26</v>
      </c>
      <c r="R114" s="157">
        <v>2072</v>
      </c>
      <c r="S114" s="157">
        <v>1969</v>
      </c>
      <c r="T114" s="157">
        <v>1865</v>
      </c>
      <c r="U114" s="157">
        <v>2923.6399857007091</v>
      </c>
      <c r="V114" s="61"/>
      <c r="W114" s="133"/>
      <c r="X114" s="61"/>
      <c r="Y114" s="61"/>
      <c r="Z114" s="61"/>
      <c r="AA114" s="61"/>
      <c r="AB114" s="61"/>
      <c r="AC114" s="61"/>
      <c r="AD114" s="61"/>
      <c r="AE114" s="61"/>
      <c r="AF114" s="61"/>
      <c r="AG114" s="61"/>
      <c r="AH114" s="169"/>
      <c r="AI114" s="61"/>
      <c r="AJ114" s="169"/>
      <c r="AK114" s="169"/>
      <c r="AL114" s="61"/>
      <c r="AM114" s="170"/>
      <c r="AN114" s="170"/>
      <c r="AO114" s="61"/>
      <c r="AP114" s="61"/>
      <c r="AQ114" s="61"/>
      <c r="AR114" s="61"/>
      <c r="AS114" s="61"/>
      <c r="AT114" s="61"/>
      <c r="AU114" s="167"/>
      <c r="AV114" s="167"/>
      <c r="AW114" s="167"/>
      <c r="AX114" s="167"/>
      <c r="AY114" s="167"/>
      <c r="AZ114" s="61"/>
      <c r="BA114" s="167"/>
      <c r="BB114" s="167"/>
      <c r="BC114" s="167"/>
      <c r="BD114" s="167"/>
      <c r="BE114" s="168"/>
      <c r="BF114" s="168"/>
      <c r="BG114" s="168"/>
      <c r="BH114" s="168"/>
      <c r="BI114" s="168"/>
      <c r="BJ114" s="168"/>
      <c r="BK114" s="168"/>
      <c r="BL114" s="168"/>
      <c r="BM114" s="168"/>
      <c r="BN114" s="168"/>
      <c r="BO114" s="168"/>
      <c r="BP114" s="168"/>
      <c r="BQ114" s="168"/>
      <c r="BR114" s="168"/>
      <c r="BS114" s="61"/>
      <c r="BT114" s="61"/>
      <c r="BU114" s="61"/>
      <c r="BV114" s="61"/>
      <c r="BW114" s="61"/>
      <c r="BX114" s="61"/>
      <c r="BY114" s="61"/>
      <c r="BZ114" s="61"/>
      <c r="CA114" s="61"/>
      <c r="CB114" s="61"/>
      <c r="CC114" s="130" t="s">
        <v>354</v>
      </c>
      <c r="CD114" s="260">
        <v>0.92</v>
      </c>
      <c r="CE114"/>
      <c r="CF114"/>
      <c r="CG114" s="61"/>
      <c r="CH114" s="61"/>
      <c r="CI114" s="61"/>
      <c r="CJ114" s="61"/>
      <c r="CK114" s="61"/>
      <c r="CL114" s="61"/>
      <c r="CM114" s="61"/>
      <c r="CN114" s="61"/>
      <c r="CO114" s="61"/>
      <c r="CP114" s="61"/>
      <c r="CQ114" s="61"/>
      <c r="CR114" s="61"/>
      <c r="CS114" s="61"/>
      <c r="CT114" s="61"/>
      <c r="CU114" s="61"/>
      <c r="CV114" s="61"/>
    </row>
    <row r="115" spans="1:100">
      <c r="A115" s="146">
        <v>79</v>
      </c>
      <c r="B115" s="141">
        <f ca="1">RESUMEN!J82</f>
        <v>0</v>
      </c>
      <c r="C115" s="141">
        <f ca="1">+RESUMEN!K82</f>
        <v>0</v>
      </c>
      <c r="D115" s="142">
        <f t="shared" ca="1" si="170"/>
        <v>0</v>
      </c>
      <c r="E115" s="60"/>
      <c r="F115" s="313" t="s">
        <v>126</v>
      </c>
      <c r="G115" s="316">
        <v>477.51</v>
      </c>
      <c r="H115" s="316">
        <v>408.19</v>
      </c>
      <c r="I115" s="60"/>
      <c r="J115" s="161" t="s">
        <v>126</v>
      </c>
      <c r="K115" s="162">
        <v>17.72</v>
      </c>
      <c r="L115" s="61">
        <v>9</v>
      </c>
      <c r="M115" s="163" t="s">
        <v>231</v>
      </c>
      <c r="N115" s="164">
        <v>2.3990999999999998</v>
      </c>
      <c r="O115" s="266"/>
      <c r="P115" s="267"/>
      <c r="Q115" s="165">
        <v>27</v>
      </c>
      <c r="R115" s="157">
        <v>2590</v>
      </c>
      <c r="S115" s="157">
        <v>2461</v>
      </c>
      <c r="T115" s="157">
        <v>2331</v>
      </c>
      <c r="U115" s="157">
        <v>3570.4890692911358</v>
      </c>
      <c r="V115" s="61"/>
      <c r="W115" s="133"/>
      <c r="X115" s="61"/>
      <c r="Y115" s="61"/>
      <c r="Z115" s="61"/>
      <c r="AA115" s="61"/>
      <c r="AB115" s="61"/>
      <c r="AC115" s="61"/>
      <c r="AD115" s="61"/>
      <c r="AE115" s="61"/>
      <c r="AF115" s="61"/>
      <c r="AG115" s="61"/>
      <c r="AH115" s="169"/>
      <c r="AI115" s="61"/>
      <c r="AJ115" s="169"/>
      <c r="AK115" s="169"/>
      <c r="AL115" s="61"/>
      <c r="AM115" s="170"/>
      <c r="AN115" s="170"/>
      <c r="AO115" s="61"/>
      <c r="AP115" s="61"/>
      <c r="AQ115" s="61"/>
      <c r="AR115" s="61"/>
      <c r="AS115" s="61"/>
      <c r="AT115" s="61"/>
      <c r="AU115" s="167"/>
      <c r="AV115" s="167"/>
      <c r="AW115" s="167"/>
      <c r="AX115" s="167"/>
      <c r="AY115" s="167"/>
      <c r="AZ115" s="61"/>
      <c r="BA115" s="167"/>
      <c r="BB115" s="167"/>
      <c r="BC115" s="167"/>
      <c r="BD115" s="167"/>
      <c r="BE115" s="168"/>
      <c r="BF115" s="168"/>
      <c r="BG115" s="168"/>
      <c r="BH115" s="168"/>
      <c r="BI115" s="168"/>
      <c r="BJ115" s="168"/>
      <c r="BK115" s="168"/>
      <c r="BL115" s="168"/>
      <c r="BM115" s="168"/>
      <c r="BN115" s="168"/>
      <c r="BO115" s="168"/>
      <c r="BP115" s="168"/>
      <c r="BQ115" s="168"/>
      <c r="BR115" s="168"/>
      <c r="BS115" s="61"/>
      <c r="BT115" s="61"/>
      <c r="BU115" s="61"/>
      <c r="BV115" s="61"/>
      <c r="BW115" s="61"/>
      <c r="BX115" s="61"/>
      <c r="BY115" s="61"/>
      <c r="BZ115" s="61"/>
      <c r="CA115" s="61"/>
      <c r="CB115" s="61"/>
      <c r="CC115" s="246" t="s">
        <v>355</v>
      </c>
      <c r="CD115" s="260">
        <v>1</v>
      </c>
      <c r="CE115"/>
      <c r="CF115"/>
      <c r="CG115" s="61"/>
      <c r="CH115" s="61"/>
      <c r="CI115" s="61"/>
      <c r="CJ115" s="61"/>
      <c r="CK115" s="61"/>
      <c r="CL115" s="61"/>
      <c r="CM115" s="61"/>
      <c r="CN115" s="61"/>
      <c r="CO115" s="61"/>
      <c r="CP115" s="61"/>
      <c r="CQ115" s="61"/>
      <c r="CR115" s="61"/>
      <c r="CS115" s="61"/>
      <c r="CT115" s="61"/>
      <c r="CU115" s="61"/>
      <c r="CV115" s="61"/>
    </row>
    <row r="116" spans="1:100">
      <c r="A116" s="146">
        <v>80</v>
      </c>
      <c r="B116" s="141">
        <f ca="1">RESUMEN!J83</f>
        <v>0</v>
      </c>
      <c r="C116" s="141">
        <f ca="1">+RESUMEN!K83</f>
        <v>0</v>
      </c>
      <c r="D116" s="142">
        <f t="shared" ca="1" si="170"/>
        <v>0</v>
      </c>
      <c r="E116" s="60"/>
      <c r="F116" s="313" t="s">
        <v>127</v>
      </c>
      <c r="G116" s="316">
        <v>498.38</v>
      </c>
      <c r="H116" s="316">
        <v>424.78</v>
      </c>
      <c r="I116" s="60"/>
      <c r="J116" s="161" t="s">
        <v>127</v>
      </c>
      <c r="K116" s="162">
        <v>17.84</v>
      </c>
      <c r="L116" s="61">
        <v>10</v>
      </c>
      <c r="M116" s="163" t="s">
        <v>232</v>
      </c>
      <c r="N116" s="164">
        <v>2.5177</v>
      </c>
      <c r="O116" s="266"/>
      <c r="P116" s="267"/>
      <c r="Q116" s="165">
        <v>28</v>
      </c>
      <c r="R116" s="157">
        <v>3064</v>
      </c>
      <c r="S116" s="157">
        <v>2911</v>
      </c>
      <c r="T116" s="157">
        <v>2757</v>
      </c>
      <c r="U116" s="157">
        <v>4140.0336677344321</v>
      </c>
      <c r="V116" s="61"/>
      <c r="W116" s="133"/>
      <c r="X116" s="133"/>
      <c r="Y116" s="133"/>
      <c r="Z116" s="133"/>
      <c r="AA116" s="133"/>
      <c r="AB116" s="61"/>
      <c r="AC116" s="61"/>
      <c r="AD116" s="61"/>
      <c r="AE116" s="61"/>
      <c r="AF116" s="61"/>
      <c r="AG116" s="61"/>
      <c r="AH116" s="169"/>
      <c r="AI116" s="61"/>
      <c r="AJ116" s="169"/>
      <c r="AK116" s="169"/>
      <c r="AL116" s="61"/>
      <c r="AM116" s="170"/>
      <c r="AN116" s="170"/>
      <c r="AO116" s="61"/>
      <c r="AP116" s="61"/>
      <c r="AQ116" s="61"/>
      <c r="AR116" s="61"/>
      <c r="AS116" s="61"/>
      <c r="AT116" s="61"/>
      <c r="AU116" s="167"/>
      <c r="AV116" s="167"/>
      <c r="AW116" s="167"/>
      <c r="AX116" s="167"/>
      <c r="AY116" s="167"/>
      <c r="AZ116" s="61"/>
      <c r="BA116" s="167"/>
      <c r="BB116" s="167"/>
      <c r="BC116" s="167"/>
      <c r="BD116" s="167"/>
      <c r="BE116" s="168"/>
      <c r="BF116" s="168"/>
      <c r="BG116" s="168"/>
      <c r="BH116" s="168"/>
      <c r="BI116" s="168"/>
      <c r="BJ116" s="168"/>
      <c r="BK116" s="168"/>
      <c r="BL116" s="168"/>
      <c r="BM116" s="168"/>
      <c r="BN116" s="168"/>
      <c r="BO116" s="168"/>
      <c r="BP116" s="168"/>
      <c r="BQ116" s="168"/>
      <c r="BR116" s="168"/>
      <c r="BS116" s="61"/>
      <c r="BT116" s="61"/>
      <c r="BU116" s="61"/>
      <c r="BV116" s="61"/>
      <c r="BW116" s="61"/>
      <c r="BX116" s="61"/>
      <c r="BY116" s="61"/>
      <c r="BZ116" s="61"/>
      <c r="CA116" s="61"/>
      <c r="CB116" s="61"/>
      <c r="CC116" s="35" t="s">
        <v>356</v>
      </c>
      <c r="CD116" s="260">
        <f ca="1">+IF(e&gt;0,0,1)</f>
        <v>0</v>
      </c>
      <c r="CE116"/>
      <c r="CF116"/>
      <c r="CG116" s="61"/>
      <c r="CH116" s="61"/>
      <c r="CI116" s="61"/>
      <c r="CJ116" s="61"/>
      <c r="CK116" s="61"/>
      <c r="CL116" s="61"/>
      <c r="CM116" s="61"/>
      <c r="CN116" s="61"/>
      <c r="CO116" s="61"/>
      <c r="CP116" s="61"/>
      <c r="CQ116" s="61"/>
      <c r="CR116" s="61"/>
      <c r="CS116" s="61"/>
      <c r="CT116" s="61"/>
      <c r="CU116" s="61"/>
      <c r="CV116" s="61"/>
    </row>
    <row r="117" spans="1:100">
      <c r="A117" s="146">
        <v>81</v>
      </c>
      <c r="B117" s="141">
        <f ca="1">RESUMEN!J84</f>
        <v>0</v>
      </c>
      <c r="C117" s="141">
        <f ca="1">+RESUMEN!K84</f>
        <v>0</v>
      </c>
      <c r="D117" s="142">
        <f t="shared" ca="1" si="170"/>
        <v>0</v>
      </c>
      <c r="E117" s="60"/>
      <c r="F117" s="313" t="s">
        <v>128</v>
      </c>
      <c r="G117" s="316">
        <v>487.59</v>
      </c>
      <c r="H117" s="316">
        <v>440.26</v>
      </c>
      <c r="I117" s="60"/>
      <c r="J117" s="161" t="s">
        <v>128</v>
      </c>
      <c r="K117" s="162">
        <v>17.96</v>
      </c>
      <c r="L117" s="61">
        <v>11</v>
      </c>
      <c r="M117" s="163" t="s">
        <v>233</v>
      </c>
      <c r="N117" s="164">
        <v>2.6238000000000001</v>
      </c>
      <c r="O117" s="266"/>
      <c r="P117" s="267"/>
      <c r="Q117" s="165">
        <v>29</v>
      </c>
      <c r="R117" s="157">
        <v>3433</v>
      </c>
      <c r="S117" s="157">
        <v>3262</v>
      </c>
      <c r="T117" s="157">
        <v>3090</v>
      </c>
      <c r="U117" s="157">
        <v>4562.4765666878784</v>
      </c>
      <c r="V117" s="61"/>
      <c r="W117" s="133"/>
      <c r="X117" s="133"/>
      <c r="Y117" s="133"/>
      <c r="Z117" s="133"/>
      <c r="AA117" s="133"/>
      <c r="AB117" s="61"/>
      <c r="AC117" s="61"/>
      <c r="AD117" s="61"/>
      <c r="AE117" s="61"/>
      <c r="AF117" s="61"/>
      <c r="AG117" s="61"/>
      <c r="AH117" s="169"/>
      <c r="AI117" s="61"/>
      <c r="AJ117" s="169"/>
      <c r="AK117" s="169"/>
      <c r="AL117" s="61"/>
      <c r="AM117" s="170"/>
      <c r="AN117" s="170"/>
      <c r="AO117" s="61"/>
      <c r="AP117" s="61"/>
      <c r="AQ117" s="61"/>
      <c r="AR117" s="61"/>
      <c r="AS117" s="61"/>
      <c r="AT117" s="61"/>
      <c r="AU117" s="167"/>
      <c r="AV117" s="167"/>
      <c r="AW117" s="167"/>
      <c r="AX117" s="167"/>
      <c r="AY117" s="167"/>
      <c r="AZ117" s="61"/>
      <c r="BA117" s="167"/>
      <c r="BB117" s="167"/>
      <c r="BC117" s="167"/>
      <c r="BD117" s="167"/>
      <c r="BE117" s="168"/>
      <c r="BF117" s="168"/>
      <c r="BG117" s="168"/>
      <c r="BH117" s="168"/>
      <c r="BI117" s="168"/>
      <c r="BJ117" s="168"/>
      <c r="BK117" s="168"/>
      <c r="BL117" s="168"/>
      <c r="BM117" s="168"/>
      <c r="BN117" s="168"/>
      <c r="BO117" s="168"/>
      <c r="BP117" s="168"/>
      <c r="BQ117" s="168"/>
      <c r="BR117" s="168"/>
      <c r="BS117" s="61"/>
      <c r="BT117" s="61"/>
      <c r="BU117" s="61"/>
      <c r="BV117" s="61"/>
      <c r="BW117" s="61"/>
      <c r="BX117" s="61"/>
      <c r="BY117" s="61"/>
      <c r="BZ117" s="61"/>
      <c r="CA117" s="61"/>
      <c r="CB117" s="61"/>
      <c r="CC117" s="130" t="s">
        <v>357</v>
      </c>
      <c r="CD117" s="260">
        <f>IF(C14=B14,1,(1-(B14-C14)))</f>
        <v>1</v>
      </c>
      <c r="CE117"/>
      <c r="CF117"/>
      <c r="CG117" s="61"/>
      <c r="CH117" s="61"/>
      <c r="CI117" s="61"/>
      <c r="CJ117" s="61"/>
      <c r="CK117" s="61"/>
      <c r="CL117" s="61"/>
      <c r="CM117" s="61"/>
      <c r="CN117" s="61"/>
      <c r="CO117" s="61"/>
      <c r="CP117" s="61"/>
      <c r="CQ117" s="61"/>
      <c r="CR117" s="61"/>
      <c r="CS117" s="61"/>
      <c r="CT117" s="61"/>
      <c r="CU117" s="61"/>
      <c r="CV117" s="61"/>
    </row>
    <row r="118" spans="1:100">
      <c r="A118" s="146">
        <v>82</v>
      </c>
      <c r="B118" s="141">
        <f ca="1">RESUMEN!J85</f>
        <v>0</v>
      </c>
      <c r="C118" s="141">
        <f ca="1">+RESUMEN!K85</f>
        <v>0</v>
      </c>
      <c r="D118" s="142">
        <f t="shared" ca="1" si="170"/>
        <v>0</v>
      </c>
      <c r="E118" s="60"/>
      <c r="F118" s="313" t="s">
        <v>129</v>
      </c>
      <c r="G118" s="316">
        <v>476.79</v>
      </c>
      <c r="H118" s="316">
        <v>455.73</v>
      </c>
      <c r="I118" s="60"/>
      <c r="J118" s="161" t="s">
        <v>129</v>
      </c>
      <c r="K118" s="162">
        <v>18.12</v>
      </c>
      <c r="L118" s="61">
        <v>12</v>
      </c>
      <c r="M118" s="163" t="s">
        <v>234</v>
      </c>
      <c r="N118" s="164">
        <v>2.7172999999999998</v>
      </c>
      <c r="O118" s="266"/>
      <c r="P118" s="267"/>
      <c r="Q118" s="165">
        <v>30</v>
      </c>
      <c r="R118" s="157">
        <v>3648</v>
      </c>
      <c r="S118" s="157">
        <v>3465</v>
      </c>
      <c r="T118" s="157">
        <v>3283</v>
      </c>
      <c r="U118" s="157">
        <v>4783.2744938507612</v>
      </c>
      <c r="V118" s="61"/>
      <c r="W118" s="133"/>
      <c r="X118" s="133"/>
      <c r="Y118" s="133"/>
      <c r="Z118" s="133"/>
      <c r="AA118" s="133"/>
      <c r="AB118" s="61"/>
      <c r="AC118" s="61"/>
      <c r="AD118" s="61"/>
      <c r="AE118" s="61"/>
      <c r="AF118" s="61"/>
      <c r="AG118" s="61"/>
      <c r="AH118" s="169"/>
      <c r="AI118" s="61"/>
      <c r="AJ118" s="169"/>
      <c r="AK118" s="169"/>
      <c r="AL118" s="61"/>
      <c r="AM118" s="170"/>
      <c r="AN118" s="170"/>
      <c r="AO118" s="61"/>
      <c r="AP118" s="61"/>
      <c r="AQ118" s="61"/>
      <c r="AR118" s="61"/>
      <c r="AS118" s="61"/>
      <c r="AT118" s="61"/>
      <c r="AU118" s="167"/>
      <c r="AV118" s="167"/>
      <c r="AW118" s="167"/>
      <c r="AX118" s="167"/>
      <c r="AY118" s="167"/>
      <c r="AZ118" s="61"/>
      <c r="BA118" s="167"/>
      <c r="BB118" s="167"/>
      <c r="BC118" s="167"/>
      <c r="BD118" s="167"/>
      <c r="BE118" s="168"/>
      <c r="BF118" s="168"/>
      <c r="BG118" s="168"/>
      <c r="BH118" s="168"/>
      <c r="BI118" s="168"/>
      <c r="BJ118" s="168"/>
      <c r="BK118" s="168"/>
      <c r="BL118" s="168"/>
      <c r="BM118" s="168"/>
      <c r="BN118" s="168"/>
      <c r="BO118" s="168"/>
      <c r="BP118" s="168"/>
      <c r="BQ118" s="168"/>
      <c r="BR118" s="168"/>
      <c r="BS118" s="61"/>
      <c r="BT118" s="61"/>
      <c r="BU118" s="61"/>
      <c r="BV118" s="61"/>
      <c r="BW118" s="61"/>
      <c r="BX118" s="61"/>
      <c r="BY118" s="61"/>
      <c r="BZ118" s="61"/>
      <c r="CA118" s="61"/>
      <c r="CB118" s="61"/>
      <c r="CC118" s="130" t="s">
        <v>81</v>
      </c>
      <c r="CD118" s="261">
        <f ca="1">+PRODUCT(CD109:CD117)</f>
        <v>0</v>
      </c>
      <c r="CE118"/>
      <c r="CF118"/>
      <c r="CG118" s="61"/>
      <c r="CH118" s="61"/>
      <c r="CI118" s="61"/>
      <c r="CJ118" s="61"/>
      <c r="CK118" s="61"/>
      <c r="CL118" s="61"/>
      <c r="CM118" s="61"/>
      <c r="CN118" s="61"/>
      <c r="CO118" s="61"/>
      <c r="CP118" s="61"/>
      <c r="CQ118" s="61"/>
      <c r="CR118" s="61"/>
      <c r="CS118" s="61"/>
      <c r="CT118" s="61"/>
      <c r="CU118" s="61"/>
      <c r="CV118" s="61"/>
    </row>
    <row r="119" spans="1:100">
      <c r="A119" s="146">
        <v>83</v>
      </c>
      <c r="B119" s="141">
        <f ca="1">RESUMEN!J86</f>
        <v>0</v>
      </c>
      <c r="C119" s="141">
        <f ca="1">+RESUMEN!K86</f>
        <v>0</v>
      </c>
      <c r="D119" s="142">
        <f t="shared" ca="1" si="170"/>
        <v>0</v>
      </c>
      <c r="E119" s="60"/>
      <c r="F119" s="313" t="s">
        <v>130</v>
      </c>
      <c r="G119" s="316">
        <v>466</v>
      </c>
      <c r="H119" s="316">
        <v>471.21</v>
      </c>
      <c r="I119" s="60"/>
      <c r="J119" s="161" t="s">
        <v>130</v>
      </c>
      <c r="K119" s="162">
        <v>18.28</v>
      </c>
      <c r="L119" s="61">
        <v>13</v>
      </c>
      <c r="M119" s="163" t="s">
        <v>235</v>
      </c>
      <c r="N119" s="164">
        <v>2.7984</v>
      </c>
      <c r="O119" s="266"/>
      <c r="P119" s="267"/>
      <c r="Q119" s="165">
        <v>31</v>
      </c>
      <c r="R119" s="157">
        <v>3677</v>
      </c>
      <c r="S119" s="157">
        <v>3493</v>
      </c>
      <c r="T119" s="157">
        <v>3309</v>
      </c>
      <c r="U119" s="157">
        <v>4774.7173503070117</v>
      </c>
      <c r="V119" s="61"/>
      <c r="W119" s="133"/>
      <c r="X119" s="133"/>
      <c r="Y119" s="133"/>
      <c r="Z119" s="133"/>
      <c r="AA119" s="133"/>
      <c r="AB119" s="61"/>
      <c r="AC119" s="61"/>
      <c r="AD119" s="61"/>
      <c r="AE119" s="61"/>
      <c r="AF119" s="61"/>
      <c r="AG119" s="61"/>
      <c r="AH119" s="169"/>
      <c r="AI119" s="61"/>
      <c r="AJ119" s="169"/>
      <c r="AK119" s="169"/>
      <c r="AL119" s="61"/>
      <c r="AM119" s="170"/>
      <c r="AN119" s="170"/>
      <c r="AO119" s="61"/>
      <c r="AP119" s="61"/>
      <c r="AQ119" s="61"/>
      <c r="AR119" s="61"/>
      <c r="AS119" s="61"/>
      <c r="AT119" s="61"/>
      <c r="AU119" s="167"/>
      <c r="AV119" s="167"/>
      <c r="AW119" s="167"/>
      <c r="AX119" s="167"/>
      <c r="AY119" s="167"/>
      <c r="AZ119" s="61"/>
      <c r="BA119" s="167"/>
      <c r="BB119" s="167"/>
      <c r="BC119" s="167"/>
      <c r="BD119" s="167"/>
      <c r="BE119" s="168"/>
      <c r="BF119" s="168"/>
      <c r="BG119" s="168"/>
      <c r="BH119" s="168"/>
      <c r="BI119" s="168"/>
      <c r="BJ119" s="168"/>
      <c r="BK119" s="168"/>
      <c r="BL119" s="168"/>
      <c r="BM119" s="168"/>
      <c r="BN119" s="168"/>
      <c r="BO119" s="168"/>
      <c r="BP119" s="168"/>
      <c r="BQ119" s="168"/>
      <c r="BR119" s="168"/>
      <c r="BS119" s="61"/>
      <c r="BT119" s="61"/>
      <c r="BU119" s="61"/>
      <c r="BV119" s="61"/>
      <c r="BW119" s="61"/>
      <c r="BX119" s="61"/>
      <c r="BY119" s="61"/>
      <c r="BZ119" s="61"/>
      <c r="CA119" s="61"/>
      <c r="CB119" s="61"/>
      <c r="CC119" s="61"/>
      <c r="CD119" s="61"/>
      <c r="CE119" s="61"/>
      <c r="CF119" s="61"/>
      <c r="CG119" s="61"/>
      <c r="CH119" s="61"/>
      <c r="CI119" s="61"/>
      <c r="CJ119" s="61"/>
      <c r="CK119" s="61"/>
      <c r="CL119" s="61"/>
      <c r="CM119" s="61"/>
      <c r="CN119" s="61"/>
      <c r="CO119" s="61"/>
      <c r="CP119" s="61"/>
      <c r="CQ119" s="61"/>
      <c r="CR119" s="61"/>
      <c r="CS119" s="61"/>
      <c r="CT119" s="61"/>
      <c r="CU119" s="61"/>
      <c r="CV119" s="61"/>
    </row>
    <row r="120" spans="1:100">
      <c r="A120" s="146">
        <v>84</v>
      </c>
      <c r="B120" s="141">
        <f ca="1">RESUMEN!J87</f>
        <v>0</v>
      </c>
      <c r="C120" s="141">
        <f ca="1">+RESUMEN!K87</f>
        <v>0</v>
      </c>
      <c r="D120" s="142">
        <f t="shared" ca="1" si="170"/>
        <v>0</v>
      </c>
      <c r="E120" s="60"/>
      <c r="F120" s="313" t="s">
        <v>131</v>
      </c>
      <c r="G120" s="316">
        <v>455.2</v>
      </c>
      <c r="H120" s="316">
        <v>486.68</v>
      </c>
      <c r="I120" s="60"/>
      <c r="J120" s="161" t="s">
        <v>131</v>
      </c>
      <c r="K120" s="162">
        <v>18.52</v>
      </c>
      <c r="L120" s="61">
        <v>14</v>
      </c>
      <c r="M120" s="163" t="s">
        <v>236</v>
      </c>
      <c r="N120" s="164">
        <v>2.867</v>
      </c>
      <c r="O120" s="266"/>
      <c r="P120" s="267"/>
      <c r="Q120" s="165">
        <v>32</v>
      </c>
      <c r="R120" s="157">
        <v>3519</v>
      </c>
      <c r="S120" s="157">
        <v>3343</v>
      </c>
      <c r="T120" s="157">
        <v>3167</v>
      </c>
      <c r="U120" s="157">
        <v>4541.5401938368141</v>
      </c>
      <c r="V120" s="61"/>
      <c r="W120" s="133"/>
      <c r="X120" s="133"/>
      <c r="Y120" s="133"/>
      <c r="Z120" s="133"/>
      <c r="AA120" s="133"/>
      <c r="AB120" s="61"/>
      <c r="AC120" s="61"/>
      <c r="AD120" s="61"/>
      <c r="AE120" s="61"/>
      <c r="AF120" s="61"/>
      <c r="AG120" s="61"/>
      <c r="AH120" s="169"/>
      <c r="AI120" s="61"/>
      <c r="AJ120" s="169"/>
      <c r="AK120" s="169"/>
      <c r="AL120" s="61"/>
      <c r="AM120" s="170"/>
      <c r="AN120" s="170"/>
      <c r="AO120" s="61"/>
      <c r="AP120" s="61"/>
      <c r="AQ120" s="61"/>
      <c r="AR120" s="61"/>
      <c r="AS120" s="61"/>
      <c r="AT120" s="61"/>
      <c r="AU120" s="167"/>
      <c r="AV120" s="167"/>
      <c r="AW120" s="167"/>
      <c r="AX120" s="167"/>
      <c r="AY120" s="167"/>
      <c r="AZ120" s="61"/>
      <c r="BA120" s="167"/>
      <c r="BB120" s="167"/>
      <c r="BC120" s="167"/>
      <c r="BD120" s="167"/>
      <c r="BE120" s="168"/>
      <c r="BF120" s="168"/>
      <c r="BG120" s="168"/>
      <c r="BH120" s="168"/>
      <c r="BI120" s="168"/>
      <c r="BJ120" s="168"/>
      <c r="BK120" s="168"/>
      <c r="BL120" s="168"/>
      <c r="BM120" s="168"/>
      <c r="BN120" s="168"/>
      <c r="BO120" s="168"/>
      <c r="BP120" s="168"/>
      <c r="BQ120" s="168"/>
      <c r="BR120" s="168"/>
      <c r="BS120" s="61"/>
      <c r="BT120" s="61"/>
      <c r="BU120" s="61"/>
      <c r="BV120" s="61"/>
      <c r="BW120" s="61"/>
      <c r="BX120" s="61"/>
      <c r="BY120" s="61"/>
      <c r="BZ120" s="61"/>
      <c r="CA120" s="61"/>
      <c r="CB120" s="61"/>
      <c r="CC120" s="61"/>
      <c r="CD120" s="61"/>
      <c r="CE120" s="61"/>
      <c r="CF120" s="61"/>
      <c r="CG120" s="61"/>
      <c r="CH120" s="61"/>
      <c r="CI120" s="61"/>
      <c r="CJ120" s="61"/>
      <c r="CK120" s="61"/>
      <c r="CL120" s="61"/>
      <c r="CM120" s="61"/>
      <c r="CN120" s="61"/>
      <c r="CO120" s="61"/>
      <c r="CP120" s="61"/>
      <c r="CQ120" s="61"/>
      <c r="CR120" s="61"/>
      <c r="CS120" s="61"/>
      <c r="CT120" s="61"/>
      <c r="CU120" s="61"/>
      <c r="CV120" s="61"/>
    </row>
    <row r="121" spans="1:100">
      <c r="A121" s="146">
        <v>85</v>
      </c>
      <c r="B121" s="141">
        <f ca="1">RESUMEN!J88</f>
        <v>0</v>
      </c>
      <c r="C121" s="141">
        <f ca="1">+RESUMEN!K88</f>
        <v>0</v>
      </c>
      <c r="D121" s="142">
        <f t="shared" ca="1" si="170"/>
        <v>0</v>
      </c>
      <c r="E121" s="60"/>
      <c r="F121" s="313" t="s">
        <v>132</v>
      </c>
      <c r="G121" s="316">
        <v>444.4</v>
      </c>
      <c r="H121" s="316">
        <v>502.15</v>
      </c>
      <c r="I121" s="60"/>
      <c r="J121" s="161" t="s">
        <v>132</v>
      </c>
      <c r="K121" s="162">
        <v>18.72</v>
      </c>
      <c r="L121" s="61">
        <v>15</v>
      </c>
      <c r="M121" s="163" t="s">
        <v>237</v>
      </c>
      <c r="N121" s="164">
        <v>2.9230999999999998</v>
      </c>
      <c r="O121" s="266"/>
      <c r="P121" s="267"/>
      <c r="Q121" s="165">
        <v>33</v>
      </c>
      <c r="R121" s="157">
        <v>3199</v>
      </c>
      <c r="S121" s="157">
        <v>3039</v>
      </c>
      <c r="T121" s="157">
        <v>2879</v>
      </c>
      <c r="U121" s="157">
        <v>4119.0347544766682</v>
      </c>
      <c r="V121" s="61"/>
      <c r="W121" s="133"/>
      <c r="X121" s="133"/>
      <c r="Y121" s="133"/>
      <c r="Z121" s="133"/>
      <c r="AA121" s="133"/>
      <c r="AB121" s="61"/>
      <c r="AC121" s="61"/>
      <c r="AD121" s="61"/>
      <c r="AE121" s="61"/>
      <c r="AF121" s="61"/>
      <c r="AG121" s="61"/>
      <c r="AH121" s="169"/>
      <c r="AI121" s="61"/>
      <c r="AJ121" s="169"/>
      <c r="AK121" s="169"/>
      <c r="AL121" s="61"/>
      <c r="AM121" s="170"/>
      <c r="AN121" s="170"/>
      <c r="AO121" s="61"/>
      <c r="AP121" s="61"/>
      <c r="AQ121" s="61"/>
      <c r="AR121" s="61"/>
      <c r="AS121" s="61"/>
      <c r="AT121" s="61"/>
      <c r="AU121" s="167"/>
      <c r="AV121" s="167"/>
      <c r="AW121" s="167"/>
      <c r="AX121" s="167"/>
      <c r="AY121" s="167"/>
      <c r="AZ121" s="61"/>
      <c r="BA121" s="167"/>
      <c r="BB121" s="167"/>
      <c r="BC121" s="167"/>
      <c r="BD121" s="167"/>
      <c r="BE121" s="168"/>
      <c r="BF121" s="168"/>
      <c r="BG121" s="168"/>
      <c r="BH121" s="168"/>
      <c r="BI121" s="168"/>
      <c r="BJ121" s="168"/>
      <c r="BK121" s="168"/>
      <c r="BL121" s="168"/>
      <c r="BM121" s="168"/>
      <c r="BN121" s="168"/>
      <c r="BO121" s="168"/>
      <c r="BP121" s="168"/>
      <c r="BQ121" s="168"/>
      <c r="BR121" s="168"/>
      <c r="BS121" s="61"/>
      <c r="BT121" s="61"/>
      <c r="BU121" s="61"/>
      <c r="BV121" s="61"/>
      <c r="BW121" s="61"/>
      <c r="BX121" s="61"/>
      <c r="BY121" s="61"/>
      <c r="BZ121" s="61"/>
      <c r="CA121" s="61"/>
      <c r="CB121" s="61"/>
      <c r="CC121" s="61"/>
      <c r="CD121" s="61"/>
      <c r="CE121" s="61"/>
      <c r="CF121" s="61"/>
      <c r="CG121" s="61"/>
      <c r="CH121" s="61"/>
      <c r="CI121" s="61"/>
      <c r="CJ121" s="61"/>
      <c r="CK121" s="61"/>
      <c r="CL121" s="61"/>
      <c r="CM121" s="61"/>
      <c r="CN121" s="61"/>
      <c r="CO121" s="61"/>
      <c r="CP121" s="61"/>
      <c r="CQ121" s="61"/>
      <c r="CR121" s="61"/>
      <c r="CS121" s="61"/>
      <c r="CT121" s="61"/>
      <c r="CU121" s="61"/>
      <c r="CV121" s="61"/>
    </row>
    <row r="122" spans="1:100">
      <c r="A122" s="146">
        <v>86</v>
      </c>
      <c r="B122" s="141">
        <f ca="1">RESUMEN!J89</f>
        <v>0</v>
      </c>
      <c r="C122" s="141">
        <f ca="1">+RESUMEN!K89</f>
        <v>0</v>
      </c>
      <c r="D122" s="142">
        <f t="shared" ca="1" si="170"/>
        <v>0</v>
      </c>
      <c r="E122" s="60"/>
      <c r="F122" s="313" t="s">
        <v>133</v>
      </c>
      <c r="G122" s="316">
        <v>447.33</v>
      </c>
      <c r="H122" s="316">
        <v>500.41</v>
      </c>
      <c r="I122" s="60"/>
      <c r="J122" s="161" t="s">
        <v>133</v>
      </c>
      <c r="K122" s="162">
        <v>19</v>
      </c>
      <c r="L122" s="61">
        <v>16</v>
      </c>
      <c r="M122" s="163" t="s">
        <v>238</v>
      </c>
      <c r="N122" s="164">
        <v>2.9666999999999999</v>
      </c>
      <c r="O122" s="266"/>
      <c r="P122" s="267"/>
      <c r="Q122" s="165">
        <v>34</v>
      </c>
      <c r="R122" s="157">
        <v>2763</v>
      </c>
      <c r="S122" s="157">
        <v>2625</v>
      </c>
      <c r="T122" s="157">
        <v>2487</v>
      </c>
      <c r="U122" s="157">
        <v>3564.5011181424761</v>
      </c>
      <c r="V122" s="61"/>
      <c r="W122" s="133"/>
      <c r="X122" s="133"/>
      <c r="Y122" s="133"/>
      <c r="Z122" s="133"/>
      <c r="AA122" s="133"/>
      <c r="AB122" s="61"/>
      <c r="AC122" s="61"/>
      <c r="AD122" s="61"/>
      <c r="AE122" s="61"/>
      <c r="AF122" s="61"/>
      <c r="AG122" s="61"/>
      <c r="AH122" s="61"/>
      <c r="AI122" s="61"/>
      <c r="AJ122" s="61"/>
      <c r="AK122" s="61"/>
      <c r="AL122" s="61"/>
      <c r="AM122" s="61"/>
      <c r="AN122" s="61"/>
      <c r="AO122" s="61"/>
      <c r="AP122" s="61"/>
      <c r="AQ122" s="61"/>
      <c r="AR122" s="61"/>
      <c r="AS122" s="61"/>
      <c r="AT122" s="61"/>
      <c r="AU122" s="61"/>
      <c r="AV122" s="61"/>
      <c r="AW122" s="61"/>
      <c r="AX122" s="61"/>
      <c r="AY122" s="61"/>
      <c r="AZ122" s="61"/>
      <c r="BA122" s="61"/>
      <c r="BB122" s="61"/>
      <c r="BC122" s="61"/>
      <c r="BD122" s="61"/>
      <c r="BE122" s="61"/>
      <c r="BF122" s="61"/>
      <c r="BG122" s="61"/>
      <c r="BH122" s="61"/>
      <c r="BI122" s="61"/>
      <c r="BJ122" s="61"/>
      <c r="BK122" s="61"/>
      <c r="BL122" s="61"/>
      <c r="BM122" s="61"/>
      <c r="BN122" s="61"/>
      <c r="BO122" s="61"/>
      <c r="BP122" s="61"/>
      <c r="BQ122" s="61"/>
      <c r="BR122" s="61"/>
      <c r="BS122" s="61"/>
      <c r="BT122" s="61"/>
      <c r="BU122" s="61"/>
      <c r="BV122" s="61"/>
      <c r="BW122" s="61"/>
      <c r="BX122" s="61"/>
      <c r="BY122" s="61"/>
      <c r="BZ122" s="61"/>
      <c r="CA122" s="61"/>
      <c r="CB122" s="61"/>
      <c r="CC122" s="61"/>
      <c r="CD122" s="61"/>
      <c r="CE122" s="61"/>
      <c r="CF122" s="61"/>
      <c r="CG122" s="61"/>
      <c r="CH122" s="61"/>
      <c r="CI122" s="61"/>
      <c r="CJ122" s="61"/>
      <c r="CK122" s="61"/>
      <c r="CL122" s="61"/>
      <c r="CM122" s="61"/>
      <c r="CN122" s="61"/>
      <c r="CO122" s="61"/>
      <c r="CP122" s="61"/>
      <c r="CQ122" s="61"/>
      <c r="CR122" s="61"/>
      <c r="CS122" s="61"/>
      <c r="CT122" s="61"/>
      <c r="CU122" s="61"/>
      <c r="CV122" s="61"/>
    </row>
    <row r="123" spans="1:100">
      <c r="A123" s="146">
        <v>87</v>
      </c>
      <c r="B123" s="141">
        <f ca="1">RESUMEN!J90</f>
        <v>0</v>
      </c>
      <c r="C123" s="141">
        <f ca="1">+RESUMEN!K90</f>
        <v>0</v>
      </c>
      <c r="D123" s="142">
        <f t="shared" ca="1" si="170"/>
        <v>0</v>
      </c>
      <c r="E123" s="60"/>
      <c r="F123" s="313" t="s">
        <v>134</v>
      </c>
      <c r="G123" s="316">
        <v>450.26</v>
      </c>
      <c r="H123" s="316">
        <v>498.66</v>
      </c>
      <c r="I123" s="60"/>
      <c r="J123" s="161" t="s">
        <v>134</v>
      </c>
      <c r="K123" s="162">
        <v>19.28</v>
      </c>
      <c r="L123" s="61">
        <v>17</v>
      </c>
      <c r="M123" s="163" t="s">
        <v>239</v>
      </c>
      <c r="N123" s="172">
        <v>2.9977999999999998</v>
      </c>
      <c r="O123" s="266"/>
      <c r="P123" s="267"/>
      <c r="Q123" s="165">
        <v>35</v>
      </c>
      <c r="R123" s="157">
        <v>2270</v>
      </c>
      <c r="S123" s="157">
        <v>2156</v>
      </c>
      <c r="T123" s="157">
        <v>2043</v>
      </c>
      <c r="U123" s="157">
        <v>2944.8270181963135</v>
      </c>
      <c r="V123" s="61"/>
      <c r="W123" s="133"/>
      <c r="X123" s="133"/>
      <c r="Y123" s="133"/>
      <c r="Z123" s="133"/>
      <c r="AA123" s="133"/>
      <c r="AB123" s="61"/>
      <c r="AC123" s="61"/>
      <c r="AD123" s="61"/>
      <c r="AE123" s="61"/>
      <c r="AF123" s="61"/>
      <c r="AG123" s="61"/>
      <c r="AH123" s="133"/>
      <c r="AI123" s="133"/>
      <c r="AJ123" s="133"/>
      <c r="AK123" s="133"/>
      <c r="AL123" s="133"/>
      <c r="AM123" s="133"/>
      <c r="AN123" s="133"/>
      <c r="AO123" s="133"/>
      <c r="AP123" s="133"/>
      <c r="AQ123" s="133"/>
      <c r="AR123" s="133"/>
      <c r="AS123" s="133"/>
      <c r="AT123" s="133"/>
      <c r="AU123" s="133"/>
      <c r="AV123" s="133"/>
      <c r="AW123" s="133"/>
      <c r="AX123" s="133"/>
      <c r="AY123" s="133"/>
      <c r="AZ123" s="133"/>
      <c r="BA123" s="133"/>
      <c r="BB123" s="133"/>
      <c r="BC123" s="133"/>
      <c r="BD123" s="133"/>
      <c r="BE123" s="133"/>
      <c r="BF123" s="133"/>
      <c r="BG123" s="61"/>
      <c r="BH123" s="61"/>
      <c r="BI123" s="61"/>
      <c r="BJ123" s="61"/>
      <c r="BK123" s="61"/>
      <c r="BL123" s="61"/>
      <c r="BM123" s="61"/>
      <c r="BN123" s="61"/>
      <c r="BO123" s="61"/>
      <c r="BP123" s="61"/>
      <c r="BQ123" s="61"/>
      <c r="BR123" s="61"/>
      <c r="BS123" s="61"/>
      <c r="BT123" s="61"/>
      <c r="BU123" s="61"/>
      <c r="BV123" s="61"/>
      <c r="BW123" s="61"/>
      <c r="BX123" s="61"/>
      <c r="BY123" s="61"/>
      <c r="BZ123" s="61"/>
      <c r="CA123" s="61"/>
      <c r="CB123" s="61"/>
      <c r="CC123" s="61"/>
      <c r="CD123" s="61"/>
      <c r="CE123" s="61"/>
      <c r="CF123" s="61"/>
      <c r="CG123" s="61"/>
      <c r="CH123" s="61"/>
      <c r="CI123" s="61"/>
      <c r="CJ123" s="61"/>
      <c r="CK123" s="61"/>
      <c r="CL123" s="61"/>
      <c r="CM123" s="61"/>
      <c r="CN123" s="61"/>
      <c r="CO123" s="61"/>
      <c r="CP123" s="61"/>
      <c r="CQ123" s="61"/>
      <c r="CR123" s="61"/>
      <c r="CS123" s="61"/>
      <c r="CT123" s="61"/>
      <c r="CU123" s="61"/>
      <c r="CV123" s="61"/>
    </row>
    <row r="124" spans="1:100">
      <c r="A124" s="146">
        <v>88</v>
      </c>
      <c r="B124" s="141">
        <f ca="1">RESUMEN!J91</f>
        <v>0</v>
      </c>
      <c r="C124" s="141">
        <f ca="1">+RESUMEN!K91</f>
        <v>0</v>
      </c>
      <c r="D124" s="142">
        <f t="shared" ca="1" si="170"/>
        <v>0</v>
      </c>
      <c r="E124" s="60"/>
      <c r="F124" s="313" t="s">
        <v>135</v>
      </c>
      <c r="G124" s="316">
        <v>453.19</v>
      </c>
      <c r="H124" s="316">
        <v>496.91</v>
      </c>
      <c r="I124" s="60"/>
      <c r="J124" s="161" t="s">
        <v>135</v>
      </c>
      <c r="K124" s="162">
        <v>19.559999999999999</v>
      </c>
      <c r="L124" s="61"/>
      <c r="M124" s="61"/>
      <c r="N124" s="61"/>
      <c r="O124" s="61"/>
      <c r="P124" s="61"/>
      <c r="Q124" s="165">
        <v>36</v>
      </c>
      <c r="R124" s="157">
        <v>1773</v>
      </c>
      <c r="S124" s="157">
        <v>1684</v>
      </c>
      <c r="T124" s="157">
        <v>1596</v>
      </c>
      <c r="U124" s="157">
        <v>2323.8042287414173</v>
      </c>
      <c r="V124" s="61"/>
      <c r="W124" s="133"/>
      <c r="X124" s="61"/>
      <c r="Y124" s="61"/>
      <c r="Z124" s="61"/>
      <c r="AA124" s="61"/>
      <c r="AB124" s="61"/>
      <c r="AC124" s="61"/>
      <c r="AD124" s="61"/>
      <c r="AE124" s="61"/>
      <c r="AF124" s="61"/>
      <c r="AG124" s="61"/>
      <c r="AH124" s="133"/>
      <c r="AI124" s="133"/>
      <c r="AJ124" s="133"/>
      <c r="AK124" s="133"/>
      <c r="AL124" s="133"/>
      <c r="AM124" s="133"/>
      <c r="AN124" s="133"/>
      <c r="AO124" s="133"/>
      <c r="AP124" s="133"/>
      <c r="AQ124" s="133"/>
      <c r="AR124" s="133"/>
      <c r="AS124" s="133"/>
      <c r="AT124" s="133"/>
      <c r="AU124" s="133"/>
      <c r="AV124" s="133"/>
      <c r="AW124" s="133"/>
      <c r="AX124" s="133"/>
      <c r="AY124" s="133"/>
      <c r="AZ124" s="133"/>
      <c r="BA124" s="133"/>
      <c r="BB124" s="133"/>
      <c r="BC124" s="133"/>
      <c r="BD124" s="133"/>
      <c r="BE124" s="133"/>
      <c r="BF124" s="133"/>
      <c r="BG124" s="61"/>
      <c r="BH124" s="61"/>
      <c r="BI124" s="61"/>
      <c r="BJ124" s="61"/>
      <c r="BK124" s="61"/>
      <c r="BL124" s="61"/>
      <c r="BM124" s="61"/>
      <c r="BN124" s="61"/>
      <c r="BO124" s="61"/>
      <c r="BP124" s="61"/>
      <c r="BQ124" s="61"/>
      <c r="BR124" s="61"/>
      <c r="BS124" s="61"/>
      <c r="BT124" s="61"/>
      <c r="BU124" s="61"/>
      <c r="BV124" s="61"/>
      <c r="BW124" s="61"/>
      <c r="BX124" s="61"/>
      <c r="BY124" s="61"/>
      <c r="BZ124" s="61"/>
      <c r="CA124" s="61"/>
      <c r="CB124" s="61"/>
      <c r="CC124" s="61"/>
      <c r="CD124" s="61"/>
      <c r="CE124" s="61"/>
      <c r="CF124" s="61"/>
      <c r="CG124" s="61"/>
      <c r="CH124" s="61"/>
      <c r="CI124" s="61"/>
      <c r="CJ124" s="61"/>
      <c r="CK124" s="61"/>
      <c r="CL124" s="61"/>
      <c r="CM124" s="61"/>
      <c r="CN124" s="61"/>
      <c r="CO124" s="61"/>
      <c r="CP124" s="61"/>
      <c r="CQ124" s="61"/>
      <c r="CR124" s="61"/>
      <c r="CS124" s="61"/>
      <c r="CT124" s="61"/>
      <c r="CU124" s="61"/>
      <c r="CV124" s="61"/>
    </row>
    <row r="125" spans="1:100">
      <c r="A125" s="146">
        <v>89</v>
      </c>
      <c r="B125" s="141">
        <f ca="1">RESUMEN!J92</f>
        <v>0</v>
      </c>
      <c r="C125" s="141">
        <f ca="1">+RESUMEN!K92</f>
        <v>0</v>
      </c>
      <c r="D125" s="142">
        <f t="shared" ca="1" si="170"/>
        <v>0</v>
      </c>
      <c r="E125" s="60"/>
      <c r="F125" s="313" t="s">
        <v>136</v>
      </c>
      <c r="G125" s="316">
        <v>456.12</v>
      </c>
      <c r="H125" s="316">
        <v>495.17</v>
      </c>
      <c r="I125" s="60"/>
      <c r="J125" s="161" t="s">
        <v>136</v>
      </c>
      <c r="K125" s="162">
        <v>19.920000000000002</v>
      </c>
      <c r="L125" s="61"/>
      <c r="M125" s="61"/>
      <c r="N125" s="61"/>
      <c r="O125" s="61"/>
      <c r="P125" s="61"/>
      <c r="Q125" s="165">
        <v>37</v>
      </c>
      <c r="R125" s="157">
        <v>1318</v>
      </c>
      <c r="S125" s="157">
        <v>1252</v>
      </c>
      <c r="T125" s="157">
        <v>1186</v>
      </c>
      <c r="U125" s="157">
        <v>1752.325276563982</v>
      </c>
      <c r="V125" s="61"/>
      <c r="W125" s="133"/>
      <c r="X125" s="61"/>
      <c r="Y125" s="61"/>
      <c r="Z125" s="61"/>
      <c r="AA125" s="61"/>
      <c r="AB125" s="61"/>
      <c r="AC125" s="61"/>
      <c r="AD125" s="61"/>
      <c r="AE125" s="61"/>
      <c r="AF125" s="61"/>
      <c r="AG125" s="61"/>
      <c r="AH125" s="133"/>
      <c r="AI125" s="133"/>
      <c r="AJ125" s="133"/>
      <c r="AK125" s="133"/>
      <c r="AL125" s="133"/>
      <c r="AM125" s="133"/>
      <c r="AN125" s="133"/>
      <c r="AO125" s="133"/>
      <c r="AP125" s="133"/>
      <c r="AQ125" s="133"/>
      <c r="AR125" s="133"/>
      <c r="AS125" s="133"/>
      <c r="AT125" s="133"/>
      <c r="AU125" s="133"/>
      <c r="AV125" s="133"/>
      <c r="AW125" s="133"/>
      <c r="AX125" s="133"/>
      <c r="AY125" s="133"/>
      <c r="AZ125" s="133"/>
      <c r="BA125" s="133"/>
      <c r="BB125" s="133"/>
      <c r="BC125" s="133"/>
      <c r="BD125" s="133"/>
      <c r="BE125" s="133"/>
      <c r="BF125" s="133"/>
      <c r="BG125" s="61"/>
      <c r="BH125" s="61"/>
      <c r="BI125" s="61"/>
      <c r="BJ125" s="61"/>
      <c r="BK125" s="61"/>
      <c r="BL125" s="61"/>
      <c r="BM125" s="61"/>
      <c r="BN125" s="61"/>
      <c r="BO125" s="61"/>
      <c r="BP125" s="61"/>
      <c r="BQ125" s="61"/>
      <c r="BR125" s="61"/>
      <c r="BS125" s="61"/>
      <c r="BT125" s="61"/>
      <c r="BU125" s="61"/>
      <c r="BV125" s="565"/>
      <c r="BW125" s="565"/>
      <c r="BX125" s="155"/>
      <c r="BY125" s="565"/>
      <c r="BZ125" s="565"/>
      <c r="CA125" s="61"/>
      <c r="CB125" s="61"/>
      <c r="CC125" s="61"/>
      <c r="CD125" s="61"/>
      <c r="CE125" s="61"/>
      <c r="CF125" s="61"/>
      <c r="CG125" s="61"/>
      <c r="CH125" s="61"/>
      <c r="CI125" s="61"/>
      <c r="CJ125" s="61"/>
      <c r="CK125" s="61"/>
      <c r="CL125" s="61"/>
      <c r="CM125" s="61"/>
      <c r="CN125" s="61"/>
      <c r="CO125" s="61"/>
      <c r="CP125" s="61"/>
      <c r="CQ125" s="61"/>
      <c r="CR125" s="61"/>
      <c r="CS125" s="61"/>
      <c r="CT125" s="61"/>
      <c r="CU125" s="61"/>
      <c r="CV125" s="61"/>
    </row>
    <row r="126" spans="1:100">
      <c r="A126" s="146">
        <v>90</v>
      </c>
      <c r="B126" s="141">
        <f ca="1">RESUMEN!J93</f>
        <v>0</v>
      </c>
      <c r="C126" s="141">
        <f ca="1">+RESUMEN!K93</f>
        <v>0</v>
      </c>
      <c r="D126" s="142">
        <f t="shared" ca="1" si="170"/>
        <v>0</v>
      </c>
      <c r="E126" s="60"/>
      <c r="F126" s="313" t="s">
        <v>137</v>
      </c>
      <c r="G126" s="316">
        <v>459.05</v>
      </c>
      <c r="H126" s="316">
        <v>493.42</v>
      </c>
      <c r="I126" s="60"/>
      <c r="J126" s="161" t="s">
        <v>137</v>
      </c>
      <c r="K126" s="162">
        <v>20.28</v>
      </c>
      <c r="L126" s="61"/>
      <c r="M126" s="61"/>
      <c r="N126" s="61"/>
      <c r="O126" s="61"/>
      <c r="P126" s="61"/>
      <c r="Q126" s="165">
        <v>38</v>
      </c>
      <c r="R126" s="157">
        <v>932</v>
      </c>
      <c r="S126" s="157">
        <v>885</v>
      </c>
      <c r="T126" s="157">
        <v>839</v>
      </c>
      <c r="U126" s="157">
        <v>1263.2203435123859</v>
      </c>
      <c r="V126" s="61"/>
      <c r="W126" s="133"/>
      <c r="X126" s="61"/>
      <c r="Y126" s="61"/>
      <c r="Z126" s="61"/>
      <c r="AA126" s="61"/>
      <c r="AB126" s="61"/>
      <c r="AC126" s="61"/>
      <c r="AD126" s="61"/>
      <c r="AE126" s="61"/>
      <c r="AF126" s="61"/>
      <c r="AG126" s="61"/>
      <c r="AH126" s="133"/>
      <c r="AI126" s="133"/>
      <c r="AJ126" s="133"/>
      <c r="AK126" s="133"/>
      <c r="AL126" s="133"/>
      <c r="AM126" s="133"/>
      <c r="AN126" s="133"/>
      <c r="AO126" s="133"/>
      <c r="AP126" s="133"/>
      <c r="AQ126" s="133"/>
      <c r="AR126" s="133"/>
      <c r="AS126" s="133"/>
      <c r="AT126" s="133"/>
      <c r="AU126" s="133"/>
      <c r="AV126" s="133"/>
      <c r="AW126" s="133"/>
      <c r="AX126" s="133"/>
      <c r="AY126" s="133"/>
      <c r="AZ126" s="133"/>
      <c r="BA126" s="133"/>
      <c r="BB126" s="133"/>
      <c r="BC126" s="133"/>
      <c r="BD126" s="133"/>
      <c r="BE126" s="133"/>
      <c r="BF126" s="133"/>
      <c r="BG126" s="61"/>
      <c r="BH126" s="61"/>
      <c r="BI126" s="61"/>
      <c r="BJ126" s="61"/>
      <c r="BK126" s="61"/>
      <c r="BL126" s="61"/>
      <c r="BM126" s="61"/>
      <c r="BN126" s="61"/>
      <c r="BO126" s="61"/>
      <c r="BP126" s="61"/>
      <c r="BQ126" s="61"/>
      <c r="BR126" s="61"/>
      <c r="BS126" s="61"/>
      <c r="BT126" s="61"/>
      <c r="BU126" s="61"/>
      <c r="BV126" s="131"/>
      <c r="BW126" s="131"/>
      <c r="BX126" s="131"/>
      <c r="BY126" s="131"/>
      <c r="BZ126" s="131"/>
      <c r="CA126" s="61"/>
      <c r="CB126" s="61"/>
      <c r="CC126" s="61"/>
      <c r="CD126" s="61"/>
      <c r="CE126" s="61"/>
      <c r="CF126" s="61"/>
      <c r="CG126" s="61"/>
      <c r="CH126" s="61"/>
      <c r="CI126" s="61"/>
      <c r="CJ126" s="61"/>
      <c r="CK126" s="61"/>
      <c r="CL126" s="61"/>
      <c r="CM126" s="61"/>
      <c r="CN126" s="61"/>
      <c r="CO126" s="61"/>
      <c r="CP126" s="61"/>
      <c r="CQ126" s="61"/>
      <c r="CR126" s="61"/>
      <c r="CS126" s="61"/>
      <c r="CT126" s="61"/>
      <c r="CU126" s="61"/>
      <c r="CV126" s="61"/>
    </row>
    <row r="127" spans="1:100">
      <c r="A127" s="146">
        <v>91</v>
      </c>
      <c r="B127" s="141">
        <f ca="1">RESUMEN!J94</f>
        <v>0</v>
      </c>
      <c r="C127" s="141">
        <f ca="1">+RESUMEN!K94</f>
        <v>0</v>
      </c>
      <c r="D127" s="142">
        <f t="shared" ca="1" si="170"/>
        <v>0</v>
      </c>
      <c r="E127" s="60"/>
      <c r="F127" s="313" t="s">
        <v>138</v>
      </c>
      <c r="G127" s="316">
        <v>466.92</v>
      </c>
      <c r="H127" s="316">
        <v>488.89</v>
      </c>
      <c r="I127" s="60"/>
      <c r="J127" s="161" t="s">
        <v>138</v>
      </c>
      <c r="K127" s="173">
        <v>20.68</v>
      </c>
      <c r="L127" s="61"/>
      <c r="M127" s="61"/>
      <c r="N127" s="61"/>
      <c r="O127" s="61"/>
      <c r="P127" s="61"/>
      <c r="Q127" s="165">
        <v>39</v>
      </c>
      <c r="R127" s="157">
        <v>627</v>
      </c>
      <c r="S127" s="157">
        <v>596</v>
      </c>
      <c r="T127" s="157">
        <v>564</v>
      </c>
      <c r="U127" s="157">
        <v>870.85248638048324</v>
      </c>
      <c r="V127" s="61"/>
      <c r="W127" s="133"/>
      <c r="X127" s="61"/>
      <c r="Y127" s="61"/>
      <c r="Z127" s="61"/>
      <c r="AA127" s="61"/>
      <c r="AB127" s="61"/>
      <c r="AC127" s="61"/>
      <c r="AD127" s="61"/>
      <c r="AE127" s="61"/>
      <c r="AF127" s="61"/>
      <c r="AG127" s="61"/>
      <c r="AH127" s="133"/>
      <c r="AI127" s="133"/>
      <c r="AJ127" s="133"/>
      <c r="AK127" s="133"/>
      <c r="AL127" s="133"/>
      <c r="AM127" s="133"/>
      <c r="AN127" s="133"/>
      <c r="AO127" s="133"/>
      <c r="AP127" s="133"/>
      <c r="AQ127" s="133"/>
      <c r="AR127" s="133"/>
      <c r="AS127" s="133"/>
      <c r="AT127" s="133"/>
      <c r="AU127" s="133"/>
      <c r="AV127" s="133"/>
      <c r="AW127" s="133"/>
      <c r="AX127" s="133"/>
      <c r="AY127" s="133"/>
      <c r="AZ127" s="133"/>
      <c r="BA127" s="133"/>
      <c r="BB127" s="133"/>
      <c r="BC127" s="133"/>
      <c r="BD127" s="133"/>
      <c r="BE127" s="133"/>
      <c r="BF127" s="133"/>
      <c r="BG127" s="61"/>
      <c r="BH127" s="61"/>
      <c r="BI127" s="61"/>
      <c r="BJ127" s="61"/>
      <c r="BK127" s="61"/>
      <c r="BL127" s="61"/>
      <c r="BM127" s="61"/>
      <c r="BN127" s="61"/>
      <c r="BO127" s="61"/>
      <c r="BP127" s="61"/>
      <c r="BQ127" s="61"/>
      <c r="BR127" s="61"/>
      <c r="BS127" s="61"/>
      <c r="BT127" s="61"/>
      <c r="BU127" s="61"/>
      <c r="BV127" s="61"/>
      <c r="BW127" s="61"/>
      <c r="BX127" s="61"/>
      <c r="BY127" s="61"/>
      <c r="BZ127" s="61"/>
      <c r="CA127" s="61"/>
      <c r="CB127" s="61"/>
      <c r="CC127" s="61"/>
      <c r="CD127" s="61"/>
      <c r="CE127" s="61"/>
      <c r="CF127" s="61"/>
      <c r="CG127" s="61"/>
      <c r="CH127" s="61"/>
      <c r="CI127" s="61"/>
      <c r="CJ127" s="61"/>
      <c r="CK127" s="61"/>
      <c r="CL127" s="61"/>
      <c r="CM127" s="61"/>
      <c r="CN127" s="61"/>
      <c r="CO127" s="61"/>
      <c r="CP127" s="61"/>
      <c r="CQ127" s="61"/>
      <c r="CR127" s="61"/>
      <c r="CS127" s="61"/>
      <c r="CT127" s="61"/>
      <c r="CU127" s="61"/>
      <c r="CV127" s="61"/>
    </row>
    <row r="128" spans="1:100">
      <c r="A128" s="146">
        <v>92</v>
      </c>
      <c r="B128" s="141">
        <f ca="1">RESUMEN!J95</f>
        <v>0</v>
      </c>
      <c r="C128" s="141">
        <f ca="1">+RESUMEN!K95</f>
        <v>0</v>
      </c>
      <c r="D128" s="142">
        <f t="shared" ca="1" si="170"/>
        <v>0</v>
      </c>
      <c r="E128" s="60"/>
      <c r="F128" s="313" t="s">
        <v>139</v>
      </c>
      <c r="G128" s="316">
        <v>474.78</v>
      </c>
      <c r="H128" s="316">
        <v>484.36</v>
      </c>
      <c r="I128" s="60"/>
      <c r="J128" s="161" t="s">
        <v>139</v>
      </c>
      <c r="K128" s="173">
        <v>21.12</v>
      </c>
      <c r="L128" s="61"/>
      <c r="M128" s="61"/>
      <c r="N128" s="61"/>
      <c r="O128" s="61"/>
      <c r="P128" s="61"/>
      <c r="Q128" s="165">
        <v>40</v>
      </c>
      <c r="R128" s="157">
        <v>402</v>
      </c>
      <c r="S128" s="157">
        <v>382</v>
      </c>
      <c r="T128" s="157">
        <v>362</v>
      </c>
      <c r="U128" s="157">
        <v>574.30443602798869</v>
      </c>
      <c r="V128" s="61"/>
      <c r="W128" s="133"/>
      <c r="X128" s="61"/>
      <c r="Y128" s="61"/>
      <c r="Z128" s="61"/>
      <c r="AA128" s="61"/>
      <c r="AB128" s="61"/>
      <c r="AC128" s="61"/>
      <c r="AD128" s="61"/>
      <c r="AE128" s="61"/>
      <c r="AF128" s="61"/>
      <c r="AG128" s="61"/>
      <c r="AH128" s="133"/>
      <c r="AI128" s="133"/>
      <c r="AJ128" s="133"/>
      <c r="AK128" s="133"/>
      <c r="AL128" s="133"/>
      <c r="AM128" s="133"/>
      <c r="AN128" s="133"/>
      <c r="AO128" s="133"/>
      <c r="AP128" s="133"/>
      <c r="AQ128" s="133"/>
      <c r="AR128" s="133"/>
      <c r="AS128" s="133"/>
      <c r="AT128" s="133"/>
      <c r="AU128" s="133"/>
      <c r="AV128" s="133"/>
      <c r="AW128" s="133"/>
      <c r="AX128" s="133"/>
      <c r="AY128" s="133"/>
      <c r="AZ128" s="133"/>
      <c r="BA128" s="133"/>
      <c r="BB128" s="133"/>
      <c r="BC128" s="133"/>
      <c r="BD128" s="133"/>
      <c r="BE128" s="133"/>
      <c r="BF128" s="133"/>
      <c r="BG128" s="61"/>
      <c r="BH128" s="61"/>
      <c r="BI128" s="61"/>
      <c r="BJ128" s="61"/>
      <c r="BK128" s="61"/>
      <c r="BL128" s="61"/>
      <c r="BM128" s="61"/>
      <c r="BN128" s="61"/>
      <c r="BO128" s="61"/>
      <c r="BP128" s="61"/>
      <c r="BQ128" s="61"/>
      <c r="BR128" s="61"/>
      <c r="BS128" s="61"/>
      <c r="BT128" s="61"/>
      <c r="BU128" s="61"/>
      <c r="BV128" s="131"/>
      <c r="BW128" s="131"/>
      <c r="BX128" s="131"/>
      <c r="BY128" s="131"/>
      <c r="BZ128" s="61"/>
      <c r="CA128" s="61"/>
      <c r="CB128" s="61"/>
      <c r="CC128" s="61"/>
      <c r="CD128" s="61"/>
      <c r="CE128" s="61"/>
      <c r="CF128" s="61"/>
      <c r="CG128" s="61"/>
      <c r="CH128" s="61"/>
      <c r="CI128" s="61"/>
      <c r="CJ128" s="61"/>
      <c r="CK128" s="61"/>
      <c r="CL128" s="61"/>
      <c r="CM128" s="61"/>
      <c r="CN128" s="61"/>
      <c r="CO128" s="61"/>
      <c r="CP128" s="61"/>
      <c r="CQ128" s="61"/>
      <c r="CR128" s="61"/>
      <c r="CS128" s="61"/>
      <c r="CT128" s="61"/>
      <c r="CU128" s="61"/>
      <c r="CV128" s="61"/>
    </row>
    <row r="129" spans="1:100">
      <c r="A129" s="146">
        <v>93</v>
      </c>
      <c r="B129" s="141">
        <f ca="1">RESUMEN!J96</f>
        <v>0</v>
      </c>
      <c r="C129" s="141">
        <f ca="1">+RESUMEN!K96</f>
        <v>0</v>
      </c>
      <c r="D129" s="142">
        <f t="shared" ca="1" si="170"/>
        <v>0</v>
      </c>
      <c r="E129" s="60"/>
      <c r="F129" s="313" t="s">
        <v>140</v>
      </c>
      <c r="G129" s="316">
        <v>482.65</v>
      </c>
      <c r="H129" s="316">
        <v>479.84</v>
      </c>
      <c r="I129" s="60"/>
      <c r="J129" s="161" t="s">
        <v>140</v>
      </c>
      <c r="K129" s="173">
        <v>21.6</v>
      </c>
      <c r="L129" s="61"/>
      <c r="M129" s="61"/>
      <c r="N129" s="61"/>
      <c r="O129" s="61"/>
      <c r="P129" s="61"/>
      <c r="Q129" s="165">
        <v>41</v>
      </c>
      <c r="R129" s="157">
        <v>245</v>
      </c>
      <c r="S129" s="157">
        <v>233</v>
      </c>
      <c r="T129" s="157">
        <v>220</v>
      </c>
      <c r="U129" s="157">
        <v>362.39543025218876</v>
      </c>
      <c r="V129" s="61"/>
      <c r="W129" s="133"/>
      <c r="X129" s="61"/>
      <c r="Y129" s="61"/>
      <c r="Z129" s="61"/>
      <c r="AA129" s="61"/>
      <c r="AB129" s="61"/>
      <c r="AC129" s="61"/>
      <c r="AD129" s="61"/>
      <c r="AE129" s="61"/>
      <c r="AF129" s="61"/>
      <c r="AG129" s="61"/>
      <c r="AH129" s="133"/>
      <c r="AI129" s="133"/>
      <c r="AJ129" s="133"/>
      <c r="AK129" s="133"/>
      <c r="AL129" s="133"/>
      <c r="AM129" s="133"/>
      <c r="AN129" s="133"/>
      <c r="AO129" s="133"/>
      <c r="AP129" s="133"/>
      <c r="AQ129" s="133"/>
      <c r="AR129" s="133"/>
      <c r="AS129" s="133"/>
      <c r="AT129" s="133"/>
      <c r="AU129" s="133"/>
      <c r="AV129" s="133"/>
      <c r="AW129" s="133"/>
      <c r="AX129" s="133"/>
      <c r="AY129" s="133"/>
      <c r="AZ129" s="133"/>
      <c r="BA129" s="133"/>
      <c r="BB129" s="133"/>
      <c r="BC129" s="133"/>
      <c r="BD129" s="133"/>
      <c r="BE129" s="133"/>
      <c r="BF129" s="133"/>
      <c r="BG129" s="61"/>
      <c r="BH129" s="61"/>
      <c r="BI129" s="61"/>
      <c r="BJ129" s="61"/>
      <c r="BK129" s="61"/>
      <c r="BL129" s="61"/>
      <c r="BM129" s="61"/>
      <c r="BN129" s="61"/>
      <c r="BO129" s="61"/>
      <c r="BP129" s="61"/>
      <c r="BQ129" s="61"/>
      <c r="BR129" s="61"/>
      <c r="BS129" s="61"/>
      <c r="BT129" s="61"/>
      <c r="BU129" s="61"/>
      <c r="BV129" s="61"/>
      <c r="BW129" s="61"/>
      <c r="BX129" s="61"/>
      <c r="BY129" s="61"/>
      <c r="BZ129" s="61"/>
      <c r="CA129" s="61"/>
      <c r="CB129" s="61"/>
      <c r="CC129" s="61"/>
      <c r="CD129" s="61"/>
      <c r="CE129" s="61"/>
      <c r="CF129" s="61"/>
      <c r="CG129" s="61"/>
      <c r="CH129" s="61"/>
      <c r="CI129" s="61"/>
      <c r="CJ129" s="61"/>
      <c r="CK129" s="61"/>
      <c r="CL129" s="61"/>
      <c r="CM129" s="61"/>
      <c r="CN129" s="61"/>
      <c r="CO129" s="61"/>
      <c r="CP129" s="61"/>
      <c r="CQ129" s="61"/>
      <c r="CR129" s="61"/>
      <c r="CS129" s="61"/>
      <c r="CT129" s="61"/>
      <c r="CU129" s="61"/>
      <c r="CV129" s="61"/>
    </row>
    <row r="130" spans="1:100">
      <c r="A130" s="146">
        <v>94</v>
      </c>
      <c r="B130" s="141">
        <f ca="1">RESUMEN!J97</f>
        <v>0</v>
      </c>
      <c r="C130" s="141">
        <f ca="1">+RESUMEN!K97</f>
        <v>0</v>
      </c>
      <c r="D130" s="142">
        <f t="shared" ca="1" si="170"/>
        <v>0</v>
      </c>
      <c r="E130" s="60"/>
      <c r="F130" s="313" t="s">
        <v>141</v>
      </c>
      <c r="G130" s="316">
        <v>490.52</v>
      </c>
      <c r="H130" s="316">
        <v>475.31</v>
      </c>
      <c r="I130" s="60"/>
      <c r="J130" s="161" t="s">
        <v>141</v>
      </c>
      <c r="K130" s="173">
        <v>22.12</v>
      </c>
      <c r="L130" s="61"/>
      <c r="M130" s="61"/>
      <c r="N130" s="61"/>
      <c r="O130" s="61"/>
      <c r="P130" s="61"/>
      <c r="Q130" s="165">
        <v>42</v>
      </c>
      <c r="R130" s="157">
        <v>142</v>
      </c>
      <c r="S130" s="157">
        <v>135</v>
      </c>
      <c r="T130" s="157">
        <v>128</v>
      </c>
      <c r="U130" s="157">
        <v>218.85559261526132</v>
      </c>
      <c r="V130" s="61"/>
      <c r="W130" s="133"/>
      <c r="X130" s="61"/>
      <c r="Y130" s="61"/>
      <c r="Z130" s="61"/>
      <c r="AA130" s="61"/>
      <c r="AB130" s="61"/>
      <c r="AC130" s="61"/>
      <c r="AD130" s="61"/>
      <c r="AE130" s="61"/>
      <c r="AF130" s="61"/>
      <c r="AG130" s="61"/>
      <c r="AH130" s="133"/>
      <c r="AI130" s="133"/>
      <c r="AJ130" s="133"/>
      <c r="AK130" s="133"/>
      <c r="AL130" s="133"/>
      <c r="AM130" s="133"/>
      <c r="AN130" s="133"/>
      <c r="AO130" s="133"/>
      <c r="AP130" s="133"/>
      <c r="AQ130" s="133"/>
      <c r="AR130" s="133"/>
      <c r="AS130" s="133"/>
      <c r="AT130" s="133"/>
      <c r="AU130" s="133"/>
      <c r="AV130" s="133"/>
      <c r="AW130" s="133"/>
      <c r="AX130" s="133"/>
      <c r="AY130" s="133"/>
      <c r="AZ130" s="133"/>
      <c r="BA130" s="133"/>
      <c r="BB130" s="133"/>
      <c r="BC130" s="133"/>
      <c r="BD130" s="133"/>
      <c r="BE130" s="133"/>
      <c r="BF130" s="133"/>
      <c r="BG130" s="61"/>
      <c r="BH130" s="61"/>
      <c r="BI130" s="61"/>
      <c r="BJ130" s="61"/>
      <c r="BK130" s="61"/>
      <c r="BL130" s="61"/>
      <c r="BM130" s="61"/>
      <c r="BN130" s="61"/>
      <c r="BO130" s="61"/>
      <c r="BP130" s="61"/>
      <c r="BQ130" s="61"/>
      <c r="BR130" s="61"/>
      <c r="BS130" s="61"/>
      <c r="BT130" s="61"/>
      <c r="BU130" s="61"/>
      <c r="BV130" s="61"/>
      <c r="BW130" s="61"/>
      <c r="BX130" s="61"/>
      <c r="BY130" s="61"/>
      <c r="BZ130" s="61"/>
      <c r="CA130" s="61"/>
      <c r="CB130" s="61"/>
      <c r="CC130" s="61"/>
      <c r="CD130" s="61"/>
      <c r="CE130" s="61"/>
      <c r="CF130" s="61"/>
      <c r="CG130" s="61"/>
      <c r="CH130" s="61"/>
      <c r="CI130" s="61"/>
      <c r="CJ130" s="61"/>
      <c r="CK130" s="61"/>
      <c r="CL130" s="61"/>
      <c r="CM130" s="61"/>
      <c r="CN130" s="61"/>
      <c r="CO130" s="61"/>
      <c r="CP130" s="61"/>
      <c r="CQ130" s="61"/>
      <c r="CR130" s="61"/>
      <c r="CS130" s="61"/>
      <c r="CT130" s="61"/>
      <c r="CU130" s="61"/>
      <c r="CV130" s="61"/>
    </row>
    <row r="131" spans="1:100">
      <c r="A131" s="146">
        <v>95</v>
      </c>
      <c r="B131" s="141">
        <f ca="1">RESUMEN!J98</f>
        <v>0</v>
      </c>
      <c r="C131" s="141">
        <f ca="1">+RESUMEN!K98</f>
        <v>0</v>
      </c>
      <c r="D131" s="142">
        <f t="shared" ca="1" si="170"/>
        <v>0</v>
      </c>
      <c r="E131" s="60"/>
      <c r="F131" s="313" t="s">
        <v>142</v>
      </c>
      <c r="G131" s="316">
        <v>498.38</v>
      </c>
      <c r="H131" s="316">
        <v>470.78</v>
      </c>
      <c r="I131" s="60"/>
      <c r="J131" s="161" t="s">
        <v>142</v>
      </c>
      <c r="K131" s="173">
        <v>22.68</v>
      </c>
      <c r="L131" s="61"/>
      <c r="M131" s="61"/>
      <c r="N131" s="61"/>
      <c r="O131" s="61"/>
      <c r="P131" s="61"/>
      <c r="Q131" s="165">
        <v>43</v>
      </c>
      <c r="R131" s="157">
        <v>79</v>
      </c>
      <c r="S131" s="157">
        <v>75</v>
      </c>
      <c r="T131" s="157">
        <v>71</v>
      </c>
      <c r="U131" s="157">
        <v>126.51426474609394</v>
      </c>
      <c r="V131" s="61"/>
      <c r="W131" s="133"/>
      <c r="X131" s="61"/>
      <c r="Y131" s="61"/>
      <c r="Z131" s="61"/>
      <c r="AA131" s="61"/>
      <c r="AB131" s="61"/>
      <c r="AC131" s="61"/>
      <c r="AD131" s="61"/>
      <c r="AE131" s="61"/>
      <c r="AF131" s="61"/>
      <c r="AG131" s="61"/>
      <c r="AH131" s="133"/>
      <c r="AI131" s="133"/>
      <c r="AJ131" s="133"/>
      <c r="AK131" s="133"/>
      <c r="AL131" s="133"/>
      <c r="AM131" s="133"/>
      <c r="AN131" s="133"/>
      <c r="AO131" s="133"/>
      <c r="AP131" s="133"/>
      <c r="AQ131" s="133"/>
      <c r="AR131" s="133"/>
      <c r="AS131" s="133"/>
      <c r="AT131" s="133"/>
      <c r="AU131" s="133"/>
      <c r="AV131" s="133"/>
      <c r="AW131" s="133"/>
      <c r="AX131" s="133"/>
      <c r="AY131" s="133"/>
      <c r="AZ131" s="133"/>
      <c r="BA131" s="133"/>
      <c r="BB131" s="133"/>
      <c r="BC131" s="133"/>
      <c r="BD131" s="133"/>
      <c r="BE131" s="133"/>
      <c r="BF131" s="133"/>
      <c r="BG131" s="61"/>
      <c r="BH131" s="61"/>
      <c r="BI131" s="61"/>
      <c r="BJ131" s="61"/>
      <c r="BK131" s="61"/>
      <c r="BL131" s="61"/>
      <c r="BM131" s="61"/>
      <c r="BN131" s="61"/>
      <c r="BO131" s="61"/>
      <c r="BP131" s="61"/>
      <c r="BQ131" s="61"/>
      <c r="BR131" s="61"/>
      <c r="BS131" s="61"/>
      <c r="BT131" s="61"/>
      <c r="BU131" s="61"/>
      <c r="BV131" s="61"/>
      <c r="BW131" s="61"/>
      <c r="BX131" s="61"/>
      <c r="BY131" s="61"/>
      <c r="BZ131" s="61"/>
      <c r="CA131" s="61"/>
      <c r="CB131" s="61"/>
      <c r="CC131" s="61"/>
      <c r="CD131" s="61"/>
      <c r="CE131" s="61"/>
      <c r="CF131" s="61"/>
      <c r="CG131" s="61"/>
      <c r="CH131" s="61"/>
      <c r="CI131" s="61"/>
      <c r="CJ131" s="61"/>
      <c r="CK131" s="61"/>
      <c r="CL131" s="61"/>
      <c r="CM131" s="61"/>
      <c r="CN131" s="61"/>
      <c r="CO131" s="61"/>
      <c r="CP131" s="61"/>
      <c r="CQ131" s="61"/>
      <c r="CR131" s="61"/>
      <c r="CS131" s="61"/>
      <c r="CT131" s="61"/>
      <c r="CU131" s="61"/>
      <c r="CV131" s="61"/>
    </row>
    <row r="132" spans="1:100">
      <c r="A132" s="146">
        <v>96</v>
      </c>
      <c r="B132" s="141">
        <f ca="1">RESUMEN!J99</f>
        <v>0</v>
      </c>
      <c r="C132" s="141">
        <f ca="1">+RESUMEN!K99</f>
        <v>0</v>
      </c>
      <c r="D132" s="142">
        <f ca="1">B132+C132</f>
        <v>0</v>
      </c>
      <c r="E132" s="60"/>
      <c r="F132" s="313" t="s">
        <v>143</v>
      </c>
      <c r="G132" s="316">
        <v>508.33</v>
      </c>
      <c r="H132" s="316">
        <v>488.29</v>
      </c>
      <c r="I132" s="60"/>
      <c r="J132" s="161" t="s">
        <v>143</v>
      </c>
      <c r="K132" s="173">
        <v>23.28</v>
      </c>
      <c r="L132" s="61"/>
      <c r="M132" s="61"/>
      <c r="N132" s="61"/>
      <c r="O132" s="61"/>
      <c r="P132" s="61"/>
      <c r="Q132" s="165">
        <v>44</v>
      </c>
      <c r="R132" s="157">
        <v>41</v>
      </c>
      <c r="S132" s="157">
        <v>39</v>
      </c>
      <c r="T132" s="157">
        <v>37</v>
      </c>
      <c r="U132" s="157">
        <v>70.013579066858313</v>
      </c>
      <c r="V132" s="61"/>
      <c r="W132" s="133"/>
      <c r="X132" s="61"/>
      <c r="Y132" s="61"/>
      <c r="Z132" s="61"/>
      <c r="AA132" s="61"/>
      <c r="AB132" s="61"/>
      <c r="AC132" s="61"/>
      <c r="AD132" s="61"/>
      <c r="AE132" s="61"/>
      <c r="AF132" s="61"/>
      <c r="AG132" s="61"/>
      <c r="AH132" s="133"/>
      <c r="AI132" s="133"/>
      <c r="AJ132" s="133"/>
      <c r="AK132" s="133"/>
      <c r="AL132" s="133"/>
      <c r="AM132" s="133"/>
      <c r="AN132" s="133"/>
      <c r="AO132" s="133"/>
      <c r="AP132" s="133"/>
      <c r="AQ132" s="133"/>
      <c r="AR132" s="133"/>
      <c r="AS132" s="133"/>
      <c r="AT132" s="133"/>
      <c r="AU132" s="133"/>
      <c r="AV132" s="133"/>
      <c r="AW132" s="133"/>
      <c r="AX132" s="133"/>
      <c r="AY132" s="133"/>
      <c r="AZ132" s="133"/>
      <c r="BA132" s="133"/>
      <c r="BB132" s="133"/>
      <c r="BC132" s="133"/>
      <c r="BD132" s="133"/>
      <c r="BE132" s="133"/>
      <c r="BF132" s="133"/>
      <c r="BG132" s="61"/>
      <c r="BH132" s="61"/>
      <c r="BI132" s="61"/>
      <c r="BJ132" s="61"/>
      <c r="BK132" s="61"/>
      <c r="BL132" s="61"/>
      <c r="BM132" s="61"/>
      <c r="BN132" s="61"/>
      <c r="BO132" s="61"/>
      <c r="BP132" s="61"/>
      <c r="BQ132" s="61"/>
      <c r="BR132" s="61"/>
      <c r="BS132" s="61"/>
      <c r="BT132" s="61"/>
      <c r="BU132" s="61"/>
      <c r="BV132" s="61"/>
      <c r="BW132" s="61"/>
      <c r="BX132" s="61"/>
      <c r="BY132" s="61"/>
      <c r="BZ132" s="61"/>
      <c r="CA132" s="61"/>
      <c r="CB132" s="61"/>
      <c r="CC132" s="61"/>
      <c r="CD132" s="61"/>
      <c r="CE132" s="61"/>
      <c r="CF132" s="61"/>
      <c r="CG132" s="61"/>
      <c r="CH132" s="61"/>
      <c r="CI132" s="61"/>
      <c r="CJ132" s="61"/>
      <c r="CK132" s="61"/>
      <c r="CL132" s="61"/>
      <c r="CM132" s="61"/>
      <c r="CN132" s="61"/>
      <c r="CO132" s="61"/>
      <c r="CP132" s="61"/>
      <c r="CQ132" s="61"/>
      <c r="CR132" s="61"/>
      <c r="CS132" s="61"/>
      <c r="CT132" s="61"/>
      <c r="CU132" s="61"/>
      <c r="CV132" s="61"/>
    </row>
    <row r="133" spans="1:100">
      <c r="A133" s="146">
        <v>97</v>
      </c>
      <c r="B133" s="141">
        <f ca="1">RESUMEN!J100</f>
        <v>0</v>
      </c>
      <c r="C133" s="141">
        <f ca="1">+RESUMEN!K100</f>
        <v>0</v>
      </c>
      <c r="D133" s="142">
        <f ca="1">B133+C133</f>
        <v>0</v>
      </c>
      <c r="E133" s="60"/>
      <c r="F133" s="313" t="s">
        <v>144</v>
      </c>
      <c r="G133" s="316">
        <v>518.28</v>
      </c>
      <c r="H133" s="316">
        <v>505.8</v>
      </c>
      <c r="I133" s="60"/>
      <c r="J133" s="161" t="s">
        <v>144</v>
      </c>
      <c r="K133" s="173">
        <v>23.92</v>
      </c>
      <c r="L133" s="61"/>
      <c r="M133" s="61"/>
      <c r="N133" s="61"/>
      <c r="O133" s="61"/>
      <c r="P133" s="61"/>
      <c r="Q133" s="61"/>
      <c r="R133" s="61"/>
      <c r="S133" s="61"/>
      <c r="T133" s="61"/>
      <c r="U133" s="61"/>
      <c r="V133" s="61"/>
      <c r="W133" s="133"/>
      <c r="X133" s="61"/>
      <c r="Y133" s="61"/>
      <c r="Z133" s="61"/>
      <c r="AA133" s="61"/>
      <c r="AB133" s="61"/>
      <c r="AC133" s="61"/>
      <c r="AD133" s="61"/>
      <c r="AE133" s="61"/>
      <c r="AF133" s="61"/>
      <c r="AG133" s="61"/>
      <c r="AH133" s="133"/>
      <c r="AI133" s="133"/>
      <c r="AJ133" s="133"/>
      <c r="AK133" s="133"/>
      <c r="AL133" s="133"/>
      <c r="AM133" s="133"/>
      <c r="AN133" s="133"/>
      <c r="AO133" s="133"/>
      <c r="AP133" s="133"/>
      <c r="AQ133" s="133"/>
      <c r="AR133" s="133"/>
      <c r="AS133" s="133"/>
      <c r="AT133" s="133"/>
      <c r="AU133" s="133"/>
      <c r="AV133" s="133"/>
      <c r="AW133" s="133"/>
      <c r="AX133" s="133"/>
      <c r="AY133" s="133"/>
      <c r="AZ133" s="133"/>
      <c r="BA133" s="133"/>
      <c r="BB133" s="133"/>
      <c r="BC133" s="133"/>
      <c r="BD133" s="133"/>
      <c r="BE133" s="133"/>
      <c r="BF133" s="133"/>
      <c r="BG133" s="61"/>
      <c r="BH133" s="61"/>
      <c r="BI133" s="61"/>
      <c r="BJ133" s="61"/>
      <c r="BK133" s="61"/>
      <c r="BL133" s="61"/>
      <c r="BM133" s="61"/>
      <c r="BN133" s="61"/>
      <c r="BO133" s="61"/>
      <c r="BP133" s="61"/>
      <c r="BQ133" s="61"/>
      <c r="BR133" s="61"/>
      <c r="BS133" s="61"/>
      <c r="BT133" s="61"/>
      <c r="BU133" s="61"/>
      <c r="BV133" s="61"/>
      <c r="BW133" s="61"/>
      <c r="BX133" s="61"/>
      <c r="BY133" s="61"/>
      <c r="BZ133" s="61"/>
      <c r="CA133" s="61"/>
      <c r="CB133" s="61"/>
      <c r="CC133" s="61"/>
      <c r="CD133" s="61"/>
      <c r="CE133" s="61"/>
      <c r="CF133" s="61"/>
      <c r="CG133" s="61"/>
      <c r="CH133" s="61"/>
      <c r="CI133" s="61"/>
      <c r="CJ133" s="61"/>
      <c r="CK133" s="61"/>
      <c r="CL133" s="61"/>
      <c r="CM133" s="61"/>
      <c r="CN133" s="61"/>
      <c r="CO133" s="61"/>
      <c r="CP133" s="61"/>
      <c r="CQ133" s="61"/>
      <c r="CR133" s="61"/>
      <c r="CS133" s="61"/>
      <c r="CT133" s="61"/>
      <c r="CU133" s="61"/>
      <c r="CV133" s="61"/>
    </row>
    <row r="134" spans="1:100">
      <c r="A134" s="146">
        <v>98</v>
      </c>
      <c r="B134" s="141">
        <f ca="1">RESUMEN!J101</f>
        <v>0</v>
      </c>
      <c r="C134" s="141">
        <f ca="1">+RESUMEN!K101</f>
        <v>0</v>
      </c>
      <c r="D134" s="142">
        <f ca="1">B134+C134</f>
        <v>0</v>
      </c>
      <c r="E134" s="60"/>
      <c r="F134" s="313" t="s">
        <v>145</v>
      </c>
      <c r="G134" s="316">
        <v>528.23</v>
      </c>
      <c r="H134" s="316">
        <v>523.32000000000005</v>
      </c>
      <c r="I134" s="60"/>
      <c r="J134" s="161" t="s">
        <v>145</v>
      </c>
      <c r="K134" s="173">
        <v>24.64</v>
      </c>
      <c r="L134" s="61"/>
      <c r="M134" s="61"/>
      <c r="N134" s="61"/>
      <c r="O134" s="61"/>
      <c r="P134" s="61"/>
      <c r="Q134" s="61"/>
      <c r="R134" s="61"/>
      <c r="S134" s="61"/>
      <c r="T134" s="61"/>
      <c r="U134" s="61"/>
      <c r="V134" s="61"/>
      <c r="W134" s="133"/>
      <c r="X134" s="61"/>
      <c r="Y134" s="61"/>
      <c r="Z134" s="61"/>
      <c r="AA134" s="61"/>
      <c r="AB134" s="61"/>
      <c r="AC134" s="61"/>
      <c r="AD134" s="61"/>
      <c r="AE134" s="61"/>
      <c r="AF134" s="61"/>
      <c r="AG134" s="61"/>
      <c r="AH134" s="133"/>
      <c r="AI134" s="133"/>
      <c r="AJ134" s="133"/>
      <c r="AK134" s="133"/>
      <c r="AL134" s="133"/>
      <c r="AM134" s="133"/>
      <c r="AN134" s="133"/>
      <c r="AO134" s="133"/>
      <c r="AP134" s="133"/>
      <c r="AQ134" s="133"/>
      <c r="AR134" s="133"/>
      <c r="AS134" s="133"/>
      <c r="AT134" s="133"/>
      <c r="AU134" s="133"/>
      <c r="AV134" s="133"/>
      <c r="AW134" s="133"/>
      <c r="AX134" s="133"/>
      <c r="AY134" s="133"/>
      <c r="AZ134" s="133"/>
      <c r="BA134" s="133"/>
      <c r="BB134" s="133"/>
      <c r="BC134" s="133"/>
      <c r="BD134" s="133"/>
      <c r="BE134" s="133"/>
      <c r="BF134" s="133"/>
      <c r="BG134" s="61"/>
      <c r="BH134" s="61"/>
      <c r="BI134" s="61"/>
      <c r="BJ134" s="61"/>
      <c r="BK134" s="61"/>
      <c r="BL134" s="61"/>
      <c r="BM134" s="61"/>
      <c r="BN134" s="61"/>
      <c r="BO134" s="61"/>
      <c r="BP134" s="61"/>
      <c r="BQ134" s="61"/>
      <c r="BR134" s="61"/>
      <c r="BS134" s="61"/>
      <c r="BT134" s="61"/>
      <c r="BU134" s="61"/>
      <c r="BV134" s="61"/>
      <c r="BW134" s="61"/>
      <c r="BX134" s="61"/>
      <c r="BY134" s="61"/>
      <c r="BZ134" s="61"/>
      <c r="CA134" s="61"/>
      <c r="CB134" s="61"/>
      <c r="CC134" s="61"/>
      <c r="CD134" s="61"/>
      <c r="CE134" s="61"/>
      <c r="CF134" s="61"/>
      <c r="CG134" s="61"/>
      <c r="CH134" s="61"/>
      <c r="CI134" s="61"/>
      <c r="CJ134" s="61"/>
      <c r="CK134" s="61"/>
      <c r="CL134" s="61"/>
      <c r="CM134" s="61"/>
      <c r="CN134" s="61"/>
      <c r="CO134" s="61"/>
      <c r="CP134" s="61"/>
      <c r="CQ134" s="61"/>
      <c r="CR134" s="61"/>
      <c r="CS134" s="61"/>
      <c r="CT134" s="61"/>
      <c r="CU134" s="61"/>
      <c r="CV134" s="61"/>
    </row>
    <row r="135" spans="1:100">
      <c r="A135" s="146">
        <v>99</v>
      </c>
      <c r="B135" s="141">
        <f ca="1">RESUMEN!J102</f>
        <v>0</v>
      </c>
      <c r="C135" s="141">
        <f ca="1">+RESUMEN!K102</f>
        <v>0</v>
      </c>
      <c r="D135" s="142">
        <f ca="1">B135+C135</f>
        <v>0</v>
      </c>
      <c r="E135" s="60"/>
      <c r="F135" s="313" t="s">
        <v>146</v>
      </c>
      <c r="G135" s="316">
        <v>538.17999999999995</v>
      </c>
      <c r="H135" s="316">
        <v>540.83000000000004</v>
      </c>
      <c r="I135" s="60"/>
      <c r="J135" s="161" t="s">
        <v>146</v>
      </c>
      <c r="K135" s="173">
        <v>25.4</v>
      </c>
      <c r="L135" s="61"/>
      <c r="M135" s="61"/>
      <c r="N135" s="61"/>
      <c r="O135" s="61"/>
      <c r="P135" s="61"/>
      <c r="Q135" s="61"/>
      <c r="R135" s="61"/>
      <c r="S135" s="61"/>
      <c r="T135" s="61"/>
      <c r="U135" s="61"/>
      <c r="V135" s="61"/>
      <c r="W135" s="133"/>
      <c r="X135" s="61"/>
      <c r="Y135" s="61"/>
      <c r="Z135" s="61"/>
      <c r="AA135" s="61"/>
      <c r="AB135" s="61"/>
      <c r="AC135" s="61"/>
      <c r="AD135" s="61"/>
      <c r="AE135" s="61"/>
      <c r="AF135" s="61"/>
      <c r="AG135" s="61"/>
      <c r="AH135" s="133"/>
      <c r="AI135" s="133"/>
      <c r="AJ135" s="133"/>
      <c r="AK135" s="133"/>
      <c r="AL135" s="133"/>
      <c r="AM135" s="133"/>
      <c r="AN135" s="133"/>
      <c r="AO135" s="133"/>
      <c r="AP135" s="133"/>
      <c r="AQ135" s="133"/>
      <c r="AR135" s="133"/>
      <c r="AS135" s="133"/>
      <c r="AT135" s="133"/>
      <c r="AU135" s="133"/>
      <c r="AV135" s="133"/>
      <c r="AW135" s="133"/>
      <c r="AX135" s="133"/>
      <c r="AY135" s="133"/>
      <c r="AZ135" s="133"/>
      <c r="BA135" s="133"/>
      <c r="BB135" s="133"/>
      <c r="BC135" s="133"/>
      <c r="BD135" s="133"/>
      <c r="BE135" s="133"/>
      <c r="BF135" s="133"/>
      <c r="BG135" s="61"/>
      <c r="BH135" s="61"/>
      <c r="BI135" s="61"/>
      <c r="BJ135" s="61"/>
      <c r="BK135" s="61"/>
      <c r="BL135" s="61"/>
      <c r="BM135" s="61"/>
      <c r="BN135" s="61"/>
      <c r="BO135" s="61"/>
      <c r="BP135" s="61"/>
      <c r="BQ135" s="61"/>
      <c r="BR135" s="61"/>
      <c r="BS135" s="61"/>
      <c r="BT135" s="61"/>
      <c r="BU135" s="61"/>
      <c r="BV135" s="61"/>
      <c r="BW135" s="61"/>
      <c r="BX135" s="61"/>
      <c r="BY135" s="61"/>
      <c r="BZ135" s="61"/>
      <c r="CA135" s="61"/>
      <c r="CB135" s="61"/>
      <c r="CC135" s="61"/>
      <c r="CD135" s="61"/>
      <c r="CE135" s="61"/>
      <c r="CF135" s="61"/>
      <c r="CG135" s="61"/>
      <c r="CH135" s="61"/>
      <c r="CI135" s="61"/>
      <c r="CJ135" s="61"/>
      <c r="CK135" s="61"/>
      <c r="CL135" s="61"/>
      <c r="CM135" s="61"/>
      <c r="CN135" s="61"/>
      <c r="CO135" s="61"/>
      <c r="CP135" s="61"/>
      <c r="CQ135" s="61"/>
      <c r="CR135" s="61"/>
      <c r="CS135" s="61"/>
      <c r="CT135" s="61"/>
      <c r="CU135" s="61"/>
      <c r="CV135" s="61"/>
    </row>
    <row r="136" spans="1:100" ht="16" thickBot="1">
      <c r="A136" s="174">
        <v>100</v>
      </c>
      <c r="B136" s="141">
        <f ca="1">RESUMEN!J103</f>
        <v>0</v>
      </c>
      <c r="C136" s="141">
        <f ca="1">+RESUMEN!K103</f>
        <v>0</v>
      </c>
      <c r="D136" s="175">
        <f ca="1">B136+C136</f>
        <v>0</v>
      </c>
      <c r="E136" s="60"/>
      <c r="F136" s="313" t="s">
        <v>147</v>
      </c>
      <c r="G136" s="316">
        <v>548.13</v>
      </c>
      <c r="H136" s="316">
        <v>558.34</v>
      </c>
      <c r="I136" s="60"/>
      <c r="J136" s="161" t="s">
        <v>147</v>
      </c>
      <c r="K136" s="173">
        <v>26.24</v>
      </c>
      <c r="L136" s="61"/>
      <c r="M136" s="61"/>
      <c r="N136" s="61"/>
      <c r="O136" s="61"/>
      <c r="P136" s="61"/>
      <c r="Q136" s="61"/>
      <c r="R136" s="61"/>
      <c r="S136" s="61"/>
      <c r="T136" s="61"/>
      <c r="U136" s="61"/>
      <c r="V136" s="61"/>
      <c r="W136" s="133"/>
      <c r="X136" s="61"/>
      <c r="Y136" s="61"/>
      <c r="Z136" s="61"/>
      <c r="AA136" s="61"/>
      <c r="AB136" s="61"/>
      <c r="AC136" s="61"/>
      <c r="AD136" s="61"/>
      <c r="AE136" s="61"/>
      <c r="AF136" s="61"/>
      <c r="AG136" s="61"/>
      <c r="AH136" s="133"/>
      <c r="AI136" s="133"/>
      <c r="AJ136" s="133"/>
      <c r="AK136" s="133"/>
      <c r="AL136" s="133"/>
      <c r="AM136" s="133"/>
      <c r="AN136" s="133"/>
      <c r="AO136" s="133"/>
      <c r="AP136" s="133"/>
      <c r="AQ136" s="133"/>
      <c r="AR136" s="133"/>
      <c r="AS136" s="133"/>
      <c r="AT136" s="133"/>
      <c r="AU136" s="133"/>
      <c r="AV136" s="133"/>
      <c r="AW136" s="133"/>
      <c r="AX136" s="133"/>
      <c r="AY136" s="133"/>
      <c r="AZ136" s="133"/>
      <c r="BA136" s="133"/>
      <c r="BB136" s="133"/>
      <c r="BC136" s="133"/>
      <c r="BD136" s="133"/>
      <c r="BE136" s="133"/>
      <c r="BF136" s="133"/>
      <c r="BG136" s="61"/>
      <c r="BH136" s="61"/>
      <c r="BI136" s="61"/>
      <c r="BJ136" s="61"/>
      <c r="BK136" s="61"/>
      <c r="BL136" s="61"/>
      <c r="BM136" s="61"/>
      <c r="BN136" s="61"/>
      <c r="BO136" s="61"/>
      <c r="BP136" s="61"/>
      <c r="BQ136" s="61"/>
      <c r="BR136" s="61"/>
      <c r="BS136" s="61"/>
      <c r="BT136" s="61"/>
      <c r="BU136" s="61"/>
      <c r="BV136" s="61"/>
      <c r="BW136" s="61"/>
      <c r="BX136" s="61"/>
      <c r="BY136" s="61"/>
      <c r="BZ136" s="61"/>
      <c r="CA136" s="61"/>
      <c r="CB136" s="61"/>
      <c r="CC136" s="61"/>
      <c r="CD136" s="61"/>
      <c r="CE136" s="61"/>
      <c r="CF136" s="61"/>
      <c r="CG136" s="61"/>
      <c r="CH136" s="61"/>
      <c r="CI136" s="61"/>
      <c r="CJ136" s="61"/>
      <c r="CK136" s="61"/>
      <c r="CL136" s="61"/>
      <c r="CM136" s="61"/>
      <c r="CN136" s="61"/>
      <c r="CO136" s="61"/>
      <c r="CP136" s="61"/>
      <c r="CQ136" s="61"/>
      <c r="CR136" s="61"/>
      <c r="CS136" s="61"/>
      <c r="CT136" s="61"/>
      <c r="CU136" s="61"/>
      <c r="CV136" s="61"/>
    </row>
    <row r="137" spans="1:100" ht="16" thickBot="1">
      <c r="A137" s="176" t="s">
        <v>52</v>
      </c>
      <c r="B137" s="176">
        <f ca="1">SUM(B36:B136)</f>
        <v>0</v>
      </c>
      <c r="C137" s="176">
        <f ca="1">SUM(C36:C136)</f>
        <v>0</v>
      </c>
      <c r="D137" s="176">
        <f ca="1">SUM(D36:D136)</f>
        <v>0</v>
      </c>
      <c r="E137" s="60"/>
      <c r="F137" s="313" t="s">
        <v>148</v>
      </c>
      <c r="G137" s="316">
        <v>594.55999999999995</v>
      </c>
      <c r="H137" s="316">
        <v>590.87</v>
      </c>
      <c r="I137" s="60"/>
      <c r="J137" s="161" t="s">
        <v>148</v>
      </c>
      <c r="K137" s="173">
        <v>27.12</v>
      </c>
      <c r="L137" s="61"/>
      <c r="M137" s="61"/>
      <c r="N137" s="61"/>
      <c r="O137" s="61"/>
      <c r="P137" s="61"/>
      <c r="Q137" s="61"/>
      <c r="R137" s="61"/>
      <c r="S137" s="61"/>
      <c r="T137" s="61"/>
      <c r="U137" s="61"/>
      <c r="V137" s="61"/>
      <c r="W137" s="133"/>
      <c r="X137" s="61"/>
      <c r="Y137" s="61"/>
      <c r="Z137" s="61"/>
      <c r="AA137" s="61"/>
      <c r="AB137" s="61"/>
      <c r="AC137" s="61"/>
      <c r="AD137" s="61"/>
      <c r="AE137" s="61"/>
      <c r="AF137" s="61"/>
      <c r="AG137" s="61"/>
      <c r="AH137" s="133"/>
      <c r="AI137" s="133"/>
      <c r="AJ137" s="133"/>
      <c r="AK137" s="133"/>
      <c r="AL137" s="133"/>
      <c r="AM137" s="133"/>
      <c r="AN137" s="133"/>
      <c r="AO137" s="133"/>
      <c r="AP137" s="133"/>
      <c r="AQ137" s="133"/>
      <c r="AR137" s="133"/>
      <c r="AS137" s="133"/>
      <c r="AT137" s="133"/>
      <c r="AU137" s="133"/>
      <c r="AV137" s="133"/>
      <c r="AW137" s="133"/>
      <c r="AX137" s="133"/>
      <c r="AY137" s="133"/>
      <c r="AZ137" s="133"/>
      <c r="BA137" s="133"/>
      <c r="BB137" s="133"/>
      <c r="BC137" s="133"/>
      <c r="BD137" s="133"/>
      <c r="BE137" s="133"/>
      <c r="BF137" s="133"/>
      <c r="BG137" s="61"/>
      <c r="BH137" s="61"/>
      <c r="BI137" s="61"/>
      <c r="BJ137" s="61"/>
      <c r="BK137" s="61"/>
      <c r="BL137" s="61"/>
      <c r="BM137" s="61"/>
      <c r="BN137" s="61"/>
      <c r="BO137" s="61"/>
      <c r="BP137" s="61"/>
      <c r="BQ137" s="61"/>
      <c r="BR137" s="61"/>
      <c r="BS137" s="61"/>
      <c r="BT137" s="61"/>
      <c r="BU137" s="61"/>
      <c r="BV137" s="61"/>
      <c r="BW137" s="61"/>
      <c r="BX137" s="61"/>
      <c r="BY137" s="61"/>
      <c r="BZ137" s="61"/>
      <c r="CA137" s="61"/>
      <c r="CB137" s="61"/>
      <c r="CC137" s="61"/>
      <c r="CD137" s="61"/>
      <c r="CE137" s="61"/>
      <c r="CF137" s="61"/>
      <c r="CG137" s="61"/>
      <c r="CH137" s="61"/>
      <c r="CI137" s="61"/>
      <c r="CJ137" s="61"/>
      <c r="CK137" s="61"/>
      <c r="CL137" s="61"/>
      <c r="CM137" s="61"/>
      <c r="CN137" s="61"/>
      <c r="CO137" s="61"/>
      <c r="CP137" s="61"/>
      <c r="CQ137" s="61"/>
      <c r="CR137" s="61"/>
      <c r="CS137" s="61"/>
      <c r="CT137" s="61"/>
      <c r="CU137" s="61"/>
      <c r="CV137" s="61"/>
    </row>
    <row r="138" spans="1:100">
      <c r="A138" s="61"/>
      <c r="B138" s="133"/>
      <c r="C138" s="60"/>
      <c r="D138" s="60"/>
      <c r="E138" s="60"/>
      <c r="F138" s="313" t="s">
        <v>149</v>
      </c>
      <c r="G138" s="316">
        <v>640.99</v>
      </c>
      <c r="H138" s="316">
        <v>623.4</v>
      </c>
      <c r="I138" s="60"/>
      <c r="J138" s="161" t="s">
        <v>149</v>
      </c>
      <c r="K138" s="173">
        <v>28.12</v>
      </c>
      <c r="L138" s="61"/>
      <c r="M138" s="61"/>
      <c r="N138" s="61"/>
      <c r="O138" s="61"/>
      <c r="P138" s="61"/>
      <c r="Q138" s="61"/>
      <c r="R138" s="61"/>
      <c r="S138" s="61"/>
      <c r="T138" s="61"/>
      <c r="U138" s="61"/>
      <c r="V138" s="61"/>
      <c r="W138" s="133"/>
      <c r="X138" s="61"/>
      <c r="Y138" s="61"/>
      <c r="Z138" s="61"/>
      <c r="AA138" s="61"/>
      <c r="AB138" s="61"/>
      <c r="AC138" s="61"/>
      <c r="AD138" s="61"/>
      <c r="AE138" s="61"/>
      <c r="AF138" s="61"/>
      <c r="AG138" s="61"/>
      <c r="AH138" s="133"/>
      <c r="AI138" s="133"/>
      <c r="AJ138" s="133"/>
      <c r="AK138" s="133"/>
      <c r="AL138" s="133"/>
      <c r="AM138" s="133"/>
      <c r="AN138" s="133"/>
      <c r="AO138" s="133"/>
      <c r="AP138" s="133"/>
      <c r="AQ138" s="133"/>
      <c r="AR138" s="133"/>
      <c r="AS138" s="133"/>
      <c r="AT138" s="133"/>
      <c r="AU138" s="133"/>
      <c r="AV138" s="133"/>
      <c r="AW138" s="133"/>
      <c r="AX138" s="133"/>
      <c r="AY138" s="133"/>
      <c r="AZ138" s="133"/>
      <c r="BA138" s="133"/>
      <c r="BB138" s="133"/>
      <c r="BC138" s="133"/>
      <c r="BD138" s="133"/>
      <c r="BE138" s="133"/>
      <c r="BF138" s="133"/>
      <c r="BG138" s="61"/>
      <c r="BH138" s="61"/>
      <c r="BI138" s="61"/>
      <c r="BJ138" s="61"/>
      <c r="BK138" s="61"/>
      <c r="BL138" s="61"/>
      <c r="BM138" s="61"/>
      <c r="BN138" s="61"/>
      <c r="BO138" s="61"/>
      <c r="BP138" s="61"/>
      <c r="BQ138" s="61"/>
      <c r="BR138" s="61"/>
      <c r="BS138" s="61"/>
      <c r="BT138" s="61"/>
      <c r="BU138" s="61"/>
      <c r="BV138" s="61"/>
      <c r="BW138" s="61"/>
      <c r="BX138" s="61"/>
      <c r="BY138" s="61"/>
      <c r="BZ138" s="61"/>
      <c r="CA138" s="61"/>
      <c r="CB138" s="61"/>
      <c r="CC138" s="61"/>
      <c r="CD138" s="61"/>
      <c r="CE138" s="61"/>
      <c r="CF138" s="61"/>
      <c r="CG138" s="61"/>
      <c r="CH138" s="61"/>
      <c r="CI138" s="61"/>
      <c r="CJ138" s="61"/>
      <c r="CK138" s="61"/>
      <c r="CL138" s="61"/>
      <c r="CM138" s="61"/>
      <c r="CN138" s="61"/>
      <c r="CO138" s="61"/>
      <c r="CP138" s="61"/>
      <c r="CQ138" s="61"/>
      <c r="CR138" s="61"/>
      <c r="CS138" s="61"/>
      <c r="CT138" s="61"/>
      <c r="CU138" s="61"/>
      <c r="CV138" s="61"/>
    </row>
    <row r="139" spans="1:100" ht="16" thickBot="1">
      <c r="A139" s="61"/>
      <c r="B139" s="133"/>
      <c r="C139" s="60"/>
      <c r="D139" s="60"/>
      <c r="E139" s="60"/>
      <c r="F139" s="313" t="s">
        <v>150</v>
      </c>
      <c r="G139" s="316">
        <v>687.42</v>
      </c>
      <c r="H139" s="316">
        <v>655.93</v>
      </c>
      <c r="I139" s="60"/>
      <c r="J139" s="161" t="s">
        <v>150</v>
      </c>
      <c r="K139" s="173">
        <v>29.16</v>
      </c>
      <c r="L139" s="61"/>
      <c r="M139" s="61"/>
      <c r="N139" s="61"/>
      <c r="O139" s="61"/>
      <c r="P139" s="61"/>
      <c r="Q139" s="61"/>
      <c r="R139" s="61"/>
      <c r="S139" s="61"/>
      <c r="T139" s="61"/>
      <c r="U139" s="61"/>
      <c r="V139" s="61"/>
      <c r="W139" s="133"/>
      <c r="X139" s="61"/>
      <c r="Y139" s="61"/>
      <c r="Z139" s="61"/>
      <c r="AA139" s="61"/>
      <c r="AB139" s="61"/>
      <c r="AC139" s="61"/>
      <c r="AD139" s="61"/>
      <c r="AE139" s="61"/>
      <c r="AF139" s="61"/>
      <c r="AG139" s="61"/>
      <c r="AH139" s="133"/>
      <c r="AI139" s="133"/>
      <c r="AJ139" s="133"/>
      <c r="AK139" s="133"/>
      <c r="AL139" s="133"/>
      <c r="AM139" s="133"/>
      <c r="AN139" s="133"/>
      <c r="AO139" s="133"/>
      <c r="AP139" s="133"/>
      <c r="AQ139" s="133"/>
      <c r="AR139" s="133"/>
      <c r="AS139" s="133"/>
      <c r="AT139" s="133"/>
      <c r="AU139" s="133"/>
      <c r="AV139" s="133"/>
      <c r="AW139" s="133"/>
      <c r="AX139" s="133"/>
      <c r="AY139" s="133"/>
      <c r="AZ139" s="133"/>
      <c r="BA139" s="133"/>
      <c r="BB139" s="133"/>
      <c r="BC139" s="133"/>
      <c r="BD139" s="133"/>
      <c r="BE139" s="133"/>
      <c r="BF139" s="133"/>
      <c r="BG139" s="61"/>
      <c r="BH139" s="61"/>
      <c r="BI139" s="61"/>
      <c r="BJ139" s="61"/>
      <c r="BK139" s="61"/>
      <c r="BL139" s="61"/>
      <c r="BM139" s="61"/>
      <c r="BN139" s="61"/>
      <c r="BO139" s="61"/>
      <c r="BP139" s="61"/>
      <c r="BQ139" s="61"/>
      <c r="BR139" s="61"/>
      <c r="BS139" s="61"/>
      <c r="BT139" s="61"/>
      <c r="BU139" s="61"/>
      <c r="BV139" s="61"/>
      <c r="BW139" s="61"/>
      <c r="BX139" s="61"/>
      <c r="BY139" s="61"/>
      <c r="BZ139" s="61"/>
      <c r="CA139" s="61"/>
      <c r="CB139" s="61"/>
      <c r="CC139" s="61"/>
      <c r="CD139" s="61"/>
      <c r="CE139" s="61"/>
      <c r="CF139" s="61"/>
      <c r="CG139" s="61"/>
      <c r="CH139" s="61"/>
      <c r="CI139" s="61"/>
      <c r="CJ139" s="61"/>
      <c r="CK139" s="61"/>
      <c r="CL139" s="61"/>
      <c r="CM139" s="61"/>
      <c r="CN139" s="61"/>
      <c r="CO139" s="61"/>
      <c r="CP139" s="61"/>
      <c r="CQ139" s="61"/>
      <c r="CR139" s="61"/>
      <c r="CS139" s="61"/>
      <c r="CT139" s="61"/>
      <c r="CU139" s="61"/>
      <c r="CV139" s="61"/>
    </row>
    <row r="140" spans="1:100">
      <c r="A140" s="134" t="s">
        <v>4</v>
      </c>
      <c r="B140" s="135" t="s">
        <v>320</v>
      </c>
      <c r="C140" s="135"/>
      <c r="D140" s="136"/>
      <c r="E140" s="60"/>
      <c r="F140" s="313" t="s">
        <v>151</v>
      </c>
      <c r="G140" s="316">
        <v>733.85</v>
      </c>
      <c r="H140" s="316">
        <v>688.46</v>
      </c>
      <c r="I140" s="60"/>
      <c r="J140" s="161" t="s">
        <v>151</v>
      </c>
      <c r="K140" s="173">
        <v>30.28</v>
      </c>
      <c r="L140" s="61"/>
      <c r="M140" s="61"/>
      <c r="N140" s="61"/>
      <c r="O140" s="61"/>
      <c r="P140" s="61"/>
      <c r="Q140" s="61"/>
      <c r="R140" s="61"/>
      <c r="S140" s="61"/>
      <c r="T140" s="61"/>
      <c r="U140" s="61"/>
      <c r="V140" s="61"/>
      <c r="W140" s="133"/>
      <c r="X140" s="61"/>
      <c r="Y140" s="61"/>
      <c r="Z140" s="61"/>
      <c r="AA140" s="61"/>
      <c r="AB140" s="61"/>
      <c r="AC140" s="61"/>
      <c r="AD140" s="61"/>
      <c r="AE140" s="61"/>
      <c r="AF140" s="61"/>
      <c r="AG140" s="61"/>
      <c r="AH140" s="133"/>
      <c r="AI140" s="133"/>
      <c r="AJ140" s="133"/>
      <c r="AK140" s="133"/>
      <c r="AL140" s="133"/>
      <c r="AM140" s="133"/>
      <c r="AN140" s="133"/>
      <c r="AO140" s="133"/>
      <c r="AP140" s="133"/>
      <c r="AQ140" s="133"/>
      <c r="AR140" s="133"/>
      <c r="AS140" s="133"/>
      <c r="AT140" s="133"/>
      <c r="AU140" s="133"/>
      <c r="AV140" s="133"/>
      <c r="AW140" s="133"/>
      <c r="AX140" s="133"/>
      <c r="AY140" s="133"/>
      <c r="AZ140" s="133"/>
      <c r="BA140" s="133"/>
      <c r="BB140" s="133"/>
      <c r="BC140" s="133"/>
      <c r="BD140" s="133"/>
      <c r="BE140" s="133"/>
      <c r="BF140" s="133"/>
      <c r="BG140" s="61"/>
      <c r="BH140" s="61"/>
      <c r="BI140" s="61"/>
      <c r="BJ140" s="61"/>
      <c r="BK140" s="61"/>
      <c r="BL140" s="61"/>
      <c r="BM140" s="61"/>
      <c r="BN140" s="61"/>
      <c r="BO140" s="61"/>
      <c r="BP140" s="61"/>
      <c r="BQ140" s="61"/>
      <c r="BR140" s="61"/>
      <c r="BS140" s="61"/>
      <c r="BT140" s="61"/>
      <c r="BU140" s="61"/>
      <c r="BV140" s="61"/>
      <c r="BW140" s="61"/>
      <c r="BX140" s="61"/>
      <c r="BY140" s="61"/>
      <c r="BZ140" s="61"/>
      <c r="CA140" s="61"/>
      <c r="CB140" s="61"/>
      <c r="CC140" s="61"/>
      <c r="CD140" s="61"/>
      <c r="CE140" s="61"/>
      <c r="CF140" s="61"/>
      <c r="CG140" s="61"/>
      <c r="CH140" s="61"/>
      <c r="CI140" s="61"/>
      <c r="CJ140" s="61"/>
      <c r="CK140" s="61"/>
      <c r="CL140" s="61"/>
      <c r="CM140" s="61"/>
      <c r="CN140" s="61"/>
      <c r="CO140" s="61"/>
      <c r="CP140" s="61"/>
      <c r="CQ140" s="61"/>
      <c r="CR140" s="61"/>
      <c r="CS140" s="61"/>
      <c r="CT140" s="61"/>
      <c r="CU140" s="61"/>
      <c r="CV140" s="61"/>
    </row>
    <row r="141" spans="1:100">
      <c r="A141" s="137" t="s">
        <v>25</v>
      </c>
      <c r="B141" s="138" t="s">
        <v>5</v>
      </c>
      <c r="C141" s="138" t="s">
        <v>6</v>
      </c>
      <c r="D141" s="139" t="s">
        <v>36</v>
      </c>
      <c r="E141" s="60"/>
      <c r="F141" s="313" t="s">
        <v>152</v>
      </c>
      <c r="G141" s="316">
        <v>780.28</v>
      </c>
      <c r="H141" s="316">
        <v>720.99</v>
      </c>
      <c r="I141" s="60"/>
      <c r="J141" s="161" t="s">
        <v>152</v>
      </c>
      <c r="K141" s="173">
        <v>31.52</v>
      </c>
      <c r="L141" s="61"/>
      <c r="M141" s="61"/>
      <c r="N141" s="61"/>
      <c r="O141" s="61"/>
      <c r="P141" s="61"/>
      <c r="Q141" s="61"/>
      <c r="R141" s="61"/>
      <c r="S141" s="61"/>
      <c r="T141" s="61"/>
      <c r="U141" s="61"/>
      <c r="V141" s="61"/>
      <c r="W141" s="133"/>
      <c r="X141" s="61"/>
      <c r="Y141" s="61"/>
      <c r="Z141" s="61"/>
      <c r="AA141" s="61"/>
      <c r="AB141" s="61"/>
      <c r="AC141" s="61"/>
      <c r="AD141" s="61"/>
      <c r="AE141" s="61"/>
      <c r="AF141" s="61"/>
      <c r="AG141" s="61"/>
      <c r="AH141" s="133"/>
      <c r="AI141" s="133"/>
      <c r="AJ141" s="133"/>
      <c r="AK141" s="133"/>
      <c r="AL141" s="133"/>
      <c r="AM141" s="133"/>
      <c r="AN141" s="133"/>
      <c r="AO141" s="133"/>
      <c r="AP141" s="133"/>
      <c r="AQ141" s="133"/>
      <c r="AR141" s="133"/>
      <c r="AS141" s="133"/>
      <c r="AT141" s="133"/>
      <c r="AU141" s="133"/>
      <c r="AV141" s="133"/>
      <c r="AW141" s="133"/>
      <c r="AX141" s="133"/>
      <c r="AY141" s="133"/>
      <c r="AZ141" s="133"/>
      <c r="BA141" s="133"/>
      <c r="BB141" s="133"/>
      <c r="BC141" s="133"/>
      <c r="BD141" s="133"/>
      <c r="BE141" s="133"/>
      <c r="BF141" s="133"/>
      <c r="BG141" s="61"/>
      <c r="BH141" s="61"/>
      <c r="BI141" s="61"/>
      <c r="BJ141" s="61"/>
      <c r="BK141" s="61"/>
      <c r="BL141" s="61"/>
      <c r="BM141" s="61"/>
      <c r="BN141" s="61"/>
      <c r="BO141" s="61"/>
      <c r="BP141" s="61"/>
      <c r="BQ141" s="61"/>
      <c r="BR141" s="61"/>
      <c r="BS141" s="61"/>
      <c r="BT141" s="61"/>
      <c r="BU141" s="61"/>
      <c r="BV141" s="61"/>
      <c r="BW141" s="61"/>
      <c r="BX141" s="61"/>
      <c r="BY141" s="61"/>
      <c r="BZ141" s="61"/>
      <c r="CA141" s="61"/>
      <c r="CB141" s="61"/>
      <c r="CC141" s="61"/>
      <c r="CD141" s="61"/>
      <c r="CE141" s="61"/>
      <c r="CF141" s="61"/>
      <c r="CG141" s="61"/>
      <c r="CH141" s="61"/>
      <c r="CI141" s="61"/>
      <c r="CJ141" s="61"/>
      <c r="CK141" s="61"/>
      <c r="CL141" s="61"/>
      <c r="CM141" s="61"/>
      <c r="CN141" s="61"/>
      <c r="CO141" s="61"/>
      <c r="CP141" s="61"/>
      <c r="CQ141" s="61"/>
      <c r="CR141" s="61"/>
      <c r="CS141" s="61"/>
      <c r="CT141" s="61"/>
      <c r="CU141" s="61"/>
      <c r="CV141" s="61"/>
    </row>
    <row r="142" spans="1:100">
      <c r="A142" s="140">
        <v>0</v>
      </c>
      <c r="B142" s="141">
        <f ca="1">+RESUMEN!Y3</f>
        <v>0</v>
      </c>
      <c r="C142" s="141">
        <f ca="1">+RESUMEN!Z3</f>
        <v>0</v>
      </c>
      <c r="D142" s="142">
        <f t="shared" ref="D142:D205" ca="1" si="171">B142+C142</f>
        <v>0</v>
      </c>
      <c r="E142" s="60"/>
      <c r="F142" s="313" t="s">
        <v>153</v>
      </c>
      <c r="G142" s="316">
        <v>808.98</v>
      </c>
      <c r="H142" s="316">
        <v>773.7</v>
      </c>
      <c r="I142" s="60"/>
      <c r="J142" s="161" t="s">
        <v>153</v>
      </c>
      <c r="K142" s="177">
        <v>32.840000000000003</v>
      </c>
      <c r="L142" s="61"/>
      <c r="M142" s="61"/>
      <c r="N142" s="61"/>
      <c r="O142" s="61"/>
      <c r="P142" s="61"/>
      <c r="Q142" s="61"/>
      <c r="R142" s="61"/>
      <c r="S142" s="61"/>
      <c r="T142" s="61"/>
      <c r="U142" s="61"/>
      <c r="V142" s="61"/>
      <c r="W142" s="133"/>
      <c r="X142" s="61"/>
      <c r="Y142" s="61"/>
      <c r="Z142" s="61"/>
      <c r="AA142" s="61"/>
      <c r="AB142" s="61"/>
      <c r="AC142" s="61"/>
      <c r="AD142" s="61"/>
      <c r="AE142" s="61"/>
      <c r="AF142" s="61"/>
      <c r="AG142" s="61"/>
      <c r="AH142" s="133"/>
      <c r="AI142" s="133"/>
      <c r="AJ142" s="133"/>
      <c r="AK142" s="133"/>
      <c r="AL142" s="133"/>
      <c r="AM142" s="133"/>
      <c r="AN142" s="133"/>
      <c r="AO142" s="133"/>
      <c r="AP142" s="133"/>
      <c r="AQ142" s="133"/>
      <c r="AR142" s="133"/>
      <c r="AS142" s="133"/>
      <c r="AT142" s="133"/>
      <c r="AU142" s="133"/>
      <c r="AV142" s="133"/>
      <c r="AW142" s="133"/>
      <c r="AX142" s="133"/>
      <c r="AY142" s="133"/>
      <c r="AZ142" s="133"/>
      <c r="BA142" s="133"/>
      <c r="BB142" s="133"/>
      <c r="BC142" s="133"/>
      <c r="BD142" s="133"/>
      <c r="BE142" s="133"/>
      <c r="BF142" s="133"/>
      <c r="BG142" s="61"/>
      <c r="BH142" s="61"/>
      <c r="BI142" s="61"/>
      <c r="BJ142" s="61"/>
      <c r="BK142" s="61"/>
      <c r="BL142" s="61"/>
      <c r="BM142" s="61"/>
      <c r="BN142" s="61"/>
      <c r="BO142" s="61"/>
      <c r="BP142" s="61"/>
      <c r="BQ142" s="61"/>
      <c r="BR142" s="61"/>
      <c r="BS142" s="61"/>
      <c r="BT142" s="61"/>
      <c r="BU142" s="61"/>
      <c r="BV142" s="61"/>
      <c r="BW142" s="61"/>
      <c r="BX142" s="61"/>
      <c r="BY142" s="61"/>
      <c r="BZ142" s="61"/>
      <c r="CA142" s="61"/>
      <c r="CB142" s="61"/>
      <c r="CC142" s="61"/>
      <c r="CD142" s="61"/>
      <c r="CE142" s="61"/>
      <c r="CF142" s="61"/>
      <c r="CG142" s="61"/>
      <c r="CH142" s="61"/>
      <c r="CI142" s="61"/>
      <c r="CJ142" s="61"/>
      <c r="CK142" s="61"/>
      <c r="CL142" s="61"/>
      <c r="CM142" s="61"/>
      <c r="CN142" s="61"/>
      <c r="CO142" s="61"/>
      <c r="CP142" s="61"/>
      <c r="CQ142" s="61"/>
      <c r="CR142" s="61"/>
      <c r="CS142" s="61"/>
      <c r="CT142" s="61"/>
      <c r="CU142" s="61"/>
      <c r="CV142" s="61"/>
    </row>
    <row r="143" spans="1:100">
      <c r="A143" s="140">
        <v>1</v>
      </c>
      <c r="B143" s="141">
        <f ca="1">+RESUMEN!Y4</f>
        <v>0</v>
      </c>
      <c r="C143" s="141">
        <f ca="1">+RESUMEN!Z4</f>
        <v>0</v>
      </c>
      <c r="D143" s="142">
        <f t="shared" ca="1" si="171"/>
        <v>0</v>
      </c>
      <c r="E143" s="60"/>
      <c r="F143" s="313" t="s">
        <v>154</v>
      </c>
      <c r="G143" s="316">
        <v>837.68</v>
      </c>
      <c r="H143" s="316">
        <v>826.41</v>
      </c>
      <c r="I143" s="60"/>
      <c r="J143" s="161" t="s">
        <v>154</v>
      </c>
      <c r="K143" s="177">
        <v>34.28</v>
      </c>
      <c r="L143" s="61"/>
      <c r="M143" s="61"/>
      <c r="N143" s="61"/>
      <c r="O143" s="61"/>
      <c r="P143" s="61"/>
      <c r="Q143" s="61"/>
      <c r="R143" s="61"/>
      <c r="S143" s="61"/>
      <c r="T143" s="61"/>
      <c r="U143" s="61"/>
      <c r="V143" s="61"/>
      <c r="W143" s="61"/>
      <c r="X143" s="61"/>
      <c r="Y143" s="61"/>
      <c r="Z143" s="61"/>
      <c r="AA143" s="61"/>
      <c r="AB143" s="61"/>
      <c r="AC143" s="61"/>
      <c r="AD143" s="61"/>
      <c r="AE143" s="61"/>
      <c r="AF143" s="61"/>
      <c r="AG143" s="61"/>
      <c r="AH143" s="133"/>
      <c r="AI143" s="133"/>
      <c r="AJ143" s="133"/>
      <c r="AK143" s="133"/>
      <c r="AL143" s="133"/>
      <c r="AM143" s="133"/>
      <c r="AN143" s="133"/>
      <c r="AO143" s="133"/>
      <c r="AP143" s="133"/>
      <c r="AQ143" s="133"/>
      <c r="AR143" s="133"/>
      <c r="AS143" s="133"/>
      <c r="AT143" s="133"/>
      <c r="AU143" s="133"/>
      <c r="AV143" s="133"/>
      <c r="AW143" s="133"/>
      <c r="AX143" s="133"/>
      <c r="AY143" s="133"/>
      <c r="AZ143" s="133"/>
      <c r="BA143" s="133"/>
      <c r="BB143" s="133"/>
      <c r="BC143" s="133"/>
      <c r="BD143" s="133"/>
      <c r="BE143" s="133"/>
      <c r="BF143" s="133"/>
      <c r="BG143" s="61"/>
      <c r="BH143" s="61"/>
      <c r="BI143" s="61"/>
      <c r="BJ143" s="61"/>
      <c r="BK143" s="61"/>
      <c r="BL143" s="61"/>
      <c r="BM143" s="61"/>
      <c r="BN143" s="61"/>
      <c r="BO143" s="61"/>
      <c r="BP143" s="61"/>
      <c r="BQ143" s="61"/>
      <c r="BR143" s="61"/>
      <c r="BS143" s="61"/>
      <c r="BT143" s="61"/>
      <c r="BU143" s="61"/>
      <c r="BV143" s="61"/>
      <c r="BW143" s="61"/>
      <c r="BX143" s="61"/>
      <c r="BY143" s="61"/>
      <c r="BZ143" s="61"/>
      <c r="CA143" s="61"/>
      <c r="CB143" s="61"/>
      <c r="CC143" s="61"/>
      <c r="CD143" s="61"/>
      <c r="CE143" s="61"/>
      <c r="CF143" s="61"/>
      <c r="CG143" s="61"/>
      <c r="CH143" s="61"/>
      <c r="CI143" s="61"/>
      <c r="CJ143" s="61"/>
      <c r="CK143" s="61"/>
      <c r="CL143" s="61"/>
      <c r="CM143" s="61"/>
      <c r="CN143" s="61"/>
      <c r="CO143" s="61"/>
      <c r="CP143" s="61"/>
      <c r="CQ143" s="61"/>
      <c r="CR143" s="61"/>
      <c r="CS143" s="61"/>
      <c r="CT143" s="61"/>
      <c r="CU143" s="61"/>
      <c r="CV143" s="61"/>
    </row>
    <row r="144" spans="1:100">
      <c r="A144" s="140">
        <v>2</v>
      </c>
      <c r="B144" s="141">
        <f ca="1">+RESUMEN!Y5</f>
        <v>0</v>
      </c>
      <c r="C144" s="141">
        <f ca="1">+RESUMEN!Z5</f>
        <v>0</v>
      </c>
      <c r="D144" s="142">
        <f t="shared" ca="1" si="171"/>
        <v>0</v>
      </c>
      <c r="E144" s="60"/>
      <c r="F144" s="313" t="s">
        <v>155</v>
      </c>
      <c r="G144" s="316">
        <v>866.38</v>
      </c>
      <c r="H144" s="316">
        <v>879.12</v>
      </c>
      <c r="I144" s="60"/>
      <c r="J144" s="161" t="s">
        <v>155</v>
      </c>
      <c r="K144" s="177">
        <v>35.840000000000003</v>
      </c>
      <c r="L144" s="61"/>
      <c r="M144" s="61"/>
      <c r="N144" s="61"/>
      <c r="O144" s="61"/>
      <c r="P144" s="61"/>
      <c r="Q144" s="61"/>
      <c r="R144" s="61"/>
      <c r="S144" s="61"/>
      <c r="T144" s="61"/>
      <c r="U144" s="61"/>
      <c r="V144" s="61"/>
      <c r="W144" s="61"/>
      <c r="X144" s="61"/>
      <c r="Y144" s="61"/>
      <c r="Z144" s="61"/>
      <c r="AA144" s="61"/>
      <c r="AB144" s="61"/>
      <c r="AC144" s="61"/>
      <c r="AD144" s="61"/>
      <c r="AE144" s="61"/>
      <c r="AF144" s="61"/>
      <c r="AG144" s="61"/>
      <c r="AH144" s="133"/>
      <c r="AI144" s="133"/>
      <c r="AJ144" s="133"/>
      <c r="AK144" s="133"/>
      <c r="AL144" s="133"/>
      <c r="AM144" s="133"/>
      <c r="AN144" s="133"/>
      <c r="AO144" s="133"/>
      <c r="AP144" s="133"/>
      <c r="AQ144" s="133"/>
      <c r="AR144" s="133"/>
      <c r="AS144" s="133"/>
      <c r="AT144" s="133"/>
      <c r="AU144" s="133"/>
      <c r="AV144" s="133"/>
      <c r="AW144" s="133"/>
      <c r="AX144" s="133"/>
      <c r="AY144" s="133"/>
      <c r="AZ144" s="133"/>
      <c r="BA144" s="133"/>
      <c r="BB144" s="133"/>
      <c r="BC144" s="133"/>
      <c r="BD144" s="133"/>
      <c r="BE144" s="133"/>
      <c r="BF144" s="133"/>
      <c r="BG144" s="61"/>
      <c r="BH144" s="61"/>
      <c r="BI144" s="61"/>
      <c r="BJ144" s="61"/>
      <c r="BK144" s="61"/>
      <c r="BL144" s="61"/>
      <c r="BM144" s="61"/>
      <c r="BN144" s="61"/>
      <c r="BO144" s="61"/>
      <c r="BP144" s="61"/>
      <c r="BQ144" s="61"/>
      <c r="BR144" s="61"/>
      <c r="BS144" s="61"/>
      <c r="BT144" s="61"/>
      <c r="BU144" s="61"/>
      <c r="BV144" s="61"/>
      <c r="BW144" s="61"/>
      <c r="BX144" s="61"/>
      <c r="BY144" s="61"/>
      <c r="BZ144" s="61"/>
      <c r="CA144" s="61"/>
      <c r="CB144" s="61"/>
      <c r="CC144" s="61"/>
      <c r="CD144" s="61"/>
      <c r="CE144" s="61"/>
      <c r="CF144" s="61"/>
      <c r="CG144" s="61"/>
      <c r="CH144" s="61"/>
      <c r="CI144" s="61"/>
      <c r="CJ144" s="61"/>
      <c r="CK144" s="61"/>
      <c r="CL144" s="61"/>
      <c r="CM144" s="61"/>
      <c r="CN144" s="61"/>
      <c r="CO144" s="61"/>
      <c r="CP144" s="61"/>
      <c r="CQ144" s="61"/>
      <c r="CR144" s="61"/>
      <c r="CS144" s="61"/>
      <c r="CT144" s="61"/>
      <c r="CU144" s="61"/>
      <c r="CV144" s="61"/>
    </row>
    <row r="145" spans="1:100">
      <c r="A145" s="140">
        <v>3</v>
      </c>
      <c r="B145" s="141">
        <f ca="1">+RESUMEN!Y6</f>
        <v>0</v>
      </c>
      <c r="C145" s="141">
        <f ca="1">+RESUMEN!Z6</f>
        <v>0</v>
      </c>
      <c r="D145" s="142">
        <f t="shared" ca="1" si="171"/>
        <v>0</v>
      </c>
      <c r="E145" s="60"/>
      <c r="F145" s="313" t="s">
        <v>156</v>
      </c>
      <c r="G145" s="316">
        <v>895.08</v>
      </c>
      <c r="H145" s="316">
        <v>931.83</v>
      </c>
      <c r="I145" s="60"/>
      <c r="J145" s="161" t="s">
        <v>156</v>
      </c>
      <c r="K145" s="177">
        <v>37.520000000000003</v>
      </c>
      <c r="L145" s="61"/>
      <c r="M145" s="61"/>
      <c r="N145" s="61"/>
      <c r="O145" s="61"/>
      <c r="P145" s="61"/>
      <c r="Q145" s="61"/>
      <c r="R145" s="61"/>
      <c r="S145" s="61"/>
      <c r="T145" s="61"/>
      <c r="U145" s="61"/>
      <c r="V145" s="61"/>
      <c r="W145" s="61"/>
      <c r="X145" s="61"/>
      <c r="Y145" s="61"/>
      <c r="Z145" s="61"/>
      <c r="AA145" s="61"/>
      <c r="AB145" s="61"/>
      <c r="AC145" s="61"/>
      <c r="AD145" s="61"/>
      <c r="AE145" s="61"/>
      <c r="AF145" s="61"/>
      <c r="AG145" s="61"/>
      <c r="AH145" s="133"/>
      <c r="AI145" s="133"/>
      <c r="AJ145" s="133"/>
      <c r="AK145" s="133"/>
      <c r="AL145" s="133"/>
      <c r="AM145" s="133"/>
      <c r="AN145" s="133"/>
      <c r="AO145" s="133"/>
      <c r="AP145" s="133"/>
      <c r="AQ145" s="133"/>
      <c r="AR145" s="133"/>
      <c r="AS145" s="133"/>
      <c r="AT145" s="133"/>
      <c r="AU145" s="133"/>
      <c r="AV145" s="133"/>
      <c r="AW145" s="133"/>
      <c r="AX145" s="133"/>
      <c r="AY145" s="133"/>
      <c r="AZ145" s="133"/>
      <c r="BA145" s="133"/>
      <c r="BB145" s="133"/>
      <c r="BC145" s="133"/>
      <c r="BD145" s="133"/>
      <c r="BE145" s="133"/>
      <c r="BF145" s="133"/>
      <c r="BG145" s="61"/>
      <c r="BH145" s="61"/>
      <c r="BI145" s="61"/>
      <c r="BJ145" s="61"/>
      <c r="BK145" s="61"/>
      <c r="BL145" s="61"/>
      <c r="BM145" s="61"/>
      <c r="BN145" s="61"/>
      <c r="BO145" s="61"/>
      <c r="BP145" s="61"/>
      <c r="BQ145" s="61"/>
      <c r="BR145" s="61"/>
      <c r="BS145" s="61"/>
      <c r="BT145" s="61"/>
      <c r="BU145" s="61"/>
      <c r="BV145" s="61"/>
      <c r="BW145" s="61"/>
      <c r="BX145" s="61"/>
      <c r="BY145" s="61"/>
      <c r="BZ145" s="61"/>
      <c r="CA145" s="61"/>
      <c r="CB145" s="61"/>
      <c r="CC145" s="61"/>
      <c r="CD145" s="61"/>
      <c r="CE145" s="61"/>
      <c r="CF145" s="61"/>
      <c r="CG145" s="61"/>
      <c r="CH145" s="61"/>
      <c r="CI145" s="61"/>
      <c r="CJ145" s="61"/>
      <c r="CK145" s="61"/>
      <c r="CL145" s="61"/>
      <c r="CM145" s="61"/>
      <c r="CN145" s="61"/>
      <c r="CO145" s="61"/>
      <c r="CP145" s="61"/>
      <c r="CQ145" s="61"/>
      <c r="CR145" s="61"/>
      <c r="CS145" s="61"/>
      <c r="CT145" s="61"/>
      <c r="CU145" s="61"/>
      <c r="CV145" s="61"/>
    </row>
    <row r="146" spans="1:100">
      <c r="A146" s="140">
        <v>4</v>
      </c>
      <c r="B146" s="141">
        <f ca="1">+RESUMEN!Y7</f>
        <v>0</v>
      </c>
      <c r="C146" s="141">
        <f ca="1">+RESUMEN!Z7</f>
        <v>0</v>
      </c>
      <c r="D146" s="142">
        <f t="shared" ca="1" si="171"/>
        <v>0</v>
      </c>
      <c r="E146" s="60"/>
      <c r="F146" s="313" t="s">
        <v>157</v>
      </c>
      <c r="G146" s="316">
        <v>923.78</v>
      </c>
      <c r="H146" s="316">
        <v>984.53</v>
      </c>
      <c r="I146" s="60"/>
      <c r="J146" s="161" t="s">
        <v>157</v>
      </c>
      <c r="K146" s="177">
        <v>39.32</v>
      </c>
      <c r="L146" s="61"/>
      <c r="M146" s="61"/>
      <c r="N146" s="61"/>
      <c r="O146" s="61"/>
      <c r="P146" s="61"/>
      <c r="Q146" s="61"/>
      <c r="R146" s="61"/>
      <c r="S146" s="61"/>
      <c r="T146" s="61"/>
      <c r="U146" s="61"/>
      <c r="V146" s="61"/>
      <c r="W146" s="61"/>
      <c r="X146" s="61"/>
      <c r="Y146" s="61"/>
      <c r="Z146" s="61"/>
      <c r="AA146" s="61"/>
      <c r="AB146" s="61"/>
      <c r="AC146" s="61"/>
      <c r="AD146" s="61"/>
      <c r="AE146" s="61"/>
      <c r="AF146" s="61"/>
      <c r="AG146" s="61"/>
      <c r="AH146" s="133"/>
      <c r="AI146" s="133"/>
      <c r="AJ146" s="133"/>
      <c r="AK146" s="133"/>
      <c r="AL146" s="133"/>
      <c r="AM146" s="133"/>
      <c r="AN146" s="133"/>
      <c r="AO146" s="133"/>
      <c r="AP146" s="133"/>
      <c r="AQ146" s="133"/>
      <c r="AR146" s="133"/>
      <c r="AS146" s="133"/>
      <c r="AT146" s="133"/>
      <c r="AU146" s="133"/>
      <c r="AV146" s="133"/>
      <c r="AW146" s="133"/>
      <c r="AX146" s="133"/>
      <c r="AY146" s="133"/>
      <c r="AZ146" s="133"/>
      <c r="BA146" s="133"/>
      <c r="BB146" s="133"/>
      <c r="BC146" s="133"/>
      <c r="BD146" s="133"/>
      <c r="BE146" s="133"/>
      <c r="BF146" s="133"/>
      <c r="BG146" s="61"/>
      <c r="BH146" s="61"/>
      <c r="BI146" s="61"/>
      <c r="BJ146" s="61"/>
      <c r="BK146" s="61"/>
      <c r="BL146" s="61"/>
      <c r="BM146" s="61"/>
      <c r="BN146" s="61"/>
      <c r="BO146" s="61"/>
      <c r="BP146" s="61"/>
      <c r="BQ146" s="61"/>
      <c r="BR146" s="61"/>
      <c r="BS146" s="61"/>
      <c r="BT146" s="61"/>
      <c r="BU146" s="61"/>
      <c r="BV146" s="61"/>
      <c r="BW146" s="61"/>
      <c r="BX146" s="61"/>
      <c r="BY146" s="61"/>
      <c r="BZ146" s="61"/>
      <c r="CA146" s="61"/>
      <c r="CB146" s="61"/>
      <c r="CC146" s="61"/>
      <c r="CD146" s="61"/>
      <c r="CE146" s="61"/>
      <c r="CF146" s="61"/>
      <c r="CG146" s="61"/>
      <c r="CH146" s="61"/>
      <c r="CI146" s="61"/>
      <c r="CJ146" s="61"/>
      <c r="CK146" s="61"/>
      <c r="CL146" s="61"/>
      <c r="CM146" s="61"/>
      <c r="CN146" s="61"/>
      <c r="CO146" s="61"/>
      <c r="CP146" s="61"/>
      <c r="CQ146" s="61"/>
      <c r="CR146" s="61"/>
      <c r="CS146" s="61"/>
      <c r="CT146" s="61"/>
      <c r="CU146" s="61"/>
      <c r="CV146" s="61"/>
    </row>
    <row r="147" spans="1:100">
      <c r="A147" s="140">
        <v>5</v>
      </c>
      <c r="B147" s="141">
        <f ca="1">+RESUMEN!Y8</f>
        <v>0</v>
      </c>
      <c r="C147" s="141">
        <f ca="1">+RESUMEN!Z8</f>
        <v>0</v>
      </c>
      <c r="D147" s="142">
        <f t="shared" ca="1" si="171"/>
        <v>0</v>
      </c>
      <c r="E147" s="60"/>
      <c r="F147" s="313" t="s">
        <v>158</v>
      </c>
      <c r="G147" s="316">
        <v>991.55</v>
      </c>
      <c r="H147" s="316">
        <v>1067.68</v>
      </c>
      <c r="I147" s="60"/>
      <c r="J147" s="161" t="s">
        <v>158</v>
      </c>
      <c r="K147" s="177">
        <v>41.32</v>
      </c>
      <c r="L147" s="61"/>
      <c r="M147" s="61"/>
      <c r="N147" s="61"/>
      <c r="O147" s="61"/>
      <c r="P147" s="61"/>
      <c r="Q147" s="61"/>
      <c r="R147" s="61"/>
      <c r="S147" s="61"/>
      <c r="T147" s="61"/>
      <c r="U147" s="61"/>
      <c r="V147" s="61"/>
      <c r="W147" s="61"/>
      <c r="X147" s="61"/>
      <c r="Y147" s="61"/>
      <c r="Z147" s="61"/>
      <c r="AA147" s="61"/>
      <c r="AB147" s="61"/>
      <c r="AC147" s="61"/>
      <c r="AD147" s="61"/>
      <c r="AE147" s="61"/>
      <c r="AF147" s="61"/>
      <c r="AG147" s="61"/>
      <c r="AH147" s="133"/>
      <c r="AI147" s="133"/>
      <c r="AJ147" s="133"/>
      <c r="AK147" s="133"/>
      <c r="AL147" s="133"/>
      <c r="AM147" s="133"/>
      <c r="AN147" s="133"/>
      <c r="AO147" s="133"/>
      <c r="AP147" s="133"/>
      <c r="AQ147" s="133"/>
      <c r="AR147" s="133"/>
      <c r="AS147" s="133"/>
      <c r="AT147" s="133"/>
      <c r="AU147" s="133"/>
      <c r="AV147" s="133"/>
      <c r="AW147" s="133"/>
      <c r="AX147" s="133"/>
      <c r="AY147" s="133"/>
      <c r="AZ147" s="133"/>
      <c r="BA147" s="133"/>
      <c r="BB147" s="133"/>
      <c r="BC147" s="133"/>
      <c r="BD147" s="133"/>
      <c r="BE147" s="133"/>
      <c r="BF147" s="133"/>
      <c r="BG147" s="61"/>
      <c r="BH147" s="61"/>
      <c r="BI147" s="61"/>
      <c r="BJ147" s="61"/>
      <c r="BK147" s="61"/>
      <c r="BL147" s="61"/>
      <c r="BM147" s="61"/>
      <c r="BN147" s="61"/>
      <c r="BO147" s="61"/>
      <c r="BP147" s="61"/>
      <c r="BQ147" s="61"/>
      <c r="BR147" s="61"/>
      <c r="BS147" s="61"/>
      <c r="BT147" s="61"/>
      <c r="BU147" s="61"/>
      <c r="BV147" s="61"/>
      <c r="BW147" s="61"/>
      <c r="BX147" s="61"/>
      <c r="BY147" s="61"/>
      <c r="BZ147" s="61"/>
      <c r="CA147" s="61"/>
      <c r="CB147" s="61"/>
      <c r="CC147" s="61"/>
      <c r="CD147" s="61"/>
      <c r="CE147" s="61"/>
      <c r="CF147" s="61"/>
      <c r="CG147" s="61"/>
      <c r="CH147" s="61"/>
      <c r="CI147" s="61"/>
      <c r="CJ147" s="61"/>
      <c r="CK147" s="61"/>
      <c r="CL147" s="61"/>
      <c r="CM147" s="61"/>
      <c r="CN147" s="61"/>
      <c r="CO147" s="61"/>
      <c r="CP147" s="61"/>
      <c r="CQ147" s="61"/>
      <c r="CR147" s="61"/>
      <c r="CS147" s="61"/>
      <c r="CT147" s="61"/>
      <c r="CU147" s="61"/>
      <c r="CV147" s="61"/>
    </row>
    <row r="148" spans="1:100">
      <c r="A148" s="140">
        <v>6</v>
      </c>
      <c r="B148" s="141">
        <f ca="1">+RESUMEN!Y9</f>
        <v>0</v>
      </c>
      <c r="C148" s="141">
        <f ca="1">+RESUMEN!Z9</f>
        <v>0</v>
      </c>
      <c r="D148" s="142">
        <f t="shared" ca="1" si="171"/>
        <v>0</v>
      </c>
      <c r="E148" s="60"/>
      <c r="F148" s="313" t="s">
        <v>159</v>
      </c>
      <c r="G148" s="316">
        <v>1059.32</v>
      </c>
      <c r="H148" s="316">
        <v>1150.82</v>
      </c>
      <c r="I148" s="60"/>
      <c r="J148" s="161" t="s">
        <v>159</v>
      </c>
      <c r="K148" s="177">
        <v>43.48</v>
      </c>
      <c r="L148" s="61"/>
      <c r="M148" s="61"/>
      <c r="N148" s="61"/>
      <c r="O148" s="61"/>
      <c r="P148" s="61"/>
      <c r="Q148" s="61"/>
      <c r="R148" s="61"/>
      <c r="S148" s="61"/>
      <c r="T148" s="61"/>
      <c r="U148" s="61"/>
      <c r="V148" s="61"/>
      <c r="W148" s="61"/>
      <c r="X148" s="61"/>
      <c r="Y148" s="61"/>
      <c r="Z148" s="61"/>
      <c r="AA148" s="61"/>
      <c r="AB148" s="61"/>
      <c r="AC148" s="61"/>
      <c r="AD148" s="61"/>
      <c r="AE148" s="61"/>
      <c r="AF148" s="61"/>
      <c r="AG148" s="61"/>
      <c r="AH148" s="133"/>
      <c r="AI148" s="133"/>
      <c r="AJ148" s="133"/>
      <c r="AK148" s="133"/>
      <c r="AL148" s="133"/>
      <c r="AM148" s="133"/>
      <c r="AN148" s="133"/>
      <c r="AO148" s="133"/>
      <c r="AP148" s="133"/>
      <c r="AQ148" s="133"/>
      <c r="AR148" s="133"/>
      <c r="AS148" s="133"/>
      <c r="AT148" s="133"/>
      <c r="AU148" s="133"/>
      <c r="AV148" s="133"/>
      <c r="AW148" s="133"/>
      <c r="AX148" s="133"/>
      <c r="AY148" s="133"/>
      <c r="AZ148" s="133"/>
      <c r="BA148" s="133"/>
      <c r="BB148" s="133"/>
      <c r="BC148" s="133"/>
      <c r="BD148" s="133"/>
      <c r="BE148" s="133"/>
      <c r="BF148" s="133"/>
      <c r="BG148" s="61"/>
      <c r="BH148" s="61"/>
      <c r="BI148" s="61"/>
      <c r="BJ148" s="61"/>
      <c r="BK148" s="61"/>
      <c r="BL148" s="61"/>
      <c r="BM148" s="61"/>
      <c r="BN148" s="61"/>
      <c r="BO148" s="61"/>
      <c r="BP148" s="61"/>
      <c r="BQ148" s="61"/>
      <c r="BR148" s="61"/>
      <c r="BS148" s="61"/>
      <c r="BT148" s="61"/>
      <c r="BU148" s="61"/>
      <c r="BV148" s="61"/>
      <c r="BW148" s="61"/>
      <c r="BX148" s="61"/>
      <c r="BY148" s="61"/>
      <c r="BZ148" s="61"/>
      <c r="CA148" s="61"/>
      <c r="CB148" s="61"/>
      <c r="CC148" s="61"/>
      <c r="CD148" s="61"/>
      <c r="CE148" s="61"/>
      <c r="CF148" s="61"/>
      <c r="CG148" s="61"/>
      <c r="CH148" s="61"/>
      <c r="CI148" s="61"/>
      <c r="CJ148" s="61"/>
      <c r="CK148" s="61"/>
      <c r="CL148" s="61"/>
      <c r="CM148" s="61"/>
      <c r="CN148" s="61"/>
      <c r="CO148" s="61"/>
      <c r="CP148" s="61"/>
      <c r="CQ148" s="61"/>
      <c r="CR148" s="61"/>
      <c r="CS148" s="61"/>
      <c r="CT148" s="61"/>
      <c r="CU148" s="61"/>
      <c r="CV148" s="61"/>
    </row>
    <row r="149" spans="1:100">
      <c r="A149" s="140">
        <v>7</v>
      </c>
      <c r="B149" s="141">
        <f ca="1">+RESUMEN!Y10</f>
        <v>0</v>
      </c>
      <c r="C149" s="141">
        <f ca="1">+RESUMEN!Z10</f>
        <v>0</v>
      </c>
      <c r="D149" s="142">
        <f t="shared" ca="1" si="171"/>
        <v>0</v>
      </c>
      <c r="E149" s="60"/>
      <c r="F149" s="313" t="s">
        <v>160</v>
      </c>
      <c r="G149" s="316">
        <v>1127.0899999999999</v>
      </c>
      <c r="H149" s="316">
        <v>1233.96</v>
      </c>
      <c r="I149" s="60"/>
      <c r="J149" s="161" t="s">
        <v>160</v>
      </c>
      <c r="K149" s="177">
        <v>45.8</v>
      </c>
      <c r="L149" s="61"/>
      <c r="M149" s="61"/>
      <c r="N149" s="61"/>
      <c r="O149" s="61"/>
      <c r="P149" s="61"/>
      <c r="Q149" s="61"/>
      <c r="R149" s="61"/>
      <c r="S149" s="61"/>
      <c r="T149" s="61"/>
      <c r="U149" s="61"/>
      <c r="V149" s="61"/>
      <c r="W149" s="61"/>
      <c r="X149" s="61"/>
      <c r="Y149" s="61"/>
      <c r="Z149" s="61"/>
      <c r="AA149" s="61"/>
      <c r="AB149" s="61"/>
      <c r="AC149" s="61"/>
      <c r="AD149" s="61"/>
      <c r="AE149" s="61"/>
      <c r="AF149" s="61"/>
      <c r="AG149" s="61"/>
      <c r="AH149" s="133"/>
      <c r="AI149" s="133"/>
      <c r="AJ149" s="133"/>
      <c r="AK149" s="133"/>
      <c r="AL149" s="133"/>
      <c r="AM149" s="133"/>
      <c r="AN149" s="133"/>
      <c r="AO149" s="133"/>
      <c r="AP149" s="133"/>
      <c r="AQ149" s="133"/>
      <c r="AR149" s="133"/>
      <c r="AS149" s="133"/>
      <c r="AT149" s="133"/>
      <c r="AU149" s="133"/>
      <c r="AV149" s="133"/>
      <c r="AW149" s="133"/>
      <c r="AX149" s="133"/>
      <c r="AY149" s="133"/>
      <c r="AZ149" s="133"/>
      <c r="BA149" s="133"/>
      <c r="BB149" s="133"/>
      <c r="BC149" s="133"/>
      <c r="BD149" s="133"/>
      <c r="BE149" s="133"/>
      <c r="BF149" s="133"/>
      <c r="BG149" s="61"/>
      <c r="BH149" s="61"/>
      <c r="BI149" s="61"/>
      <c r="BJ149" s="61"/>
      <c r="BK149" s="61"/>
      <c r="BL149" s="61"/>
      <c r="BM149" s="61"/>
      <c r="BN149" s="61"/>
      <c r="BO149" s="61"/>
      <c r="BP149" s="61"/>
      <c r="BQ149" s="61"/>
      <c r="BR149" s="61"/>
      <c r="BS149" s="61"/>
      <c r="BT149" s="61"/>
      <c r="BU149" s="61"/>
      <c r="BV149" s="61"/>
      <c r="BW149" s="61"/>
      <c r="BX149" s="61"/>
      <c r="BY149" s="61"/>
      <c r="BZ149" s="61"/>
      <c r="CA149" s="61"/>
      <c r="CB149" s="61"/>
      <c r="CC149" s="61"/>
      <c r="CD149" s="61"/>
      <c r="CE149" s="61"/>
      <c r="CF149" s="61"/>
      <c r="CG149" s="61"/>
      <c r="CH149" s="61"/>
      <c r="CI149" s="61"/>
      <c r="CJ149" s="61"/>
      <c r="CK149" s="61"/>
      <c r="CL149" s="61"/>
      <c r="CM149" s="61"/>
      <c r="CN149" s="61"/>
      <c r="CO149" s="61"/>
      <c r="CP149" s="61"/>
      <c r="CQ149" s="61"/>
      <c r="CR149" s="61"/>
      <c r="CS149" s="61"/>
      <c r="CT149" s="61"/>
      <c r="CU149" s="61"/>
      <c r="CV149" s="61"/>
    </row>
    <row r="150" spans="1:100">
      <c r="A150" s="140">
        <v>8</v>
      </c>
      <c r="B150" s="141">
        <f ca="1">+RESUMEN!Y11</f>
        <v>0</v>
      </c>
      <c r="C150" s="141">
        <f ca="1">+RESUMEN!Z11</f>
        <v>0</v>
      </c>
      <c r="D150" s="142">
        <f t="shared" ca="1" si="171"/>
        <v>0</v>
      </c>
      <c r="E150" s="60"/>
      <c r="F150" s="313" t="s">
        <v>161</v>
      </c>
      <c r="G150" s="316">
        <v>1194.8599999999999</v>
      </c>
      <c r="H150" s="316">
        <v>1317.11</v>
      </c>
      <c r="I150" s="60"/>
      <c r="J150" s="161" t="s">
        <v>161</v>
      </c>
      <c r="K150" s="177">
        <v>48.32</v>
      </c>
      <c r="L150" s="61"/>
      <c r="M150" s="61"/>
      <c r="N150" s="61"/>
      <c r="O150" s="61"/>
      <c r="P150" s="61"/>
      <c r="Q150" s="61"/>
      <c r="R150" s="61"/>
      <c r="S150" s="61"/>
      <c r="T150" s="61"/>
      <c r="U150" s="61"/>
      <c r="V150" s="61"/>
      <c r="W150" s="61"/>
      <c r="X150" s="61"/>
      <c r="Y150" s="61"/>
      <c r="Z150" s="61"/>
      <c r="AA150" s="61"/>
      <c r="AB150" s="61"/>
      <c r="AC150" s="61"/>
      <c r="AD150" s="61"/>
      <c r="AE150" s="61"/>
      <c r="AF150" s="61"/>
      <c r="AG150" s="61"/>
      <c r="AH150" s="133"/>
      <c r="AI150" s="133"/>
      <c r="AJ150" s="133"/>
      <c r="AK150" s="133"/>
      <c r="AL150" s="133"/>
      <c r="AM150" s="133"/>
      <c r="AN150" s="133"/>
      <c r="AO150" s="133"/>
      <c r="AP150" s="133"/>
      <c r="AQ150" s="133"/>
      <c r="AR150" s="133"/>
      <c r="AS150" s="133"/>
      <c r="AT150" s="133"/>
      <c r="AU150" s="133"/>
      <c r="AV150" s="133"/>
      <c r="AW150" s="133"/>
      <c r="AX150" s="133"/>
      <c r="AY150" s="133"/>
      <c r="AZ150" s="133"/>
      <c r="BA150" s="133"/>
      <c r="BB150" s="133"/>
      <c r="BC150" s="133"/>
      <c r="BD150" s="133"/>
      <c r="BE150" s="133"/>
      <c r="BF150" s="133"/>
      <c r="BG150" s="61"/>
      <c r="BH150" s="61"/>
      <c r="BI150" s="61"/>
      <c r="BJ150" s="61"/>
      <c r="BK150" s="61"/>
      <c r="BL150" s="61"/>
      <c r="BM150" s="61"/>
      <c r="BN150" s="61"/>
      <c r="BO150" s="61"/>
      <c r="BP150" s="61"/>
      <c r="BQ150" s="61"/>
      <c r="BR150" s="61"/>
      <c r="BS150" s="61"/>
      <c r="BT150" s="61"/>
      <c r="BU150" s="61"/>
      <c r="BV150" s="61"/>
      <c r="BW150" s="61"/>
      <c r="BX150" s="61"/>
      <c r="BY150" s="61"/>
      <c r="BZ150" s="61"/>
      <c r="CA150" s="61"/>
      <c r="CB150" s="61"/>
      <c r="CC150" s="61"/>
      <c r="CD150" s="61"/>
      <c r="CE150" s="61"/>
      <c r="CF150" s="61"/>
      <c r="CG150" s="61"/>
      <c r="CH150" s="61"/>
      <c r="CI150" s="61"/>
      <c r="CJ150" s="61"/>
      <c r="CK150" s="61"/>
      <c r="CL150" s="61"/>
      <c r="CM150" s="61"/>
      <c r="CN150" s="61"/>
      <c r="CO150" s="61"/>
      <c r="CP150" s="61"/>
      <c r="CQ150" s="61"/>
      <c r="CR150" s="61"/>
      <c r="CS150" s="61"/>
      <c r="CT150" s="61"/>
      <c r="CU150" s="61"/>
      <c r="CV150" s="61"/>
    </row>
    <row r="151" spans="1:100">
      <c r="A151" s="140">
        <v>9</v>
      </c>
      <c r="B151" s="141">
        <f ca="1">+RESUMEN!Y12</f>
        <v>0</v>
      </c>
      <c r="C151" s="141">
        <f ca="1">+RESUMEN!Z12</f>
        <v>0</v>
      </c>
      <c r="D151" s="142">
        <f t="shared" ca="1" si="171"/>
        <v>0</v>
      </c>
      <c r="E151" s="60"/>
      <c r="F151" s="313" t="s">
        <v>162</v>
      </c>
      <c r="G151" s="316">
        <v>1262.6199999999999</v>
      </c>
      <c r="H151" s="316">
        <v>1400.25</v>
      </c>
      <c r="I151" s="60"/>
      <c r="J151" s="161" t="s">
        <v>162</v>
      </c>
      <c r="K151" s="177">
        <v>51.12</v>
      </c>
      <c r="L151" s="61"/>
      <c r="M151" s="61"/>
      <c r="N151" s="61"/>
      <c r="O151" s="61"/>
      <c r="P151" s="61"/>
      <c r="Q151" s="61"/>
      <c r="R151" s="61"/>
      <c r="S151" s="61"/>
      <c r="T151" s="61"/>
      <c r="U151" s="61"/>
      <c r="V151" s="61"/>
      <c r="W151" s="61"/>
      <c r="X151" s="61"/>
      <c r="Y151" s="61"/>
      <c r="Z151" s="61"/>
      <c r="AA151" s="61"/>
      <c r="AB151" s="61"/>
      <c r="AC151" s="61"/>
      <c r="AD151" s="61"/>
      <c r="AE151" s="61"/>
      <c r="AF151" s="61"/>
      <c r="AG151" s="61"/>
      <c r="AH151" s="133"/>
      <c r="AI151" s="133"/>
      <c r="AJ151" s="133"/>
      <c r="AK151" s="133"/>
      <c r="AL151" s="133"/>
      <c r="AM151" s="133"/>
      <c r="AN151" s="133"/>
      <c r="AO151" s="133"/>
      <c r="AP151" s="133"/>
      <c r="AQ151" s="133"/>
      <c r="AR151" s="133"/>
      <c r="AS151" s="133"/>
      <c r="AT151" s="133"/>
      <c r="AU151" s="133"/>
      <c r="AV151" s="133"/>
      <c r="AW151" s="133"/>
      <c r="AX151" s="133"/>
      <c r="AY151" s="133"/>
      <c r="AZ151" s="133"/>
      <c r="BA151" s="133"/>
      <c r="BB151" s="133"/>
      <c r="BC151" s="133"/>
      <c r="BD151" s="133"/>
      <c r="BE151" s="133"/>
      <c r="BF151" s="133"/>
      <c r="BG151" s="61"/>
      <c r="BH151" s="61"/>
      <c r="BI151" s="61"/>
      <c r="BJ151" s="61"/>
      <c r="BK151" s="61"/>
      <c r="BL151" s="61"/>
      <c r="BM151" s="61"/>
      <c r="BN151" s="61"/>
      <c r="BO151" s="61"/>
      <c r="BP151" s="61"/>
      <c r="BQ151" s="61"/>
      <c r="BR151" s="61"/>
      <c r="BS151" s="61"/>
      <c r="BT151" s="61"/>
      <c r="BU151" s="61"/>
      <c r="BV151" s="61"/>
      <c r="BW151" s="61"/>
      <c r="BX151" s="61"/>
      <c r="BY151" s="61"/>
      <c r="BZ151" s="61"/>
      <c r="CA151" s="61"/>
      <c r="CB151" s="61"/>
      <c r="CC151" s="61"/>
      <c r="CD151" s="61"/>
      <c r="CE151" s="61"/>
      <c r="CF151" s="61"/>
      <c r="CG151" s="61"/>
      <c r="CH151" s="61"/>
      <c r="CI151" s="61"/>
      <c r="CJ151" s="61"/>
      <c r="CK151" s="61"/>
      <c r="CL151" s="61"/>
      <c r="CM151" s="61"/>
      <c r="CN151" s="61"/>
      <c r="CO151" s="61"/>
      <c r="CP151" s="61"/>
      <c r="CQ151" s="61"/>
      <c r="CR151" s="61"/>
      <c r="CS151" s="61"/>
      <c r="CT151" s="61"/>
      <c r="CU151" s="61"/>
      <c r="CV151" s="61"/>
    </row>
    <row r="152" spans="1:100">
      <c r="A152" s="140">
        <v>10</v>
      </c>
      <c r="B152" s="141">
        <f ca="1">+RESUMEN!Y13</f>
        <v>0</v>
      </c>
      <c r="C152" s="141">
        <f ca="1">+RESUMEN!Z13</f>
        <v>0</v>
      </c>
      <c r="D152" s="142">
        <f t="shared" ca="1" si="171"/>
        <v>0</v>
      </c>
      <c r="E152" s="60"/>
      <c r="F152" s="313" t="s">
        <v>163</v>
      </c>
      <c r="G152" s="316">
        <v>1349.27</v>
      </c>
      <c r="H152" s="316">
        <v>1521.38</v>
      </c>
      <c r="I152" s="60"/>
      <c r="J152" s="161" t="s">
        <v>163</v>
      </c>
      <c r="K152" s="177">
        <v>54.12</v>
      </c>
      <c r="L152" s="61"/>
      <c r="M152" s="61"/>
      <c r="N152" s="61"/>
      <c r="O152" s="61"/>
      <c r="P152" s="61"/>
      <c r="Q152" s="61"/>
      <c r="R152" s="61"/>
      <c r="S152" s="61"/>
      <c r="T152" s="61"/>
      <c r="U152" s="61"/>
      <c r="V152" s="61"/>
      <c r="W152" s="61"/>
      <c r="X152" s="61"/>
      <c r="Y152" s="61"/>
      <c r="Z152" s="61"/>
      <c r="AA152" s="61"/>
      <c r="AB152" s="61"/>
      <c r="AC152" s="61"/>
      <c r="AD152" s="61"/>
      <c r="AE152" s="61"/>
      <c r="AF152" s="61"/>
      <c r="AG152" s="61"/>
      <c r="AH152" s="133"/>
      <c r="AI152" s="133"/>
      <c r="AJ152" s="133"/>
      <c r="AK152" s="133"/>
      <c r="AL152" s="133"/>
      <c r="AM152" s="133"/>
      <c r="AN152" s="133"/>
      <c r="AO152" s="133"/>
      <c r="AP152" s="133"/>
      <c r="AQ152" s="133"/>
      <c r="AR152" s="133"/>
      <c r="AS152" s="133"/>
      <c r="AT152" s="133"/>
      <c r="AU152" s="133"/>
      <c r="AV152" s="133"/>
      <c r="AW152" s="133"/>
      <c r="AX152" s="133"/>
      <c r="AY152" s="133"/>
      <c r="AZ152" s="133"/>
      <c r="BA152" s="133"/>
      <c r="BB152" s="133"/>
      <c r="BC152" s="133"/>
      <c r="BD152" s="133"/>
      <c r="BE152" s="133"/>
      <c r="BF152" s="133"/>
      <c r="BG152" s="61"/>
      <c r="BH152" s="61"/>
      <c r="BI152" s="61"/>
      <c r="BJ152" s="61"/>
      <c r="BK152" s="61"/>
      <c r="BL152" s="61"/>
      <c r="BM152" s="61"/>
      <c r="BN152" s="61"/>
      <c r="BO152" s="61"/>
      <c r="BP152" s="61"/>
      <c r="BQ152" s="61"/>
      <c r="BR152" s="61"/>
      <c r="BS152" s="61"/>
      <c r="BT152" s="61"/>
      <c r="BU152" s="61"/>
      <c r="BV152" s="61"/>
      <c r="BW152" s="61"/>
      <c r="BX152" s="61"/>
      <c r="BY152" s="61"/>
      <c r="BZ152" s="61"/>
      <c r="CA152" s="61"/>
      <c r="CB152" s="61"/>
      <c r="CC152" s="61"/>
      <c r="CD152" s="61"/>
      <c r="CE152" s="61"/>
      <c r="CF152" s="61"/>
      <c r="CG152" s="61"/>
      <c r="CH152" s="61"/>
      <c r="CI152" s="61"/>
      <c r="CJ152" s="61"/>
      <c r="CK152" s="61"/>
      <c r="CL152" s="61"/>
      <c r="CM152" s="61"/>
      <c r="CN152" s="61"/>
      <c r="CO152" s="61"/>
      <c r="CP152" s="61"/>
      <c r="CQ152" s="61"/>
      <c r="CR152" s="61"/>
      <c r="CS152" s="61"/>
      <c r="CT152" s="61"/>
      <c r="CU152" s="61"/>
      <c r="CV152" s="61"/>
    </row>
    <row r="153" spans="1:100">
      <c r="A153" s="140">
        <v>11</v>
      </c>
      <c r="B153" s="141">
        <f ca="1">+RESUMEN!Y14</f>
        <v>0</v>
      </c>
      <c r="C153" s="141">
        <f ca="1">+RESUMEN!Z14</f>
        <v>0</v>
      </c>
      <c r="D153" s="142">
        <f t="shared" ca="1" si="171"/>
        <v>0</v>
      </c>
      <c r="E153" s="60"/>
      <c r="F153" s="313" t="s">
        <v>164</v>
      </c>
      <c r="G153" s="316">
        <v>1435.92</v>
      </c>
      <c r="H153" s="316">
        <v>1642.51</v>
      </c>
      <c r="I153" s="60"/>
      <c r="J153" s="161" t="s">
        <v>164</v>
      </c>
      <c r="K153" s="177">
        <v>57.4</v>
      </c>
      <c r="L153" s="61"/>
      <c r="M153" s="61"/>
      <c r="N153" s="61"/>
      <c r="O153" s="61"/>
      <c r="P153" s="61"/>
      <c r="Q153" s="61"/>
      <c r="R153" s="61"/>
      <c r="S153" s="61"/>
      <c r="T153" s="61"/>
      <c r="U153" s="61"/>
      <c r="V153" s="61"/>
      <c r="W153" s="61"/>
      <c r="X153" s="61"/>
      <c r="Y153" s="61"/>
      <c r="Z153" s="61"/>
      <c r="AA153" s="61"/>
      <c r="AB153" s="61"/>
      <c r="AC153" s="61"/>
      <c r="AD153" s="61"/>
      <c r="AE153" s="61"/>
      <c r="AF153" s="61"/>
      <c r="AG153" s="61"/>
      <c r="AH153" s="133"/>
      <c r="AI153" s="133"/>
      <c r="AJ153" s="133"/>
      <c r="AK153" s="133"/>
      <c r="AL153" s="133"/>
      <c r="AM153" s="133"/>
      <c r="AN153" s="133"/>
      <c r="AO153" s="133"/>
      <c r="AP153" s="133"/>
      <c r="AQ153" s="133"/>
      <c r="AR153" s="133"/>
      <c r="AS153" s="133"/>
      <c r="AT153" s="133"/>
      <c r="AU153" s="133"/>
      <c r="AV153" s="133"/>
      <c r="AW153" s="133"/>
      <c r="AX153" s="133"/>
      <c r="AY153" s="133"/>
      <c r="AZ153" s="133"/>
      <c r="BA153" s="133"/>
      <c r="BB153" s="133"/>
      <c r="BC153" s="133"/>
      <c r="BD153" s="133"/>
      <c r="BE153" s="133"/>
      <c r="BF153" s="133"/>
      <c r="BG153" s="61"/>
      <c r="BH153" s="61"/>
      <c r="BI153" s="61"/>
      <c r="BJ153" s="61"/>
      <c r="BK153" s="61"/>
      <c r="BL153" s="61"/>
      <c r="BM153" s="61"/>
      <c r="BN153" s="61"/>
      <c r="BO153" s="61"/>
      <c r="BP153" s="61"/>
      <c r="BQ153" s="61"/>
      <c r="BR153" s="61"/>
      <c r="BS153" s="61"/>
      <c r="BT153" s="61"/>
      <c r="BU153" s="61"/>
      <c r="BV153" s="61"/>
      <c r="BW153" s="61"/>
      <c r="BX153" s="61"/>
      <c r="BY153" s="61"/>
      <c r="BZ153" s="61"/>
      <c r="CA153" s="61"/>
      <c r="CB153" s="61"/>
      <c r="CC153" s="61"/>
      <c r="CD153" s="61"/>
      <c r="CE153" s="61"/>
      <c r="CF153" s="61"/>
      <c r="CG153" s="61"/>
      <c r="CH153" s="61"/>
      <c r="CI153" s="61"/>
      <c r="CJ153" s="61"/>
      <c r="CK153" s="61"/>
      <c r="CL153" s="61"/>
      <c r="CM153" s="61"/>
      <c r="CN153" s="61"/>
      <c r="CO153" s="61"/>
      <c r="CP153" s="61"/>
      <c r="CQ153" s="61"/>
      <c r="CR153" s="61"/>
      <c r="CS153" s="61"/>
      <c r="CT153" s="61"/>
      <c r="CU153" s="61"/>
      <c r="CV153" s="61"/>
    </row>
    <row r="154" spans="1:100">
      <c r="A154" s="140">
        <v>12</v>
      </c>
      <c r="B154" s="141">
        <f ca="1">+RESUMEN!Y15</f>
        <v>0</v>
      </c>
      <c r="C154" s="141">
        <f ca="1">+RESUMEN!Z15</f>
        <v>0</v>
      </c>
      <c r="D154" s="142">
        <f t="shared" ca="1" si="171"/>
        <v>0</v>
      </c>
      <c r="E154" s="60"/>
      <c r="F154" s="313" t="s">
        <v>165</v>
      </c>
      <c r="G154" s="316">
        <v>1522.57</v>
      </c>
      <c r="H154" s="316">
        <v>1763.65</v>
      </c>
      <c r="I154" s="60"/>
      <c r="J154" s="161" t="s">
        <v>165</v>
      </c>
      <c r="K154" s="177">
        <v>61</v>
      </c>
      <c r="L154" s="61"/>
      <c r="M154" s="61"/>
      <c r="N154" s="61"/>
      <c r="O154" s="61"/>
      <c r="P154" s="61"/>
      <c r="Q154" s="61"/>
      <c r="R154" s="61"/>
      <c r="S154" s="61"/>
      <c r="T154" s="61"/>
      <c r="U154" s="61"/>
      <c r="V154" s="61"/>
      <c r="W154" s="61"/>
      <c r="X154" s="61"/>
      <c r="Y154" s="61"/>
      <c r="Z154" s="61"/>
      <c r="AA154" s="61"/>
      <c r="AB154" s="61"/>
      <c r="AC154" s="61"/>
      <c r="AD154" s="61"/>
      <c r="AE154" s="61"/>
      <c r="AF154" s="61"/>
      <c r="AG154" s="61"/>
      <c r="AH154" s="171"/>
      <c r="AI154" s="171"/>
      <c r="AJ154" s="171"/>
      <c r="AK154" s="171"/>
      <c r="AL154" s="61"/>
      <c r="AM154" s="61"/>
      <c r="AN154" s="61"/>
      <c r="AO154" s="61"/>
      <c r="AP154" s="61"/>
      <c r="AQ154" s="61"/>
      <c r="AR154" s="61"/>
      <c r="AS154" s="61"/>
      <c r="AT154" s="61"/>
      <c r="AU154" s="61"/>
      <c r="AV154" s="61"/>
      <c r="AW154" s="61"/>
      <c r="AX154" s="61"/>
      <c r="AY154" s="61"/>
      <c r="AZ154" s="61"/>
      <c r="BA154" s="61"/>
      <c r="BB154" s="61"/>
      <c r="BC154" s="61"/>
      <c r="BD154" s="61"/>
      <c r="BE154" s="61"/>
      <c r="BF154" s="61"/>
      <c r="BG154" s="61"/>
      <c r="BH154" s="61"/>
      <c r="BI154" s="61"/>
      <c r="BJ154" s="61"/>
      <c r="BK154" s="61"/>
      <c r="BL154" s="61"/>
      <c r="BM154" s="61"/>
      <c r="BN154" s="61"/>
      <c r="BO154" s="61"/>
      <c r="BP154" s="61"/>
      <c r="BQ154" s="61"/>
      <c r="BR154" s="61"/>
      <c r="BS154" s="61"/>
      <c r="BT154" s="61"/>
      <c r="BU154" s="61"/>
      <c r="BV154" s="61"/>
      <c r="BW154" s="61"/>
      <c r="BX154" s="61"/>
      <c r="BY154" s="61"/>
      <c r="BZ154" s="61"/>
      <c r="CA154" s="61"/>
      <c r="CB154" s="61"/>
      <c r="CC154" s="61"/>
      <c r="CD154" s="61"/>
      <c r="CE154" s="61"/>
      <c r="CF154" s="61"/>
      <c r="CG154" s="61"/>
      <c r="CH154" s="61"/>
      <c r="CI154" s="61"/>
      <c r="CJ154" s="61"/>
      <c r="CK154" s="61"/>
      <c r="CL154" s="61"/>
      <c r="CM154" s="61"/>
      <c r="CN154" s="61"/>
      <c r="CO154" s="61"/>
      <c r="CP154" s="61"/>
      <c r="CQ154" s="61"/>
      <c r="CR154" s="61"/>
      <c r="CS154" s="61"/>
      <c r="CT154" s="61"/>
      <c r="CU154" s="61"/>
      <c r="CV154" s="61"/>
    </row>
    <row r="155" spans="1:100">
      <c r="A155" s="140">
        <v>13</v>
      </c>
      <c r="B155" s="141">
        <f ca="1">+RESUMEN!Y16</f>
        <v>0</v>
      </c>
      <c r="C155" s="141">
        <f ca="1">+RESUMEN!Z16</f>
        <v>0</v>
      </c>
      <c r="D155" s="142">
        <f t="shared" ca="1" si="171"/>
        <v>0</v>
      </c>
      <c r="E155" s="60"/>
      <c r="F155" s="313" t="s">
        <v>166</v>
      </c>
      <c r="G155" s="316">
        <v>1609.21</v>
      </c>
      <c r="H155" s="316">
        <v>1884.78</v>
      </c>
      <c r="I155" s="60"/>
      <c r="J155" s="161" t="s">
        <v>166</v>
      </c>
      <c r="K155" s="177">
        <v>64.92</v>
      </c>
      <c r="L155" s="61"/>
      <c r="M155" s="61"/>
      <c r="N155" s="61"/>
      <c r="O155" s="61"/>
      <c r="P155" s="61"/>
      <c r="Q155" s="61"/>
      <c r="R155" s="61"/>
      <c r="S155" s="61"/>
      <c r="T155" s="61"/>
      <c r="U155" s="61"/>
      <c r="V155" s="61"/>
      <c r="W155" s="61"/>
      <c r="X155" s="61"/>
      <c r="Y155" s="61"/>
      <c r="Z155" s="61"/>
      <c r="AA155" s="61"/>
      <c r="AB155" s="61"/>
      <c r="AC155" s="61"/>
      <c r="AD155" s="61"/>
      <c r="AE155" s="61"/>
      <c r="AF155" s="61"/>
      <c r="AG155" s="61"/>
      <c r="AH155" s="171"/>
      <c r="AI155" s="171"/>
      <c r="AJ155" s="171"/>
      <c r="AK155" s="171"/>
      <c r="AL155" s="61"/>
      <c r="AM155" s="61"/>
      <c r="AN155" s="61"/>
      <c r="AO155" s="61"/>
      <c r="AP155" s="61"/>
      <c r="AQ155" s="61"/>
      <c r="AR155" s="61"/>
      <c r="AS155" s="61"/>
      <c r="AT155" s="61"/>
      <c r="AU155" s="61"/>
      <c r="AV155" s="61"/>
      <c r="AW155" s="61"/>
      <c r="AX155" s="61"/>
      <c r="AY155" s="61"/>
      <c r="AZ155" s="61"/>
      <c r="BA155" s="61"/>
      <c r="BB155" s="61"/>
      <c r="BC155" s="61"/>
      <c r="BD155" s="61"/>
      <c r="BE155" s="61"/>
      <c r="BF155" s="61"/>
      <c r="BG155" s="61"/>
      <c r="BH155" s="61"/>
      <c r="BI155" s="61"/>
      <c r="BJ155" s="61"/>
      <c r="BK155" s="61"/>
      <c r="BL155" s="61"/>
      <c r="BM155" s="61"/>
      <c r="BN155" s="61"/>
      <c r="BO155" s="61"/>
      <c r="BP155" s="61"/>
      <c r="BQ155" s="61"/>
      <c r="BR155" s="61"/>
      <c r="BS155" s="61"/>
      <c r="BT155" s="61"/>
      <c r="BU155" s="61"/>
      <c r="BV155" s="61"/>
      <c r="BW155" s="61"/>
      <c r="BX155" s="61"/>
      <c r="BY155" s="61"/>
      <c r="BZ155" s="61"/>
      <c r="CA155" s="61"/>
      <c r="CB155" s="61"/>
      <c r="CC155" s="61"/>
      <c r="CD155" s="61"/>
      <c r="CE155" s="61"/>
      <c r="CF155" s="61"/>
      <c r="CG155" s="61"/>
      <c r="CH155" s="61"/>
      <c r="CI155" s="61"/>
      <c r="CJ155" s="61"/>
      <c r="CK155" s="61"/>
      <c r="CL155" s="61"/>
      <c r="CM155" s="61"/>
      <c r="CN155" s="61"/>
      <c r="CO155" s="61"/>
      <c r="CP155" s="61"/>
      <c r="CQ155" s="61"/>
      <c r="CR155" s="61"/>
      <c r="CS155" s="61"/>
      <c r="CT155" s="61"/>
      <c r="CU155" s="61"/>
      <c r="CV155" s="61"/>
    </row>
    <row r="156" spans="1:100">
      <c r="A156" s="140">
        <v>14</v>
      </c>
      <c r="B156" s="141">
        <f ca="1">+RESUMEN!Y17</f>
        <v>0</v>
      </c>
      <c r="C156" s="141">
        <f ca="1">+RESUMEN!Z17</f>
        <v>0</v>
      </c>
      <c r="D156" s="142">
        <f t="shared" ca="1" si="171"/>
        <v>0</v>
      </c>
      <c r="E156" s="60"/>
      <c r="F156" s="313" t="s">
        <v>167</v>
      </c>
      <c r="G156" s="316">
        <v>1695.86</v>
      </c>
      <c r="H156" s="316">
        <v>2005.91</v>
      </c>
      <c r="I156" s="60"/>
      <c r="J156" s="161" t="s">
        <v>167</v>
      </c>
      <c r="K156" s="177">
        <v>69.2</v>
      </c>
      <c r="L156" s="61"/>
      <c r="M156" s="61"/>
      <c r="N156" s="61"/>
      <c r="O156" s="61"/>
      <c r="P156" s="61"/>
      <c r="Q156" s="61"/>
      <c r="R156" s="61"/>
      <c r="S156" s="61"/>
      <c r="T156" s="61"/>
      <c r="U156" s="61"/>
      <c r="V156" s="61"/>
      <c r="W156" s="61"/>
      <c r="X156" s="61"/>
      <c r="Y156" s="61"/>
      <c r="Z156" s="61"/>
      <c r="AA156" s="61"/>
      <c r="AB156" s="61"/>
      <c r="AC156" s="61"/>
      <c r="AD156" s="61"/>
      <c r="AE156" s="61"/>
      <c r="AF156" s="61"/>
      <c r="AG156" s="61"/>
      <c r="AH156" s="171"/>
      <c r="AI156" s="171"/>
      <c r="AJ156" s="171"/>
      <c r="AK156" s="171"/>
      <c r="AL156" s="61"/>
      <c r="AM156" s="61"/>
      <c r="AN156" s="61"/>
      <c r="AO156" s="61"/>
      <c r="AP156" s="61"/>
      <c r="AQ156" s="61"/>
      <c r="AR156" s="61"/>
      <c r="AS156" s="61"/>
      <c r="AT156" s="61"/>
      <c r="AU156" s="61"/>
      <c r="AV156" s="61"/>
      <c r="AW156" s="61"/>
      <c r="AX156" s="61"/>
      <c r="AY156" s="61"/>
      <c r="AZ156" s="61"/>
      <c r="BA156" s="61"/>
      <c r="BB156" s="61"/>
      <c r="BC156" s="61"/>
      <c r="BD156" s="61"/>
      <c r="BE156" s="61"/>
      <c r="BF156" s="61"/>
      <c r="BG156" s="61"/>
      <c r="BH156" s="61"/>
      <c r="BI156" s="61"/>
      <c r="BJ156" s="61"/>
      <c r="BK156" s="61"/>
      <c r="BL156" s="61"/>
      <c r="BM156" s="61"/>
      <c r="BN156" s="61"/>
      <c r="BO156" s="61"/>
      <c r="BP156" s="61"/>
      <c r="BQ156" s="61"/>
      <c r="BR156" s="61"/>
      <c r="BS156" s="61"/>
      <c r="BT156" s="61"/>
      <c r="BU156" s="61"/>
      <c r="BV156" s="61"/>
      <c r="BW156" s="61"/>
      <c r="BX156" s="61"/>
      <c r="BY156" s="61"/>
      <c r="BZ156" s="61"/>
      <c r="CA156" s="61"/>
      <c r="CB156" s="61"/>
      <c r="CC156" s="61"/>
      <c r="CD156" s="61"/>
      <c r="CE156" s="61"/>
      <c r="CF156" s="61"/>
      <c r="CG156" s="61"/>
      <c r="CH156" s="61"/>
      <c r="CI156" s="61"/>
      <c r="CJ156" s="61"/>
      <c r="CK156" s="61"/>
      <c r="CL156" s="61"/>
      <c r="CM156" s="61"/>
      <c r="CN156" s="61"/>
      <c r="CO156" s="61"/>
      <c r="CP156" s="61"/>
      <c r="CQ156" s="61"/>
      <c r="CR156" s="61"/>
      <c r="CS156" s="61"/>
      <c r="CT156" s="61"/>
      <c r="CU156" s="61"/>
      <c r="CV156" s="61"/>
    </row>
    <row r="157" spans="1:100">
      <c r="A157" s="140">
        <v>15</v>
      </c>
      <c r="B157" s="141">
        <f ca="1">+RESUMEN!Y18</f>
        <v>0</v>
      </c>
      <c r="C157" s="141">
        <f ca="1">+RESUMEN!Z18</f>
        <v>0</v>
      </c>
      <c r="D157" s="142">
        <f t="shared" ca="1" si="171"/>
        <v>0</v>
      </c>
      <c r="E157" s="60"/>
      <c r="F157" s="313" t="s">
        <v>168</v>
      </c>
      <c r="G157" s="316">
        <v>1663.49</v>
      </c>
      <c r="H157" s="316">
        <v>2009.21</v>
      </c>
      <c r="I157" s="60"/>
      <c r="J157" s="161" t="s">
        <v>168</v>
      </c>
      <c r="K157" s="177">
        <v>69.739999999999995</v>
      </c>
      <c r="L157" s="196"/>
      <c r="M157" s="61"/>
      <c r="N157" s="61"/>
      <c r="O157" s="61"/>
      <c r="P157" s="61"/>
      <c r="Q157" s="61"/>
      <c r="R157" s="61"/>
      <c r="S157" s="61"/>
      <c r="T157" s="61"/>
      <c r="U157" s="61"/>
      <c r="V157" s="61"/>
      <c r="W157" s="61"/>
      <c r="X157" s="61"/>
      <c r="Y157" s="61"/>
      <c r="Z157" s="61"/>
      <c r="AA157" s="61"/>
      <c r="AB157" s="61"/>
      <c r="AC157" s="61"/>
      <c r="AD157" s="61"/>
      <c r="AE157" s="61"/>
      <c r="AF157" s="61"/>
      <c r="AG157" s="61"/>
      <c r="AH157" s="171"/>
      <c r="AI157" s="171"/>
      <c r="AJ157" s="171"/>
      <c r="AK157" s="171"/>
      <c r="AL157" s="61"/>
      <c r="AM157" s="61"/>
      <c r="AN157" s="61"/>
      <c r="AO157" s="61"/>
      <c r="AP157" s="61"/>
      <c r="AQ157" s="61"/>
      <c r="AR157" s="61"/>
      <c r="AS157" s="61"/>
      <c r="AT157" s="61"/>
      <c r="AU157" s="61"/>
      <c r="AV157" s="61"/>
      <c r="AW157" s="61"/>
      <c r="AX157" s="61"/>
      <c r="AY157" s="61"/>
      <c r="AZ157" s="61"/>
      <c r="BA157" s="61"/>
      <c r="BB157" s="61"/>
      <c r="BC157" s="61"/>
      <c r="BD157" s="61"/>
      <c r="BE157" s="61"/>
      <c r="BF157" s="61"/>
      <c r="BG157" s="61"/>
      <c r="BH157" s="61"/>
      <c r="BI157" s="61"/>
      <c r="BJ157" s="61"/>
      <c r="BK157" s="61"/>
      <c r="BL157" s="61"/>
      <c r="BM157" s="61"/>
      <c r="BN157" s="61"/>
      <c r="BO157" s="61"/>
      <c r="BP157" s="61"/>
      <c r="BQ157" s="61"/>
      <c r="BR157" s="61"/>
      <c r="BS157" s="61"/>
      <c r="BT157" s="61"/>
      <c r="BU157" s="61"/>
      <c r="BV157" s="61"/>
      <c r="BW157" s="61"/>
      <c r="BX157" s="61"/>
      <c r="BY157" s="61"/>
      <c r="BZ157" s="61"/>
      <c r="CA157" s="61"/>
      <c r="CB157" s="61"/>
      <c r="CC157" s="61"/>
      <c r="CD157" s="61"/>
      <c r="CE157" s="61"/>
      <c r="CF157" s="61"/>
      <c r="CG157" s="61"/>
      <c r="CH157" s="61"/>
      <c r="CI157" s="61"/>
      <c r="CJ157" s="61"/>
      <c r="CK157" s="61"/>
      <c r="CL157" s="61"/>
      <c r="CM157" s="61"/>
      <c r="CN157" s="61"/>
      <c r="CO157" s="61"/>
      <c r="CP157" s="61"/>
      <c r="CQ157" s="61"/>
      <c r="CR157" s="61"/>
      <c r="CS157" s="61"/>
      <c r="CT157" s="61"/>
      <c r="CU157" s="61"/>
      <c r="CV157" s="61"/>
    </row>
    <row r="158" spans="1:100">
      <c r="A158" s="140">
        <v>16</v>
      </c>
      <c r="B158" s="141">
        <f ca="1">+RESUMEN!Y19</f>
        <v>0</v>
      </c>
      <c r="C158" s="141">
        <f ca="1">+RESUMEN!Z19</f>
        <v>0</v>
      </c>
      <c r="D158" s="142">
        <f t="shared" ca="1" si="171"/>
        <v>0</v>
      </c>
      <c r="E158" s="60"/>
      <c r="F158" s="313" t="s">
        <v>169</v>
      </c>
      <c r="G158" s="316">
        <v>1714.52</v>
      </c>
      <c r="H158" s="316">
        <v>2111.16</v>
      </c>
      <c r="I158" s="60"/>
      <c r="J158" s="161" t="s">
        <v>169</v>
      </c>
      <c r="K158" s="177">
        <v>74.599999999999994</v>
      </c>
      <c r="L158" s="61"/>
      <c r="M158" s="61"/>
      <c r="N158" s="61"/>
      <c r="O158" s="61"/>
      <c r="P158" s="61"/>
      <c r="Q158" s="61"/>
      <c r="R158" s="61"/>
      <c r="S158" s="61"/>
      <c r="T158" s="61"/>
      <c r="U158" s="61"/>
      <c r="V158" s="61"/>
      <c r="W158" s="61"/>
      <c r="X158" s="61"/>
      <c r="Y158" s="61"/>
      <c r="Z158" s="61"/>
      <c r="AA158" s="61"/>
      <c r="AB158" s="61"/>
      <c r="AC158" s="61"/>
      <c r="AD158" s="61"/>
      <c r="AE158" s="61"/>
      <c r="AF158" s="61"/>
      <c r="AG158" s="61"/>
      <c r="AH158" s="171"/>
      <c r="AI158" s="171"/>
      <c r="AJ158" s="171"/>
      <c r="AK158" s="171"/>
      <c r="AL158" s="61"/>
      <c r="AM158" s="61"/>
      <c r="AN158" s="61"/>
      <c r="AO158" s="61"/>
      <c r="AP158" s="61"/>
      <c r="AQ158" s="61"/>
      <c r="AR158" s="61"/>
      <c r="AS158" s="61"/>
      <c r="AT158" s="61"/>
      <c r="AU158" s="61"/>
      <c r="AV158" s="61"/>
      <c r="AW158" s="61"/>
      <c r="AX158" s="61"/>
      <c r="AY158" s="61"/>
      <c r="AZ158" s="61"/>
      <c r="BA158" s="61"/>
      <c r="BB158" s="61"/>
      <c r="BC158" s="61"/>
      <c r="BD158" s="61"/>
      <c r="BE158" s="61"/>
      <c r="BF158" s="61"/>
      <c r="BG158" s="61"/>
      <c r="BH158" s="61"/>
      <c r="BI158" s="61"/>
      <c r="BJ158" s="61"/>
      <c r="BK158" s="61"/>
      <c r="BL158" s="61"/>
      <c r="BM158" s="61"/>
      <c r="BN158" s="61"/>
      <c r="BO158" s="61"/>
      <c r="BP158" s="61"/>
      <c r="BQ158" s="61"/>
      <c r="BR158" s="61"/>
      <c r="BS158" s="61"/>
      <c r="BT158" s="61"/>
      <c r="BU158" s="61"/>
      <c r="BV158" s="61"/>
      <c r="BW158" s="61"/>
      <c r="BX158" s="61"/>
      <c r="BY158" s="61"/>
      <c r="BZ158" s="61"/>
      <c r="CA158" s="61"/>
      <c r="CB158" s="61"/>
      <c r="CC158" s="61"/>
      <c r="CD158" s="61"/>
      <c r="CE158" s="61"/>
      <c r="CF158" s="61"/>
      <c r="CG158" s="61"/>
      <c r="CH158" s="61"/>
      <c r="CI158" s="61"/>
      <c r="CJ158" s="61"/>
      <c r="CK158" s="61"/>
      <c r="CL158" s="61"/>
      <c r="CM158" s="61"/>
      <c r="CN158" s="61"/>
      <c r="CO158" s="61"/>
      <c r="CP158" s="61"/>
      <c r="CQ158" s="61"/>
      <c r="CR158" s="61"/>
      <c r="CS158" s="61"/>
      <c r="CT158" s="61"/>
      <c r="CU158" s="61"/>
      <c r="CV158" s="61"/>
    </row>
    <row r="159" spans="1:100">
      <c r="A159" s="140">
        <v>17</v>
      </c>
      <c r="B159" s="141">
        <f ca="1">+RESUMEN!Y20</f>
        <v>0</v>
      </c>
      <c r="C159" s="141">
        <f ca="1">+RESUMEN!Z20</f>
        <v>0</v>
      </c>
      <c r="D159" s="142">
        <f t="shared" ca="1" si="171"/>
        <v>0</v>
      </c>
      <c r="E159" s="60"/>
      <c r="F159" s="313" t="s">
        <v>170</v>
      </c>
      <c r="G159" s="316">
        <v>1765.56</v>
      </c>
      <c r="H159" s="316">
        <v>2213.1</v>
      </c>
      <c r="I159" s="60"/>
      <c r="J159" s="161" t="s">
        <v>170</v>
      </c>
      <c r="K159" s="177">
        <v>79.959999999999994</v>
      </c>
      <c r="L159" s="61"/>
      <c r="M159" s="61"/>
      <c r="N159" s="61"/>
      <c r="O159" s="61"/>
      <c r="P159" s="61"/>
      <c r="Q159" s="61"/>
      <c r="R159" s="61"/>
      <c r="S159" s="61"/>
      <c r="T159" s="61"/>
      <c r="U159" s="61"/>
      <c r="V159" s="61"/>
      <c r="W159" s="61"/>
      <c r="X159" s="61"/>
      <c r="Y159" s="61"/>
      <c r="Z159" s="61"/>
      <c r="AA159" s="61"/>
      <c r="AB159" s="61"/>
      <c r="AC159" s="61"/>
      <c r="AD159" s="61"/>
      <c r="AE159" s="61"/>
      <c r="AF159" s="61"/>
      <c r="AG159" s="61"/>
      <c r="AH159" s="171"/>
      <c r="AI159" s="171"/>
      <c r="AJ159" s="171"/>
      <c r="AK159" s="171"/>
      <c r="AL159" s="61"/>
      <c r="AM159" s="61"/>
      <c r="AN159" s="61"/>
      <c r="AO159" s="61"/>
      <c r="AP159" s="61"/>
      <c r="AQ159" s="61"/>
      <c r="AR159" s="61"/>
      <c r="AS159" s="61"/>
      <c r="AT159" s="61"/>
      <c r="AU159" s="61"/>
      <c r="AV159" s="61"/>
      <c r="AW159" s="61"/>
      <c r="AX159" s="61"/>
      <c r="AY159" s="61"/>
      <c r="AZ159" s="61"/>
      <c r="BA159" s="61"/>
      <c r="BB159" s="61"/>
      <c r="BC159" s="61"/>
      <c r="BD159" s="61"/>
      <c r="BE159" s="61"/>
      <c r="BF159" s="61"/>
      <c r="BG159" s="61"/>
      <c r="BH159" s="61"/>
      <c r="BI159" s="61"/>
      <c r="BJ159" s="61"/>
      <c r="BK159" s="61"/>
      <c r="BL159" s="61"/>
      <c r="BM159" s="61"/>
      <c r="BN159" s="61"/>
      <c r="BO159" s="61"/>
      <c r="BP159" s="61"/>
      <c r="BQ159" s="61"/>
      <c r="BR159" s="61"/>
      <c r="BS159" s="61"/>
      <c r="BT159" s="61"/>
      <c r="BU159" s="61"/>
      <c r="BV159" s="61"/>
      <c r="BW159" s="61"/>
      <c r="BX159" s="61"/>
      <c r="BY159" s="61"/>
      <c r="BZ159" s="61"/>
      <c r="CA159" s="61"/>
      <c r="CB159" s="61"/>
      <c r="CC159" s="61"/>
      <c r="CD159" s="61"/>
      <c r="CE159" s="61"/>
      <c r="CF159" s="61"/>
      <c r="CG159" s="61"/>
      <c r="CH159" s="61"/>
      <c r="CI159" s="61"/>
      <c r="CJ159" s="61"/>
      <c r="CK159" s="61"/>
      <c r="CL159" s="61"/>
      <c r="CM159" s="61"/>
      <c r="CN159" s="61"/>
      <c r="CO159" s="61"/>
      <c r="CP159" s="61"/>
      <c r="CQ159" s="61"/>
      <c r="CR159" s="61"/>
      <c r="CS159" s="61"/>
      <c r="CT159" s="61"/>
      <c r="CU159" s="61"/>
      <c r="CV159" s="61"/>
    </row>
    <row r="160" spans="1:100">
      <c r="A160" s="140">
        <v>18</v>
      </c>
      <c r="B160" s="141">
        <f ca="1">+RESUMEN!Y21</f>
        <v>0</v>
      </c>
      <c r="C160" s="141">
        <f ca="1">+RESUMEN!Z21</f>
        <v>0</v>
      </c>
      <c r="D160" s="142">
        <f t="shared" ca="1" si="171"/>
        <v>0</v>
      </c>
      <c r="E160" s="60"/>
      <c r="F160" s="313" t="s">
        <v>171</v>
      </c>
      <c r="G160" s="316">
        <v>1816.59</v>
      </c>
      <c r="H160" s="316">
        <v>2315.0500000000002</v>
      </c>
      <c r="I160" s="60"/>
      <c r="J160" s="161" t="s">
        <v>171</v>
      </c>
      <c r="K160" s="177">
        <v>85.81</v>
      </c>
      <c r="L160" s="61"/>
      <c r="M160" s="61"/>
      <c r="N160" s="61"/>
      <c r="O160" s="61"/>
      <c r="P160" s="61"/>
      <c r="Q160" s="61"/>
      <c r="R160" s="61"/>
      <c r="S160" s="61"/>
      <c r="T160" s="61"/>
      <c r="U160" s="61"/>
      <c r="V160" s="61"/>
      <c r="W160" s="61"/>
      <c r="X160" s="61"/>
      <c r="Y160" s="61"/>
      <c r="Z160" s="61"/>
      <c r="AA160" s="61"/>
      <c r="AB160" s="61"/>
      <c r="AC160" s="61"/>
      <c r="AD160" s="61"/>
      <c r="AE160" s="61"/>
      <c r="AF160" s="61"/>
      <c r="AG160" s="61"/>
      <c r="AH160" s="171"/>
      <c r="AI160" s="171"/>
      <c r="AJ160" s="171"/>
      <c r="AK160" s="171"/>
      <c r="AL160" s="61"/>
      <c r="AM160" s="61"/>
      <c r="AN160" s="61"/>
      <c r="AO160" s="61"/>
      <c r="AP160" s="61"/>
      <c r="AQ160" s="61"/>
      <c r="AR160" s="61"/>
      <c r="AS160" s="61"/>
      <c r="AT160" s="61"/>
      <c r="AU160" s="61"/>
      <c r="AV160" s="61"/>
      <c r="AW160" s="61"/>
      <c r="AX160" s="61"/>
      <c r="AY160" s="61"/>
      <c r="AZ160" s="61"/>
      <c r="BA160" s="61"/>
      <c r="BB160" s="61"/>
      <c r="BC160" s="61"/>
      <c r="BD160" s="61"/>
      <c r="BE160" s="61"/>
      <c r="BF160" s="61"/>
      <c r="BG160" s="61"/>
      <c r="BH160" s="61"/>
      <c r="BI160" s="61"/>
      <c r="BJ160" s="61"/>
      <c r="BK160" s="61"/>
      <c r="BL160" s="61"/>
      <c r="BM160" s="61"/>
      <c r="BN160" s="61"/>
      <c r="BO160" s="61"/>
      <c r="BP160" s="61"/>
      <c r="BQ160" s="61"/>
      <c r="BR160" s="61"/>
      <c r="BS160" s="61"/>
      <c r="BT160" s="61"/>
      <c r="BU160" s="61"/>
      <c r="BV160" s="61"/>
      <c r="BW160" s="61"/>
      <c r="BX160" s="61"/>
      <c r="BY160" s="61"/>
      <c r="BZ160" s="61"/>
      <c r="CA160" s="61"/>
      <c r="CB160" s="61"/>
      <c r="CC160" s="61"/>
      <c r="CD160" s="61"/>
      <c r="CE160" s="61"/>
      <c r="CF160" s="61"/>
      <c r="CG160" s="61"/>
      <c r="CH160" s="61"/>
      <c r="CI160" s="61"/>
      <c r="CJ160" s="61"/>
      <c r="CK160" s="61"/>
      <c r="CL160" s="61"/>
      <c r="CM160" s="61"/>
      <c r="CN160" s="61"/>
      <c r="CO160" s="61"/>
      <c r="CP160" s="61"/>
      <c r="CQ160" s="61"/>
      <c r="CR160" s="61"/>
      <c r="CS160" s="61"/>
      <c r="CT160" s="61"/>
      <c r="CU160" s="61"/>
      <c r="CV160" s="61"/>
    </row>
    <row r="161" spans="1:100">
      <c r="A161" s="140">
        <v>19</v>
      </c>
      <c r="B161" s="141">
        <f ca="1">+RESUMEN!Y22</f>
        <v>0</v>
      </c>
      <c r="C161" s="141">
        <f ca="1">+RESUMEN!Z22</f>
        <v>0</v>
      </c>
      <c r="D161" s="142">
        <f t="shared" ca="1" si="171"/>
        <v>0</v>
      </c>
      <c r="E161" s="60"/>
      <c r="F161" s="313" t="s">
        <v>172</v>
      </c>
      <c r="G161" s="316">
        <v>1867.62</v>
      </c>
      <c r="H161" s="316">
        <v>2417</v>
      </c>
      <c r="I161" s="60"/>
      <c r="J161" s="161" t="s">
        <v>172</v>
      </c>
      <c r="K161" s="177">
        <v>92.3</v>
      </c>
      <c r="L161" s="61"/>
      <c r="M161" s="61"/>
      <c r="N161" s="61"/>
      <c r="O161" s="61"/>
      <c r="P161" s="61"/>
      <c r="Q161" s="61"/>
      <c r="R161" s="61"/>
      <c r="S161" s="61"/>
      <c r="T161" s="61"/>
      <c r="U161" s="61"/>
      <c r="V161" s="61"/>
      <c r="W161" s="61"/>
      <c r="X161" s="61"/>
      <c r="Y161" s="61"/>
      <c r="Z161" s="61"/>
      <c r="AA161" s="61"/>
      <c r="AB161" s="61"/>
      <c r="AC161" s="61"/>
      <c r="AD161" s="61"/>
      <c r="AE161" s="61"/>
      <c r="AF161" s="61"/>
      <c r="AG161" s="61"/>
      <c r="AH161" s="61"/>
      <c r="AI161" s="61"/>
      <c r="AJ161" s="61"/>
      <c r="AK161" s="61"/>
      <c r="AL161" s="61"/>
      <c r="AM161" s="61"/>
      <c r="AN161" s="61"/>
      <c r="AO161" s="61"/>
      <c r="AP161" s="61"/>
      <c r="AQ161" s="61"/>
      <c r="AR161" s="61"/>
      <c r="AS161" s="61"/>
      <c r="AT161" s="61"/>
      <c r="AU161" s="61"/>
      <c r="AV161" s="61"/>
      <c r="AW161" s="61"/>
      <c r="AX161" s="61"/>
      <c r="AY161" s="61"/>
      <c r="AZ161" s="61"/>
      <c r="BA161" s="61"/>
      <c r="BB161" s="61"/>
      <c r="BC161" s="61"/>
      <c r="BD161" s="61"/>
      <c r="BE161" s="61"/>
      <c r="BF161" s="61"/>
      <c r="BG161" s="61"/>
      <c r="BH161" s="61"/>
      <c r="BI161" s="61"/>
      <c r="BJ161" s="61"/>
      <c r="BK161" s="61"/>
      <c r="BL161" s="61"/>
      <c r="BM161" s="61"/>
      <c r="BN161" s="61"/>
      <c r="BO161" s="61"/>
      <c r="BP161" s="61"/>
      <c r="BQ161" s="61"/>
      <c r="BR161" s="61"/>
      <c r="BS161" s="61"/>
      <c r="BT161" s="61"/>
      <c r="BU161" s="61"/>
      <c r="BV161" s="61"/>
      <c r="BW161" s="61"/>
      <c r="BX161" s="61"/>
      <c r="BY161" s="61"/>
      <c r="BZ161" s="61"/>
      <c r="CA161" s="61"/>
      <c r="CB161" s="61"/>
      <c r="CC161" s="61"/>
      <c r="CD161" s="61"/>
      <c r="CE161" s="61"/>
      <c r="CF161" s="61"/>
      <c r="CG161" s="61"/>
      <c r="CH161" s="61"/>
      <c r="CI161" s="61"/>
      <c r="CJ161" s="61"/>
      <c r="CK161" s="61"/>
      <c r="CL161" s="61"/>
      <c r="CM161" s="61"/>
      <c r="CN161" s="61"/>
      <c r="CO161" s="61"/>
      <c r="CP161" s="61"/>
      <c r="CQ161" s="61"/>
      <c r="CR161" s="61"/>
      <c r="CS161" s="61"/>
      <c r="CT161" s="61"/>
      <c r="CU161" s="61"/>
      <c r="CV161" s="61"/>
    </row>
    <row r="162" spans="1:100">
      <c r="A162" s="146">
        <v>20</v>
      </c>
      <c r="B162" s="141">
        <f ca="1">+RESUMEN!Y23</f>
        <v>0</v>
      </c>
      <c r="C162" s="141">
        <f ca="1">+RESUMEN!Z23</f>
        <v>0</v>
      </c>
      <c r="D162" s="142">
        <f t="shared" ca="1" si="171"/>
        <v>0</v>
      </c>
      <c r="E162" s="60"/>
      <c r="F162" s="313" t="s">
        <v>173</v>
      </c>
      <c r="G162" s="316">
        <v>1998.95</v>
      </c>
      <c r="H162" s="316">
        <v>2632.45</v>
      </c>
      <c r="I162" s="60"/>
      <c r="J162" s="161" t="s">
        <v>173</v>
      </c>
      <c r="K162" s="177">
        <v>99.43</v>
      </c>
      <c r="L162" s="61"/>
      <c r="M162" s="61"/>
      <c r="N162" s="61"/>
      <c r="O162" s="61"/>
      <c r="P162" s="61"/>
      <c r="Q162" s="61"/>
      <c r="R162" s="61"/>
      <c r="S162" s="61"/>
      <c r="T162" s="61"/>
      <c r="U162" s="61"/>
      <c r="V162" s="61"/>
      <c r="W162" s="61"/>
      <c r="X162" s="61"/>
      <c r="Y162" s="61"/>
      <c r="Z162" s="61"/>
      <c r="AA162" s="61"/>
      <c r="AB162" s="61"/>
      <c r="AC162" s="61"/>
      <c r="AD162" s="61"/>
      <c r="AE162" s="61"/>
      <c r="AF162" s="61"/>
      <c r="AG162" s="61"/>
      <c r="AH162" s="61"/>
      <c r="AI162" s="61"/>
      <c r="AJ162" s="61"/>
      <c r="AK162" s="61"/>
      <c r="AL162" s="61"/>
      <c r="AM162" s="61"/>
      <c r="AN162" s="61"/>
      <c r="AO162" s="61"/>
      <c r="AP162" s="61"/>
      <c r="AQ162" s="61"/>
      <c r="AR162" s="61"/>
      <c r="AS162" s="61"/>
      <c r="AT162" s="61"/>
      <c r="AU162" s="61"/>
      <c r="AV162" s="61"/>
      <c r="AW162" s="61"/>
      <c r="AX162" s="61"/>
      <c r="AY162" s="61"/>
      <c r="AZ162" s="61"/>
      <c r="BA162" s="61"/>
      <c r="BB162" s="61"/>
      <c r="BC162" s="61"/>
      <c r="BD162" s="61"/>
      <c r="BE162" s="61"/>
      <c r="BF162" s="61"/>
      <c r="BG162" s="61"/>
      <c r="BH162" s="61"/>
      <c r="BI162" s="61"/>
      <c r="BJ162" s="61"/>
      <c r="BK162" s="61"/>
      <c r="BL162" s="61"/>
      <c r="BM162" s="61"/>
      <c r="BN162" s="61"/>
      <c r="BO162" s="61"/>
      <c r="BP162" s="61"/>
      <c r="BQ162" s="61"/>
      <c r="BR162" s="61"/>
      <c r="BS162" s="61"/>
      <c r="BT162" s="61"/>
      <c r="BU162" s="61"/>
      <c r="BV162" s="61"/>
      <c r="BW162" s="61"/>
      <c r="BX162" s="61"/>
      <c r="BY162" s="61"/>
      <c r="BZ162" s="61"/>
      <c r="CA162" s="61"/>
      <c r="CB162" s="61"/>
      <c r="CC162" s="61"/>
      <c r="CD162" s="61"/>
      <c r="CE162" s="61"/>
      <c r="CF162" s="61"/>
      <c r="CG162" s="61"/>
      <c r="CH162" s="61"/>
      <c r="CI162" s="61"/>
      <c r="CJ162" s="61"/>
      <c r="CK162" s="61"/>
      <c r="CL162" s="61"/>
      <c r="CM162" s="61"/>
      <c r="CN162" s="61"/>
      <c r="CO162" s="61"/>
      <c r="CP162" s="61"/>
      <c r="CQ162" s="61"/>
      <c r="CR162" s="61"/>
      <c r="CS162" s="61"/>
      <c r="CT162" s="61"/>
      <c r="CU162" s="61"/>
      <c r="CV162" s="61"/>
    </row>
    <row r="163" spans="1:100">
      <c r="A163" s="146">
        <v>21</v>
      </c>
      <c r="B163" s="141">
        <f ca="1">+RESUMEN!Y24</f>
        <v>0</v>
      </c>
      <c r="C163" s="141">
        <f ca="1">+RESUMEN!Z24</f>
        <v>0</v>
      </c>
      <c r="D163" s="142">
        <f t="shared" ca="1" si="171"/>
        <v>0</v>
      </c>
      <c r="E163" s="60"/>
      <c r="F163" s="313" t="s">
        <v>174</v>
      </c>
      <c r="G163" s="316">
        <v>2130.29</v>
      </c>
      <c r="H163" s="316">
        <v>2847.9</v>
      </c>
      <c r="I163" s="60"/>
      <c r="J163" s="161" t="s">
        <v>174</v>
      </c>
      <c r="K163" s="177">
        <v>107.32</v>
      </c>
      <c r="L163" s="61"/>
      <c r="M163" s="61"/>
      <c r="N163" s="61"/>
      <c r="O163" s="61"/>
      <c r="P163" s="61"/>
      <c r="Q163" s="61"/>
      <c r="R163" s="61"/>
      <c r="S163" s="61"/>
      <c r="T163" s="61"/>
      <c r="U163" s="61"/>
      <c r="V163" s="61"/>
      <c r="W163" s="61"/>
      <c r="X163" s="61"/>
      <c r="Y163" s="61"/>
      <c r="Z163" s="61"/>
      <c r="AA163" s="61"/>
      <c r="AB163" s="61"/>
      <c r="AC163" s="61"/>
      <c r="AD163" s="61"/>
      <c r="AE163" s="61"/>
      <c r="AF163" s="61"/>
      <c r="AG163" s="61"/>
      <c r="AH163" s="61"/>
      <c r="AI163" s="61"/>
      <c r="AJ163" s="61"/>
      <c r="AK163" s="61"/>
      <c r="AL163" s="61"/>
      <c r="AM163" s="61"/>
      <c r="AN163" s="61"/>
      <c r="AO163" s="61"/>
      <c r="AP163" s="61"/>
      <c r="AQ163" s="61"/>
      <c r="AR163" s="61"/>
      <c r="AS163" s="61"/>
      <c r="AT163" s="61"/>
      <c r="AU163" s="61"/>
      <c r="AV163" s="61"/>
      <c r="AW163" s="61"/>
      <c r="AX163" s="61"/>
      <c r="AY163" s="61"/>
      <c r="AZ163" s="61"/>
      <c r="BA163" s="61"/>
      <c r="BB163" s="61"/>
      <c r="BC163" s="61"/>
      <c r="BD163" s="61"/>
      <c r="BE163" s="61"/>
      <c r="BF163" s="61"/>
      <c r="BG163" s="61"/>
      <c r="BH163" s="61"/>
      <c r="BI163" s="61"/>
      <c r="BJ163" s="61"/>
      <c r="BK163" s="61"/>
      <c r="BL163" s="61"/>
      <c r="BM163" s="61"/>
      <c r="BN163" s="61"/>
      <c r="BO163" s="61"/>
      <c r="BP163" s="61"/>
      <c r="BQ163" s="61"/>
      <c r="BR163" s="61"/>
      <c r="BS163" s="61"/>
      <c r="BT163" s="61"/>
      <c r="BU163" s="61"/>
      <c r="BV163" s="61"/>
      <c r="BW163" s="61"/>
      <c r="BX163" s="61"/>
      <c r="BY163" s="61"/>
      <c r="BZ163" s="61"/>
      <c r="CA163" s="61"/>
      <c r="CB163" s="61"/>
      <c r="CC163" s="61"/>
      <c r="CD163" s="61"/>
      <c r="CE163" s="61"/>
      <c r="CF163" s="61"/>
      <c r="CG163" s="61"/>
      <c r="CH163" s="61"/>
      <c r="CI163" s="61"/>
      <c r="CJ163" s="61"/>
      <c r="CK163" s="61"/>
      <c r="CL163" s="61"/>
      <c r="CM163" s="61"/>
      <c r="CN163" s="61"/>
      <c r="CO163" s="61"/>
      <c r="CP163" s="61"/>
      <c r="CQ163" s="61"/>
      <c r="CR163" s="61"/>
      <c r="CS163" s="61"/>
      <c r="CT163" s="61"/>
      <c r="CU163" s="61"/>
      <c r="CV163" s="61"/>
    </row>
    <row r="164" spans="1:100">
      <c r="A164" s="146">
        <v>22</v>
      </c>
      <c r="B164" s="141">
        <f ca="1">+RESUMEN!Y25</f>
        <v>0</v>
      </c>
      <c r="C164" s="141">
        <f ca="1">+RESUMEN!Z25</f>
        <v>0</v>
      </c>
      <c r="D164" s="142">
        <f t="shared" ca="1" si="171"/>
        <v>0</v>
      </c>
      <c r="E164" s="60"/>
      <c r="F164" s="313" t="s">
        <v>175</v>
      </c>
      <c r="G164" s="316">
        <v>2261.62</v>
      </c>
      <c r="H164" s="316">
        <v>3063.35</v>
      </c>
      <c r="I164" s="60"/>
      <c r="J164" s="161" t="s">
        <v>175</v>
      </c>
      <c r="K164" s="177">
        <v>116</v>
      </c>
      <c r="L164" s="61"/>
      <c r="M164" s="61"/>
      <c r="N164" s="61"/>
      <c r="O164" s="61"/>
      <c r="P164" s="61"/>
      <c r="Q164" s="61"/>
      <c r="R164" s="61"/>
      <c r="S164" s="61"/>
      <c r="T164" s="61"/>
      <c r="U164" s="61"/>
      <c r="V164" s="61"/>
      <c r="W164" s="61"/>
      <c r="X164" s="61"/>
      <c r="Y164" s="61"/>
      <c r="Z164" s="61"/>
      <c r="AA164" s="61"/>
      <c r="AB164" s="61"/>
      <c r="AC164" s="61"/>
      <c r="AD164" s="61"/>
      <c r="AE164" s="61"/>
      <c r="AF164" s="61"/>
      <c r="AG164" s="61"/>
      <c r="AH164" s="61"/>
      <c r="AI164" s="61"/>
      <c r="AJ164" s="61"/>
      <c r="AK164" s="61"/>
      <c r="AL164" s="61"/>
      <c r="AM164" s="61"/>
      <c r="AN164" s="61"/>
      <c r="AO164" s="61"/>
      <c r="AP164" s="61"/>
      <c r="AQ164" s="61"/>
      <c r="AR164" s="61"/>
      <c r="AS164" s="61"/>
      <c r="AT164" s="61"/>
      <c r="AU164" s="61"/>
      <c r="AV164" s="61"/>
      <c r="AW164" s="61"/>
      <c r="AX164" s="61"/>
      <c r="AY164" s="61"/>
      <c r="AZ164" s="61"/>
      <c r="BA164" s="61"/>
      <c r="BB164" s="61"/>
      <c r="BC164" s="61"/>
      <c r="BD164" s="61"/>
      <c r="BE164" s="61"/>
      <c r="BF164" s="61"/>
      <c r="BG164" s="61"/>
      <c r="BH164" s="61"/>
      <c r="BI164" s="61"/>
      <c r="BJ164" s="61"/>
      <c r="BK164" s="61"/>
      <c r="BL164" s="61"/>
      <c r="BM164" s="61"/>
      <c r="BN164" s="61"/>
      <c r="BO164" s="61"/>
      <c r="BP164" s="61"/>
      <c r="BQ164" s="61"/>
      <c r="BR164" s="61"/>
      <c r="BS164" s="61"/>
      <c r="BT164" s="61"/>
      <c r="BU164" s="61"/>
      <c r="BV164" s="61"/>
      <c r="BW164" s="61"/>
      <c r="BX164" s="61"/>
      <c r="BY164" s="61"/>
      <c r="BZ164" s="61"/>
      <c r="CA164" s="61"/>
      <c r="CB164" s="61"/>
      <c r="CC164" s="61"/>
      <c r="CD164" s="61"/>
      <c r="CE164" s="61"/>
      <c r="CF164" s="61"/>
      <c r="CG164" s="61"/>
      <c r="CH164" s="61"/>
      <c r="CI164" s="61"/>
      <c r="CJ164" s="61"/>
      <c r="CK164" s="61"/>
      <c r="CL164" s="61"/>
      <c r="CM164" s="61"/>
      <c r="CN164" s="61"/>
      <c r="CO164" s="61"/>
      <c r="CP164" s="61"/>
      <c r="CQ164" s="61"/>
      <c r="CR164" s="61"/>
      <c r="CS164" s="61"/>
      <c r="CT164" s="61"/>
      <c r="CU164" s="61"/>
      <c r="CV164" s="61"/>
    </row>
    <row r="165" spans="1:100">
      <c r="A165" s="146">
        <v>23</v>
      </c>
      <c r="B165" s="141">
        <f ca="1">+RESUMEN!Y26</f>
        <v>0</v>
      </c>
      <c r="C165" s="141">
        <f ca="1">+RESUMEN!Z26</f>
        <v>0</v>
      </c>
      <c r="D165" s="142">
        <f t="shared" ca="1" si="171"/>
        <v>0</v>
      </c>
      <c r="E165" s="60"/>
      <c r="F165" s="313" t="s">
        <v>176</v>
      </c>
      <c r="G165" s="316">
        <v>2392.96</v>
      </c>
      <c r="H165" s="316">
        <v>3278.81</v>
      </c>
      <c r="I165" s="60"/>
      <c r="J165" s="161" t="s">
        <v>176</v>
      </c>
      <c r="K165" s="177">
        <v>125.62</v>
      </c>
      <c r="L165" s="61"/>
      <c r="M165" s="61"/>
      <c r="N165" s="61"/>
      <c r="O165" s="61"/>
      <c r="P165" s="61"/>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M165" s="61"/>
      <c r="AN165" s="61"/>
      <c r="AO165" s="61"/>
      <c r="AP165" s="61"/>
      <c r="AQ165" s="61"/>
      <c r="AR165" s="61"/>
      <c r="AS165" s="61"/>
      <c r="AT165" s="61"/>
      <c r="AU165" s="61"/>
      <c r="AV165" s="61"/>
      <c r="AW165" s="61"/>
      <c r="AX165" s="61"/>
      <c r="AY165" s="61"/>
      <c r="AZ165" s="61"/>
      <c r="BA165" s="61"/>
      <c r="BB165" s="61"/>
      <c r="BC165" s="61"/>
      <c r="BD165" s="61"/>
      <c r="BE165" s="61"/>
      <c r="BF165" s="61"/>
      <c r="BG165" s="61"/>
      <c r="BH165" s="61"/>
      <c r="BI165" s="61"/>
      <c r="BJ165" s="61"/>
      <c r="BK165" s="61"/>
      <c r="BL165" s="61"/>
      <c r="BM165" s="61"/>
      <c r="BN165" s="61"/>
      <c r="BO165" s="61"/>
      <c r="BP165" s="61"/>
      <c r="BQ165" s="61"/>
      <c r="BR165" s="61"/>
      <c r="BS165" s="61"/>
      <c r="BT165" s="61"/>
      <c r="BU165" s="61"/>
      <c r="BV165" s="61"/>
      <c r="BW165" s="61"/>
      <c r="BX165" s="61"/>
      <c r="BY165" s="61"/>
      <c r="BZ165" s="61"/>
      <c r="CA165" s="61"/>
      <c r="CB165" s="61"/>
      <c r="CC165" s="61"/>
      <c r="CD165" s="61"/>
      <c r="CE165" s="61"/>
      <c r="CF165" s="61"/>
      <c r="CG165" s="61"/>
      <c r="CH165" s="61"/>
      <c r="CI165" s="61"/>
      <c r="CJ165" s="61"/>
      <c r="CK165" s="61"/>
      <c r="CL165" s="61"/>
      <c r="CM165" s="61"/>
      <c r="CN165" s="61"/>
      <c r="CO165" s="61"/>
      <c r="CP165" s="61"/>
      <c r="CQ165" s="61"/>
      <c r="CR165" s="61"/>
      <c r="CS165" s="61"/>
      <c r="CT165" s="61"/>
      <c r="CU165" s="61"/>
      <c r="CV165" s="61"/>
    </row>
    <row r="166" spans="1:100">
      <c r="A166" s="146">
        <v>24</v>
      </c>
      <c r="B166" s="141">
        <f ca="1">+RESUMEN!Y27</f>
        <v>0</v>
      </c>
      <c r="C166" s="141">
        <f ca="1">+RESUMEN!Z27</f>
        <v>0</v>
      </c>
      <c r="D166" s="142">
        <f t="shared" ca="1" si="171"/>
        <v>0</v>
      </c>
      <c r="E166" s="60"/>
      <c r="F166" s="313" t="s">
        <v>177</v>
      </c>
      <c r="G166" s="316">
        <v>2524.29</v>
      </c>
      <c r="H166" s="316">
        <v>3494.26</v>
      </c>
      <c r="I166" s="60"/>
      <c r="J166" s="161" t="s">
        <v>177</v>
      </c>
      <c r="K166" s="177">
        <v>136.30000000000001</v>
      </c>
      <c r="L166" s="61"/>
      <c r="M166" s="61"/>
      <c r="N166" s="61"/>
      <c r="O166" s="61"/>
      <c r="P166" s="61"/>
      <c r="Q166" s="61"/>
      <c r="R166" s="61"/>
      <c r="S166" s="61"/>
      <c r="T166" s="61"/>
      <c r="U166" s="61"/>
      <c r="V166" s="61"/>
      <c r="W166" s="61"/>
      <c r="X166" s="61"/>
      <c r="Y166" s="61"/>
      <c r="Z166" s="61"/>
      <c r="AA166" s="61"/>
      <c r="AB166" s="61"/>
      <c r="AC166" s="61"/>
      <c r="AD166" s="61"/>
      <c r="AE166" s="61"/>
      <c r="AF166" s="61"/>
      <c r="AG166" s="61"/>
      <c r="AH166" s="61"/>
      <c r="AI166" s="61"/>
      <c r="AJ166" s="61"/>
      <c r="AK166" s="61"/>
      <c r="AL166" s="61"/>
      <c r="AM166" s="61"/>
      <c r="AN166" s="61"/>
      <c r="AO166" s="61"/>
      <c r="AP166" s="61"/>
      <c r="AQ166" s="61"/>
      <c r="AR166" s="61"/>
      <c r="AS166" s="61"/>
      <c r="AT166" s="61"/>
      <c r="AU166" s="61"/>
      <c r="AV166" s="61"/>
      <c r="AW166" s="61"/>
      <c r="AX166" s="61"/>
      <c r="AY166" s="61"/>
      <c r="AZ166" s="61"/>
      <c r="BA166" s="61"/>
      <c r="BB166" s="61"/>
      <c r="BC166" s="61"/>
      <c r="BD166" s="61"/>
      <c r="BE166" s="61"/>
      <c r="BF166" s="61"/>
      <c r="BG166" s="61"/>
      <c r="BH166" s="61"/>
      <c r="BI166" s="61"/>
      <c r="BJ166" s="61"/>
      <c r="BK166" s="61"/>
      <c r="BL166" s="61"/>
      <c r="BM166" s="61"/>
      <c r="BN166" s="61"/>
      <c r="BO166" s="61"/>
      <c r="BP166" s="61"/>
      <c r="BQ166" s="61"/>
      <c r="BR166" s="61"/>
      <c r="BS166" s="61"/>
      <c r="BT166" s="61"/>
      <c r="BU166" s="61"/>
      <c r="BV166" s="61"/>
      <c r="BW166" s="61"/>
      <c r="BX166" s="61"/>
      <c r="BY166" s="61"/>
      <c r="BZ166" s="61"/>
      <c r="CA166" s="61"/>
      <c r="CB166" s="61"/>
      <c r="CC166" s="61"/>
      <c r="CD166" s="61"/>
      <c r="CE166" s="61"/>
      <c r="CF166" s="61"/>
      <c r="CG166" s="61"/>
      <c r="CH166" s="61"/>
      <c r="CI166" s="61"/>
      <c r="CJ166" s="61"/>
      <c r="CK166" s="61"/>
      <c r="CL166" s="61"/>
      <c r="CM166" s="61"/>
      <c r="CN166" s="61"/>
      <c r="CO166" s="61"/>
      <c r="CP166" s="61"/>
      <c r="CQ166" s="61"/>
      <c r="CR166" s="61"/>
      <c r="CS166" s="61"/>
      <c r="CT166" s="61"/>
      <c r="CU166" s="61"/>
      <c r="CV166" s="61"/>
    </row>
    <row r="167" spans="1:100">
      <c r="A167" s="146">
        <v>25</v>
      </c>
      <c r="B167" s="141">
        <f ca="1">+RESUMEN!Y28</f>
        <v>0</v>
      </c>
      <c r="C167" s="141">
        <f ca="1">+RESUMEN!Z28</f>
        <v>0</v>
      </c>
      <c r="D167" s="142">
        <f t="shared" ca="1" si="171"/>
        <v>0</v>
      </c>
      <c r="E167" s="60"/>
      <c r="F167" s="313" t="s">
        <v>178</v>
      </c>
      <c r="G167" s="316">
        <v>2566.91</v>
      </c>
      <c r="H167" s="316">
        <v>3554.94</v>
      </c>
      <c r="I167" s="60"/>
      <c r="J167" s="161" t="s">
        <v>178</v>
      </c>
      <c r="K167" s="177">
        <v>140.21</v>
      </c>
      <c r="L167" s="61"/>
      <c r="M167" s="61"/>
      <c r="N167" s="61"/>
      <c r="O167" s="61"/>
      <c r="P167" s="61"/>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M167" s="61"/>
      <c r="AN167" s="61"/>
      <c r="AO167" s="61"/>
      <c r="AP167" s="61"/>
      <c r="AQ167" s="61"/>
      <c r="AR167" s="61"/>
      <c r="AS167" s="61"/>
      <c r="AT167" s="61"/>
      <c r="AU167" s="61"/>
      <c r="AV167" s="61"/>
      <c r="AW167" s="61"/>
      <c r="AX167" s="61"/>
      <c r="AY167" s="61"/>
      <c r="AZ167" s="61"/>
      <c r="BA167" s="61"/>
      <c r="BB167" s="61"/>
      <c r="BC167" s="61"/>
      <c r="BD167" s="61"/>
      <c r="BE167" s="61"/>
      <c r="BF167" s="61"/>
      <c r="BG167" s="61"/>
      <c r="BH167" s="61"/>
      <c r="BI167" s="61"/>
      <c r="BJ167" s="61"/>
      <c r="BK167" s="61"/>
      <c r="BL167" s="61"/>
      <c r="BM167" s="61"/>
      <c r="BN167" s="61"/>
      <c r="BO167" s="61"/>
      <c r="BP167" s="61"/>
      <c r="BQ167" s="61"/>
      <c r="BR167" s="61"/>
      <c r="BS167" s="61"/>
      <c r="BT167" s="61"/>
      <c r="BU167" s="61"/>
      <c r="BV167" s="61"/>
      <c r="BW167" s="61"/>
      <c r="BX167" s="61"/>
      <c r="BY167" s="61"/>
      <c r="BZ167" s="61"/>
      <c r="CA167" s="61"/>
      <c r="CB167" s="61"/>
      <c r="CC167" s="61"/>
      <c r="CD167" s="61"/>
      <c r="CE167" s="61"/>
      <c r="CF167" s="61"/>
      <c r="CG167" s="61"/>
      <c r="CH167" s="61"/>
      <c r="CI167" s="61"/>
      <c r="CJ167" s="61"/>
      <c r="CK167" s="61"/>
      <c r="CL167" s="61"/>
      <c r="CM167" s="61"/>
      <c r="CN167" s="61"/>
      <c r="CO167" s="61"/>
      <c r="CP167" s="61"/>
      <c r="CQ167" s="61"/>
      <c r="CR167" s="61"/>
      <c r="CS167" s="61"/>
      <c r="CT167" s="61"/>
      <c r="CU167" s="61"/>
      <c r="CV167" s="61"/>
    </row>
    <row r="168" spans="1:100">
      <c r="A168" s="146">
        <v>26</v>
      </c>
      <c r="B168" s="141">
        <f ca="1">+RESUMEN!Y29</f>
        <v>0</v>
      </c>
      <c r="C168" s="141">
        <f ca="1">+RESUMEN!Z29</f>
        <v>0</v>
      </c>
      <c r="D168" s="142">
        <f t="shared" ca="1" si="171"/>
        <v>0</v>
      </c>
      <c r="E168" s="60"/>
      <c r="F168" s="313" t="s">
        <v>179</v>
      </c>
      <c r="G168" s="316">
        <v>2727.85</v>
      </c>
      <c r="H168" s="316">
        <v>3779.41</v>
      </c>
      <c r="I168" s="60"/>
      <c r="J168" s="161" t="s">
        <v>179</v>
      </c>
      <c r="K168" s="177">
        <v>152.68</v>
      </c>
      <c r="L168" s="61"/>
      <c r="M168" s="61"/>
      <c r="N168" s="61"/>
      <c r="O168" s="61"/>
      <c r="P168" s="61"/>
      <c r="Q168" s="61"/>
      <c r="R168" s="61"/>
      <c r="S168" s="61"/>
      <c r="T168" s="61"/>
      <c r="U168" s="61"/>
      <c r="V168" s="61"/>
      <c r="W168" s="61"/>
      <c r="X168" s="61"/>
      <c r="Y168" s="61"/>
      <c r="Z168" s="61"/>
      <c r="AA168" s="61"/>
      <c r="AB168" s="61"/>
      <c r="AC168" s="61"/>
      <c r="AD168" s="61"/>
      <c r="AE168" s="61"/>
      <c r="AF168" s="61"/>
      <c r="AG168" s="61"/>
      <c r="AH168" s="61"/>
      <c r="AI168" s="61"/>
      <c r="AJ168" s="61"/>
      <c r="AK168" s="61"/>
      <c r="AL168" s="61"/>
      <c r="AM168" s="61"/>
      <c r="AN168" s="61"/>
      <c r="AO168" s="61"/>
      <c r="AP168" s="61"/>
      <c r="AQ168" s="61"/>
      <c r="AR168" s="61"/>
      <c r="AS168" s="61"/>
      <c r="AT168" s="61"/>
      <c r="AU168" s="61"/>
      <c r="AV168" s="61"/>
      <c r="AW168" s="61"/>
      <c r="AX168" s="61"/>
      <c r="AY168" s="61"/>
      <c r="AZ168" s="61"/>
      <c r="BA168" s="61"/>
      <c r="BB168" s="61"/>
      <c r="BC168" s="61"/>
      <c r="BD168" s="61"/>
      <c r="BE168" s="61"/>
      <c r="BF168" s="61"/>
      <c r="BG168" s="61"/>
      <c r="BH168" s="61"/>
      <c r="BI168" s="61"/>
      <c r="BJ168" s="61"/>
      <c r="BK168" s="61"/>
      <c r="BL168" s="61"/>
      <c r="BM168" s="61"/>
      <c r="BN168" s="61"/>
      <c r="BO168" s="61"/>
      <c r="BP168" s="61"/>
      <c r="BQ168" s="61"/>
      <c r="BR168" s="61"/>
      <c r="BS168" s="61"/>
      <c r="BT168" s="61"/>
      <c r="BU168" s="61"/>
      <c r="BV168" s="61"/>
      <c r="BW168" s="61"/>
      <c r="BX168" s="61"/>
      <c r="BY168" s="61"/>
      <c r="BZ168" s="61"/>
      <c r="CA168" s="61"/>
      <c r="CB168" s="61"/>
      <c r="CC168" s="61"/>
      <c r="CD168" s="61"/>
      <c r="CE168" s="61"/>
      <c r="CF168" s="61"/>
      <c r="CG168" s="61"/>
      <c r="CH168" s="61"/>
      <c r="CI168" s="61"/>
      <c r="CJ168" s="61"/>
      <c r="CK168" s="61"/>
      <c r="CL168" s="61"/>
      <c r="CM168" s="61"/>
      <c r="CN168" s="61"/>
      <c r="CO168" s="61"/>
      <c r="CP168" s="61"/>
      <c r="CQ168" s="61"/>
      <c r="CR168" s="61"/>
      <c r="CS168" s="61"/>
      <c r="CT168" s="61"/>
      <c r="CU168" s="61"/>
      <c r="CV168" s="61"/>
    </row>
    <row r="169" spans="1:100">
      <c r="A169" s="146">
        <v>27</v>
      </c>
      <c r="B169" s="141">
        <f ca="1">+RESUMEN!Y30</f>
        <v>0</v>
      </c>
      <c r="C169" s="141">
        <f ca="1">+RESUMEN!Z30</f>
        <v>0</v>
      </c>
      <c r="D169" s="142">
        <f t="shared" ca="1" si="171"/>
        <v>0</v>
      </c>
      <c r="E169" s="60"/>
      <c r="F169" s="313" t="s">
        <v>180</v>
      </c>
      <c r="G169" s="316">
        <v>2888.79</v>
      </c>
      <c r="H169" s="316">
        <v>4003.88</v>
      </c>
      <c r="I169" s="60"/>
      <c r="J169" s="161" t="s">
        <v>180</v>
      </c>
      <c r="K169" s="177">
        <v>166.57</v>
      </c>
      <c r="L169" s="61"/>
      <c r="M169" s="61"/>
      <c r="N169" s="61"/>
      <c r="O169" s="61"/>
      <c r="P169" s="61"/>
      <c r="Q169" s="61"/>
      <c r="R169" s="61"/>
      <c r="S169" s="61"/>
      <c r="T169" s="61"/>
      <c r="U169" s="61"/>
      <c r="V169" s="61"/>
      <c r="W169" s="61"/>
      <c r="X169" s="61"/>
      <c r="Y169" s="61"/>
      <c r="Z169" s="61"/>
      <c r="AA169" s="61"/>
      <c r="AB169" s="61"/>
      <c r="AC169" s="61"/>
      <c r="AD169" s="61"/>
      <c r="AE169" s="61"/>
      <c r="AF169" s="61"/>
      <c r="AG169" s="61"/>
      <c r="AH169" s="61"/>
      <c r="AI169" s="61"/>
      <c r="AJ169" s="61"/>
      <c r="AK169" s="61"/>
      <c r="AL169" s="61"/>
      <c r="AM169" s="61"/>
      <c r="AN169" s="61"/>
      <c r="AO169" s="61"/>
      <c r="AP169" s="61"/>
      <c r="AQ169" s="61"/>
      <c r="AR169" s="61"/>
      <c r="AS169" s="61"/>
      <c r="AT169" s="61"/>
      <c r="AU169" s="61"/>
      <c r="AV169" s="61"/>
      <c r="AW169" s="61"/>
      <c r="AX169" s="61"/>
      <c r="AY169" s="61"/>
      <c r="AZ169" s="61"/>
      <c r="BA169" s="61"/>
      <c r="BB169" s="61"/>
      <c r="BC169" s="61"/>
      <c r="BD169" s="61"/>
      <c r="BE169" s="61"/>
      <c r="BF169" s="61"/>
      <c r="BG169" s="61"/>
      <c r="BH169" s="61"/>
      <c r="BI169" s="61"/>
      <c r="BJ169" s="61"/>
      <c r="BK169" s="61"/>
      <c r="BL169" s="61"/>
      <c r="BM169" s="61"/>
      <c r="BN169" s="61"/>
      <c r="BO169" s="61"/>
      <c r="BP169" s="61"/>
      <c r="BQ169" s="61"/>
      <c r="BR169" s="61"/>
      <c r="BS169" s="61"/>
      <c r="BT169" s="61"/>
      <c r="BU169" s="61"/>
      <c r="BV169" s="61"/>
      <c r="BW169" s="61"/>
      <c r="BX169" s="61"/>
      <c r="BY169" s="61"/>
      <c r="BZ169" s="61"/>
      <c r="CA169" s="61"/>
      <c r="CB169" s="61"/>
      <c r="CC169" s="61"/>
      <c r="CD169" s="61"/>
      <c r="CE169" s="61"/>
      <c r="CF169" s="61"/>
      <c r="CG169" s="61"/>
      <c r="CH169" s="61"/>
      <c r="CI169" s="61"/>
      <c r="CJ169" s="61"/>
      <c r="CK169" s="61"/>
      <c r="CL169" s="61"/>
      <c r="CM169" s="61"/>
      <c r="CN169" s="61"/>
      <c r="CO169" s="61"/>
      <c r="CP169" s="61"/>
      <c r="CQ169" s="61"/>
      <c r="CR169" s="61"/>
      <c r="CS169" s="61"/>
      <c r="CT169" s="61"/>
      <c r="CU169" s="61"/>
      <c r="CV169" s="61"/>
    </row>
    <row r="170" spans="1:100">
      <c r="A170" s="146">
        <v>28</v>
      </c>
      <c r="B170" s="141">
        <f ca="1">+RESUMEN!Y31</f>
        <v>0</v>
      </c>
      <c r="C170" s="141">
        <f ca="1">+RESUMEN!Z31</f>
        <v>0</v>
      </c>
      <c r="D170" s="142">
        <f t="shared" ca="1" si="171"/>
        <v>0</v>
      </c>
      <c r="E170" s="60"/>
      <c r="F170" s="313" t="s">
        <v>181</v>
      </c>
      <c r="G170" s="316">
        <v>3049.73</v>
      </c>
      <c r="H170" s="316">
        <v>4228.3599999999997</v>
      </c>
      <c r="I170" s="60"/>
      <c r="J170" s="161" t="s">
        <v>181</v>
      </c>
      <c r="K170" s="177">
        <v>182</v>
      </c>
      <c r="L170" s="61"/>
      <c r="M170" s="61"/>
      <c r="N170" s="61"/>
      <c r="O170" s="61"/>
      <c r="P170" s="61"/>
      <c r="Q170" s="61"/>
      <c r="R170" s="61"/>
      <c r="S170" s="61"/>
      <c r="T170" s="61"/>
      <c r="U170" s="61"/>
      <c r="V170" s="61"/>
      <c r="W170" s="61"/>
      <c r="X170" s="61"/>
      <c r="Y170" s="61"/>
      <c r="Z170" s="61"/>
      <c r="AA170" s="61"/>
      <c r="AB170" s="61"/>
      <c r="AC170" s="61"/>
      <c r="AD170" s="61"/>
      <c r="AE170" s="61"/>
      <c r="AF170" s="61"/>
      <c r="AG170" s="61"/>
      <c r="AH170" s="61"/>
      <c r="AI170" s="61"/>
      <c r="AJ170" s="61"/>
      <c r="AK170" s="61"/>
      <c r="AL170" s="61"/>
      <c r="AM170" s="61"/>
      <c r="AN170" s="61"/>
      <c r="AO170" s="61"/>
      <c r="AP170" s="61"/>
      <c r="AQ170" s="61"/>
      <c r="AR170" s="61"/>
      <c r="AS170" s="61"/>
      <c r="AT170" s="61"/>
      <c r="AU170" s="61"/>
      <c r="AV170" s="61"/>
      <c r="AW170" s="61"/>
      <c r="AX170" s="61"/>
      <c r="AY170" s="61"/>
      <c r="AZ170" s="61"/>
      <c r="BA170" s="61"/>
      <c r="BB170" s="61"/>
      <c r="BC170" s="61"/>
      <c r="BD170" s="61"/>
      <c r="BE170" s="61"/>
      <c r="BF170" s="61"/>
      <c r="BG170" s="61"/>
      <c r="BH170" s="61"/>
      <c r="BI170" s="61"/>
      <c r="BJ170" s="61"/>
      <c r="BK170" s="61"/>
      <c r="BL170" s="61"/>
      <c r="BM170" s="61"/>
      <c r="BN170" s="61"/>
      <c r="BO170" s="61"/>
      <c r="BP170" s="61"/>
      <c r="BQ170" s="61"/>
      <c r="BR170" s="61"/>
      <c r="BS170" s="61"/>
      <c r="BT170" s="61"/>
      <c r="BU170" s="61"/>
      <c r="BV170" s="61"/>
      <c r="BW170" s="61"/>
      <c r="BX170" s="61"/>
      <c r="BY170" s="61"/>
      <c r="BZ170" s="61"/>
      <c r="CA170" s="61"/>
      <c r="CB170" s="61"/>
      <c r="CC170" s="61"/>
      <c r="CD170" s="61"/>
      <c r="CE170" s="61"/>
      <c r="CF170" s="61"/>
      <c r="CG170" s="61"/>
      <c r="CH170" s="61"/>
      <c r="CI170" s="61"/>
      <c r="CJ170" s="61"/>
      <c r="CK170" s="61"/>
      <c r="CL170" s="61"/>
      <c r="CM170" s="61"/>
      <c r="CN170" s="61"/>
      <c r="CO170" s="61"/>
      <c r="CP170" s="61"/>
      <c r="CQ170" s="61"/>
      <c r="CR170" s="61"/>
      <c r="CS170" s="61"/>
      <c r="CT170" s="61"/>
      <c r="CU170" s="61"/>
      <c r="CV170" s="61"/>
    </row>
    <row r="171" spans="1:100">
      <c r="A171" s="146">
        <v>29</v>
      </c>
      <c r="B171" s="141">
        <f ca="1">+RESUMEN!Y32</f>
        <v>0</v>
      </c>
      <c r="C171" s="141">
        <f ca="1">+RESUMEN!Z32</f>
        <v>0</v>
      </c>
      <c r="D171" s="142">
        <f t="shared" ca="1" si="171"/>
        <v>0</v>
      </c>
      <c r="E171" s="60"/>
      <c r="F171" s="313" t="s">
        <v>182</v>
      </c>
      <c r="G171" s="316">
        <v>3210.68</v>
      </c>
      <c r="H171" s="316">
        <v>4452.83</v>
      </c>
      <c r="I171" s="60"/>
      <c r="J171" s="161" t="s">
        <v>182</v>
      </c>
      <c r="K171" s="177">
        <v>199.25</v>
      </c>
      <c r="L171" s="61"/>
      <c r="M171" s="61"/>
      <c r="N171" s="61"/>
      <c r="O171" s="61"/>
      <c r="P171" s="61"/>
      <c r="Q171" s="61"/>
      <c r="R171" s="61"/>
      <c r="S171" s="61"/>
      <c r="T171" s="61"/>
      <c r="U171" s="61"/>
      <c r="V171" s="61"/>
      <c r="W171" s="61"/>
      <c r="X171" s="61"/>
      <c r="Y171" s="61"/>
      <c r="Z171" s="61"/>
      <c r="AA171" s="61"/>
      <c r="AB171" s="61"/>
      <c r="AC171" s="61"/>
      <c r="AD171" s="61"/>
      <c r="AE171" s="61"/>
      <c r="AF171" s="61"/>
      <c r="AG171" s="61"/>
      <c r="AH171" s="61"/>
      <c r="AI171" s="61"/>
      <c r="AJ171" s="61"/>
      <c r="AK171" s="61"/>
      <c r="AL171" s="61"/>
      <c r="AM171" s="61"/>
      <c r="AN171" s="61"/>
      <c r="AO171" s="61"/>
      <c r="AP171" s="61"/>
      <c r="AQ171" s="61"/>
      <c r="AR171" s="61"/>
      <c r="AS171" s="61"/>
      <c r="AT171" s="61"/>
      <c r="AU171" s="61"/>
      <c r="AV171" s="61"/>
      <c r="AW171" s="61"/>
      <c r="AX171" s="61"/>
      <c r="AY171" s="61"/>
      <c r="AZ171" s="61"/>
      <c r="BA171" s="61"/>
      <c r="BB171" s="61"/>
      <c r="BC171" s="61"/>
      <c r="BD171" s="61"/>
      <c r="BE171" s="61"/>
      <c r="BF171" s="61"/>
      <c r="BG171" s="61"/>
      <c r="BH171" s="61"/>
      <c r="BI171" s="61"/>
      <c r="BJ171" s="61"/>
      <c r="BK171" s="61"/>
      <c r="BL171" s="61"/>
      <c r="BM171" s="61"/>
      <c r="BN171" s="61"/>
      <c r="BO171" s="61"/>
      <c r="BP171" s="61"/>
      <c r="BQ171" s="61"/>
      <c r="BR171" s="61"/>
      <c r="BS171" s="61"/>
      <c r="BT171" s="61"/>
      <c r="BU171" s="61"/>
      <c r="BV171" s="61"/>
      <c r="BW171" s="61"/>
      <c r="BX171" s="61"/>
      <c r="BY171" s="61"/>
      <c r="BZ171" s="61"/>
      <c r="CA171" s="61"/>
      <c r="CB171" s="61"/>
      <c r="CC171" s="61"/>
      <c r="CD171" s="61"/>
      <c r="CE171" s="61"/>
      <c r="CF171" s="61"/>
      <c r="CG171" s="61"/>
      <c r="CH171" s="61"/>
      <c r="CI171" s="61"/>
      <c r="CJ171" s="61"/>
      <c r="CK171" s="61"/>
      <c r="CL171" s="61"/>
      <c r="CM171" s="61"/>
      <c r="CN171" s="61"/>
      <c r="CO171" s="61"/>
      <c r="CP171" s="61"/>
      <c r="CQ171" s="61"/>
      <c r="CR171" s="61"/>
      <c r="CS171" s="61"/>
      <c r="CT171" s="61"/>
      <c r="CU171" s="61"/>
      <c r="CV171" s="61"/>
    </row>
    <row r="172" spans="1:100">
      <c r="A172" s="146">
        <v>30</v>
      </c>
      <c r="B172" s="141">
        <f ca="1">+RESUMEN!Y33</f>
        <v>0</v>
      </c>
      <c r="C172" s="141">
        <f ca="1">+RESUMEN!Z33</f>
        <v>0</v>
      </c>
      <c r="D172" s="142">
        <f t="shared" ca="1" si="171"/>
        <v>0</v>
      </c>
      <c r="E172" s="60"/>
      <c r="F172" s="313" t="s">
        <v>183</v>
      </c>
      <c r="G172" s="316">
        <v>3472.95</v>
      </c>
      <c r="H172" s="316">
        <v>4606.3999999999996</v>
      </c>
      <c r="I172" s="60"/>
      <c r="J172" s="161" t="s">
        <v>183</v>
      </c>
      <c r="K172" s="177">
        <v>218.54</v>
      </c>
      <c r="L172" s="61"/>
      <c r="M172" s="61"/>
      <c r="N172" s="61"/>
      <c r="O172" s="61"/>
      <c r="P172" s="61"/>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M172" s="61"/>
      <c r="AN172" s="61"/>
      <c r="AO172" s="61"/>
      <c r="AP172" s="61"/>
      <c r="AQ172" s="61"/>
      <c r="AR172" s="61"/>
      <c r="AS172" s="61"/>
      <c r="AT172" s="61"/>
      <c r="AU172" s="61"/>
      <c r="AV172" s="61"/>
      <c r="AW172" s="61"/>
      <c r="AX172" s="61"/>
      <c r="AY172" s="61"/>
      <c r="AZ172" s="61"/>
      <c r="BA172" s="61"/>
      <c r="BB172" s="61"/>
      <c r="BC172" s="61"/>
      <c r="BD172" s="61"/>
      <c r="BE172" s="61"/>
      <c r="BF172" s="61"/>
      <c r="BG172" s="61"/>
      <c r="BH172" s="61"/>
      <c r="BI172" s="61"/>
      <c r="BJ172" s="61"/>
      <c r="BK172" s="61"/>
      <c r="BL172" s="61"/>
      <c r="BM172" s="61"/>
      <c r="BN172" s="61"/>
      <c r="BO172" s="61"/>
      <c r="BP172" s="61"/>
      <c r="BQ172" s="61"/>
      <c r="BR172" s="61"/>
      <c r="BS172" s="61"/>
      <c r="BT172" s="61"/>
      <c r="BU172" s="61"/>
      <c r="BV172" s="61"/>
      <c r="BW172" s="61"/>
      <c r="BX172" s="61"/>
      <c r="BY172" s="61"/>
      <c r="BZ172" s="61"/>
      <c r="CA172" s="61"/>
      <c r="CB172" s="61"/>
      <c r="CC172" s="61"/>
      <c r="CD172" s="61"/>
      <c r="CE172" s="61"/>
      <c r="CF172" s="61"/>
      <c r="CG172" s="61"/>
      <c r="CH172" s="61"/>
      <c r="CI172" s="61"/>
      <c r="CJ172" s="61"/>
      <c r="CK172" s="61"/>
      <c r="CL172" s="61"/>
      <c r="CM172" s="61"/>
      <c r="CN172" s="61"/>
      <c r="CO172" s="61"/>
      <c r="CP172" s="61"/>
      <c r="CQ172" s="61"/>
      <c r="CR172" s="61"/>
      <c r="CS172" s="61"/>
      <c r="CT172" s="61"/>
      <c r="CU172" s="61"/>
      <c r="CV172" s="61"/>
    </row>
    <row r="173" spans="1:100">
      <c r="A173" s="146">
        <v>31</v>
      </c>
      <c r="B173" s="141">
        <f ca="1">+RESUMEN!Y34</f>
        <v>0</v>
      </c>
      <c r="C173" s="141">
        <f ca="1">+RESUMEN!Z34</f>
        <v>0</v>
      </c>
      <c r="D173" s="142">
        <f t="shared" ca="1" si="171"/>
        <v>0</v>
      </c>
      <c r="E173" s="60"/>
      <c r="F173" s="313" t="s">
        <v>184</v>
      </c>
      <c r="G173" s="316">
        <v>3735.23</v>
      </c>
      <c r="H173" s="316">
        <v>4759.9799999999996</v>
      </c>
      <c r="I173" s="60"/>
      <c r="J173" s="161" t="s">
        <v>184</v>
      </c>
      <c r="K173" s="177">
        <v>240.11</v>
      </c>
      <c r="L173" s="61"/>
      <c r="M173" s="61"/>
      <c r="N173" s="61"/>
      <c r="O173" s="61"/>
      <c r="P173" s="61"/>
      <c r="Q173" s="61"/>
      <c r="R173" s="61"/>
      <c r="S173" s="61"/>
      <c r="T173" s="61"/>
      <c r="U173" s="61"/>
      <c r="V173" s="61"/>
      <c r="W173" s="61"/>
      <c r="X173" s="61"/>
      <c r="Y173" s="61"/>
      <c r="Z173" s="61"/>
      <c r="AA173" s="61"/>
      <c r="AB173" s="61"/>
      <c r="AC173" s="61"/>
      <c r="AD173" s="61"/>
      <c r="AE173" s="61"/>
      <c r="AF173" s="61"/>
      <c r="AG173" s="61"/>
      <c r="AH173" s="61"/>
      <c r="AI173" s="61"/>
      <c r="AJ173" s="61"/>
      <c r="AK173" s="61"/>
      <c r="AL173" s="61"/>
      <c r="AM173" s="61"/>
      <c r="AN173" s="61"/>
      <c r="AO173" s="61"/>
      <c r="AP173" s="61"/>
      <c r="AQ173" s="61"/>
      <c r="AR173" s="61"/>
      <c r="AS173" s="61"/>
      <c r="AT173" s="61"/>
      <c r="AU173" s="61"/>
      <c r="AV173" s="61"/>
      <c r="AW173" s="61"/>
      <c r="AX173" s="61"/>
      <c r="AY173" s="61"/>
      <c r="AZ173" s="61"/>
      <c r="BA173" s="61"/>
      <c r="BB173" s="61"/>
      <c r="BC173" s="61"/>
      <c r="BD173" s="61"/>
      <c r="BE173" s="61"/>
      <c r="BF173" s="61"/>
      <c r="BG173" s="61"/>
      <c r="BH173" s="61"/>
      <c r="BI173" s="61"/>
      <c r="BJ173" s="61"/>
      <c r="BK173" s="61"/>
      <c r="BL173" s="61"/>
      <c r="BM173" s="61"/>
      <c r="BN173" s="61"/>
      <c r="BO173" s="61"/>
      <c r="BP173" s="61"/>
      <c r="BQ173" s="61"/>
      <c r="BR173" s="61"/>
      <c r="BS173" s="61"/>
      <c r="BT173" s="61"/>
      <c r="BU173" s="61"/>
      <c r="BV173" s="61"/>
      <c r="BW173" s="61"/>
      <c r="BX173" s="61"/>
      <c r="BY173" s="61"/>
      <c r="BZ173" s="61"/>
      <c r="CA173" s="61"/>
      <c r="CB173" s="61"/>
      <c r="CC173" s="61"/>
      <c r="CD173" s="61"/>
      <c r="CE173" s="61"/>
      <c r="CF173" s="61"/>
      <c r="CG173" s="61"/>
      <c r="CH173" s="61"/>
      <c r="CI173" s="61"/>
      <c r="CJ173" s="61"/>
      <c r="CK173" s="61"/>
      <c r="CL173" s="61"/>
      <c r="CM173" s="61"/>
      <c r="CN173" s="61"/>
      <c r="CO173" s="61"/>
      <c r="CP173" s="61"/>
      <c r="CQ173" s="61"/>
      <c r="CR173" s="61"/>
      <c r="CS173" s="61"/>
      <c r="CT173" s="61"/>
      <c r="CU173" s="61"/>
      <c r="CV173" s="61"/>
    </row>
    <row r="174" spans="1:100">
      <c r="A174" s="146">
        <v>32</v>
      </c>
      <c r="B174" s="141">
        <f ca="1">+RESUMEN!Y35</f>
        <v>0</v>
      </c>
      <c r="C174" s="141">
        <f ca="1">+RESUMEN!Z35</f>
        <v>0</v>
      </c>
      <c r="D174" s="142">
        <f t="shared" ca="1" si="171"/>
        <v>0</v>
      </c>
      <c r="E174" s="60"/>
      <c r="F174" s="313" t="s">
        <v>185</v>
      </c>
      <c r="G174" s="316">
        <v>3997.51</v>
      </c>
      <c r="H174" s="316">
        <v>4913.5600000000004</v>
      </c>
      <c r="I174" s="60"/>
      <c r="J174" s="161" t="s">
        <v>185</v>
      </c>
      <c r="K174" s="177">
        <v>264.29000000000002</v>
      </c>
      <c r="L174" s="61"/>
      <c r="M174" s="61"/>
      <c r="N174" s="61"/>
      <c r="O174" s="61"/>
      <c r="P174" s="61"/>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M174" s="61"/>
      <c r="AN174" s="61"/>
      <c r="AO174" s="61"/>
      <c r="AP174" s="61"/>
      <c r="AQ174" s="61"/>
      <c r="AR174" s="61"/>
      <c r="AS174" s="61"/>
      <c r="AT174" s="61"/>
      <c r="AU174" s="61"/>
      <c r="AV174" s="61"/>
      <c r="AW174" s="61"/>
      <c r="AX174" s="61"/>
      <c r="AY174" s="61"/>
      <c r="AZ174" s="61"/>
      <c r="BA174" s="61"/>
      <c r="BB174" s="61"/>
      <c r="BC174" s="61"/>
      <c r="BD174" s="61"/>
      <c r="BE174" s="61"/>
      <c r="BF174" s="61"/>
      <c r="BG174" s="61"/>
      <c r="BH174" s="61"/>
      <c r="BI174" s="61"/>
      <c r="BJ174" s="61"/>
      <c r="BK174" s="61"/>
      <c r="BL174" s="61"/>
      <c r="BM174" s="61"/>
      <c r="BN174" s="61"/>
      <c r="BO174" s="61"/>
      <c r="BP174" s="61"/>
      <c r="BQ174" s="61"/>
      <c r="BR174" s="61"/>
      <c r="BS174" s="61"/>
      <c r="BT174" s="61"/>
      <c r="BU174" s="61"/>
      <c r="BV174" s="61"/>
      <c r="BW174" s="61"/>
      <c r="BX174" s="61"/>
      <c r="BY174" s="61"/>
      <c r="BZ174" s="61"/>
      <c r="CA174" s="61"/>
      <c r="CB174" s="61"/>
      <c r="CC174" s="61"/>
      <c r="CD174" s="61"/>
      <c r="CE174" s="61"/>
      <c r="CF174" s="61"/>
      <c r="CG174" s="61"/>
      <c r="CH174" s="61"/>
      <c r="CI174" s="61"/>
      <c r="CJ174" s="61"/>
      <c r="CK174" s="61"/>
      <c r="CL174" s="61"/>
      <c r="CM174" s="61"/>
      <c r="CN174" s="61"/>
      <c r="CO174" s="61"/>
      <c r="CP174" s="61"/>
      <c r="CQ174" s="61"/>
      <c r="CR174" s="61"/>
      <c r="CS174" s="61"/>
      <c r="CT174" s="61"/>
      <c r="CU174" s="61"/>
      <c r="CV174" s="61"/>
    </row>
    <row r="175" spans="1:100">
      <c r="A175" s="146">
        <v>33</v>
      </c>
      <c r="B175" s="141">
        <f ca="1">+RESUMEN!Y36</f>
        <v>0</v>
      </c>
      <c r="C175" s="141">
        <f ca="1">+RESUMEN!Z36</f>
        <v>0</v>
      </c>
      <c r="D175" s="142">
        <f t="shared" ca="1" si="171"/>
        <v>0</v>
      </c>
      <c r="E175" s="60"/>
      <c r="F175" s="313" t="s">
        <v>186</v>
      </c>
      <c r="G175" s="316">
        <v>4259.78</v>
      </c>
      <c r="H175" s="316">
        <v>5067.1400000000003</v>
      </c>
      <c r="I175" s="60"/>
      <c r="J175" s="161" t="s">
        <v>186</v>
      </c>
      <c r="K175" s="177">
        <v>291.43</v>
      </c>
      <c r="L175" s="61"/>
      <c r="M175" s="61"/>
      <c r="N175" s="61"/>
      <c r="O175" s="61"/>
      <c r="P175" s="61"/>
      <c r="Q175" s="61"/>
      <c r="R175" s="61"/>
      <c r="S175" s="61"/>
      <c r="T175" s="61"/>
      <c r="U175" s="61"/>
      <c r="V175" s="61"/>
      <c r="W175" s="61"/>
      <c r="X175" s="61"/>
      <c r="Y175" s="61"/>
      <c r="Z175" s="61"/>
      <c r="AA175" s="61"/>
      <c r="AB175" s="61"/>
      <c r="AC175" s="61"/>
      <c r="AD175" s="61"/>
      <c r="AE175" s="61"/>
      <c r="AF175" s="61"/>
      <c r="AG175" s="61"/>
      <c r="AH175" s="61"/>
      <c r="AI175" s="61"/>
      <c r="AJ175" s="61"/>
      <c r="AK175" s="61"/>
      <c r="AL175" s="61"/>
      <c r="AM175" s="61"/>
      <c r="AN175" s="61"/>
      <c r="AO175" s="61"/>
      <c r="AP175" s="61"/>
      <c r="AQ175" s="61"/>
      <c r="AR175" s="61"/>
      <c r="AS175" s="61"/>
      <c r="AT175" s="61"/>
      <c r="AU175" s="61"/>
      <c r="AV175" s="61"/>
      <c r="AW175" s="61"/>
      <c r="AX175" s="61"/>
      <c r="AY175" s="61"/>
      <c r="AZ175" s="61"/>
      <c r="BA175" s="61"/>
      <c r="BB175" s="61"/>
      <c r="BC175" s="61"/>
      <c r="BD175" s="61"/>
      <c r="BE175" s="61"/>
      <c r="BF175" s="61"/>
      <c r="BG175" s="61"/>
      <c r="BH175" s="61"/>
      <c r="BI175" s="61"/>
      <c r="BJ175" s="61"/>
      <c r="BK175" s="61"/>
      <c r="BL175" s="61"/>
      <c r="BM175" s="61"/>
      <c r="BN175" s="61"/>
      <c r="BO175" s="61"/>
      <c r="BP175" s="61"/>
      <c r="BQ175" s="61"/>
      <c r="BR175" s="61"/>
      <c r="BS175" s="61"/>
      <c r="BT175" s="61"/>
      <c r="BU175" s="61"/>
      <c r="BV175" s="61"/>
      <c r="BW175" s="61"/>
      <c r="BX175" s="61"/>
      <c r="BY175" s="61"/>
      <c r="BZ175" s="61"/>
      <c r="CA175" s="61"/>
      <c r="CB175" s="61"/>
      <c r="CC175" s="61"/>
      <c r="CD175" s="61"/>
      <c r="CE175" s="61"/>
      <c r="CF175" s="61"/>
      <c r="CG175" s="61"/>
      <c r="CH175" s="61"/>
      <c r="CI175" s="61"/>
      <c r="CJ175" s="61"/>
      <c r="CK175" s="61"/>
      <c r="CL175" s="61"/>
      <c r="CM175" s="61"/>
      <c r="CN175" s="61"/>
      <c r="CO175" s="61"/>
      <c r="CP175" s="61"/>
      <c r="CQ175" s="61"/>
      <c r="CR175" s="61"/>
      <c r="CS175" s="61"/>
      <c r="CT175" s="61"/>
      <c r="CU175" s="61"/>
      <c r="CV175" s="61"/>
    </row>
    <row r="176" spans="1:100">
      <c r="A176" s="146">
        <v>34</v>
      </c>
      <c r="B176" s="141">
        <f ca="1">+RESUMEN!Y37</f>
        <v>0</v>
      </c>
      <c r="C176" s="141">
        <f ca="1">+RESUMEN!Z37</f>
        <v>0</v>
      </c>
      <c r="D176" s="142">
        <f t="shared" ca="1" si="171"/>
        <v>0</v>
      </c>
      <c r="E176" s="60"/>
      <c r="F176" s="313" t="s">
        <v>187</v>
      </c>
      <c r="G176" s="316">
        <v>4522.0600000000004</v>
      </c>
      <c r="H176" s="316">
        <v>5220.71</v>
      </c>
      <c r="I176" s="60"/>
      <c r="J176" s="161" t="s">
        <v>187</v>
      </c>
      <c r="K176" s="177">
        <v>321.95999999999998</v>
      </c>
      <c r="L176" s="61"/>
      <c r="M176" s="61"/>
      <c r="N176" s="61"/>
      <c r="O176" s="61"/>
      <c r="P176" s="61"/>
      <c r="Q176" s="61"/>
      <c r="R176" s="61"/>
      <c r="S176" s="61"/>
      <c r="T176" s="61"/>
      <c r="U176" s="61"/>
      <c r="V176" s="61"/>
      <c r="W176" s="61"/>
      <c r="X176" s="61"/>
      <c r="Y176" s="61"/>
      <c r="Z176" s="61"/>
      <c r="AA176" s="61"/>
      <c r="AB176" s="61"/>
      <c r="AC176" s="61"/>
      <c r="AD176" s="61"/>
      <c r="AE176" s="61"/>
      <c r="AF176" s="61"/>
      <c r="AG176" s="61"/>
      <c r="AH176" s="61"/>
      <c r="AI176" s="61"/>
      <c r="AJ176" s="61"/>
      <c r="AK176" s="61"/>
      <c r="AL176" s="61"/>
      <c r="AM176" s="61"/>
      <c r="AN176" s="61"/>
      <c r="AO176" s="61"/>
      <c r="AP176" s="61"/>
      <c r="AQ176" s="61"/>
      <c r="AR176" s="61"/>
      <c r="AS176" s="61"/>
      <c r="AT176" s="61"/>
      <c r="AU176" s="61"/>
      <c r="AV176" s="61"/>
      <c r="AW176" s="61"/>
      <c r="AX176" s="61"/>
      <c r="AY176" s="61"/>
      <c r="AZ176" s="61"/>
      <c r="BA176" s="61"/>
      <c r="BB176" s="61"/>
      <c r="BC176" s="61"/>
      <c r="BD176" s="61"/>
      <c r="BE176" s="61"/>
      <c r="BF176" s="61"/>
      <c r="BG176" s="61"/>
      <c r="BH176" s="61"/>
      <c r="BI176" s="61"/>
      <c r="BJ176" s="61"/>
      <c r="BK176" s="61"/>
      <c r="BL176" s="61"/>
      <c r="BM176" s="61"/>
      <c r="BN176" s="61"/>
      <c r="BO176" s="61"/>
      <c r="BP176" s="61"/>
      <c r="BQ176" s="61"/>
      <c r="BR176" s="61"/>
      <c r="BS176" s="61"/>
      <c r="BT176" s="61"/>
      <c r="BU176" s="61"/>
      <c r="BV176" s="61"/>
      <c r="BW176" s="61"/>
      <c r="BX176" s="61"/>
      <c r="BY176" s="61"/>
      <c r="BZ176" s="61"/>
      <c r="CA176" s="61"/>
      <c r="CB176" s="61"/>
      <c r="CC176" s="61"/>
      <c r="CD176" s="61"/>
      <c r="CE176" s="61"/>
      <c r="CF176" s="61"/>
      <c r="CG176" s="61"/>
      <c r="CH176" s="61"/>
      <c r="CI176" s="61"/>
      <c r="CJ176" s="61"/>
      <c r="CK176" s="61"/>
      <c r="CL176" s="61"/>
      <c r="CM176" s="61"/>
      <c r="CN176" s="61"/>
      <c r="CO176" s="61"/>
      <c r="CP176" s="61"/>
      <c r="CQ176" s="61"/>
      <c r="CR176" s="61"/>
      <c r="CS176" s="61"/>
      <c r="CT176" s="61"/>
      <c r="CU176" s="61"/>
      <c r="CV176" s="61"/>
    </row>
    <row r="177" spans="1:100">
      <c r="A177" s="146">
        <v>35</v>
      </c>
      <c r="B177" s="141">
        <f ca="1">+RESUMEN!Y38</f>
        <v>0</v>
      </c>
      <c r="C177" s="141">
        <f ca="1">+RESUMEN!Z38</f>
        <v>0</v>
      </c>
      <c r="D177" s="142">
        <f t="shared" ca="1" si="171"/>
        <v>0</v>
      </c>
      <c r="E177" s="60"/>
      <c r="F177" s="313" t="s">
        <v>188</v>
      </c>
      <c r="G177" s="316">
        <v>4796.26</v>
      </c>
      <c r="H177" s="316">
        <v>5676.69</v>
      </c>
      <c r="I177" s="60"/>
      <c r="J177" s="161" t="s">
        <v>188</v>
      </c>
      <c r="K177" s="177">
        <v>356.32</v>
      </c>
      <c r="L177" s="61"/>
      <c r="M177" s="61"/>
      <c r="N177" s="61"/>
      <c r="O177" s="61"/>
      <c r="P177" s="61"/>
      <c r="Q177" s="61"/>
      <c r="R177" s="61"/>
      <c r="S177" s="61"/>
      <c r="T177" s="61"/>
      <c r="U177" s="61"/>
      <c r="V177" s="61"/>
      <c r="W177" s="61"/>
      <c r="X177" s="61"/>
      <c r="Y177" s="61"/>
      <c r="Z177" s="61"/>
      <c r="AA177" s="61"/>
      <c r="AB177" s="61"/>
      <c r="AC177" s="61"/>
      <c r="AD177" s="61"/>
      <c r="AE177" s="61"/>
      <c r="AF177" s="61"/>
      <c r="AG177" s="61"/>
      <c r="AH177" s="61"/>
      <c r="AI177" s="61"/>
      <c r="AJ177" s="61"/>
      <c r="AK177" s="61"/>
      <c r="AL177" s="61"/>
      <c r="AM177" s="61"/>
      <c r="AN177" s="61"/>
      <c r="AO177" s="61"/>
      <c r="AP177" s="61"/>
      <c r="AQ177" s="61"/>
      <c r="AR177" s="61"/>
      <c r="AS177" s="61"/>
      <c r="AT177" s="61"/>
      <c r="AU177" s="61"/>
      <c r="AV177" s="61"/>
      <c r="AW177" s="61"/>
      <c r="AX177" s="61"/>
      <c r="AY177" s="61"/>
      <c r="AZ177" s="61"/>
      <c r="BA177" s="61"/>
      <c r="BB177" s="61"/>
      <c r="BC177" s="61"/>
      <c r="BD177" s="61"/>
      <c r="BE177" s="61"/>
      <c r="BF177" s="61"/>
      <c r="BG177" s="61"/>
      <c r="BH177" s="61"/>
      <c r="BI177" s="61"/>
      <c r="BJ177" s="61"/>
      <c r="BK177" s="61"/>
      <c r="BL177" s="61"/>
      <c r="BM177" s="61"/>
      <c r="BN177" s="61"/>
      <c r="BO177" s="61"/>
      <c r="BP177" s="61"/>
      <c r="BQ177" s="61"/>
      <c r="BR177" s="61"/>
      <c r="BS177" s="61"/>
      <c r="BT177" s="61"/>
      <c r="BU177" s="61"/>
      <c r="BV177" s="61"/>
      <c r="BW177" s="61"/>
      <c r="BX177" s="61"/>
      <c r="BY177" s="61"/>
      <c r="BZ177" s="61"/>
      <c r="CA177" s="61"/>
      <c r="CB177" s="61"/>
      <c r="CC177" s="61"/>
      <c r="CD177" s="61"/>
      <c r="CE177" s="61"/>
      <c r="CF177" s="61"/>
      <c r="CG177" s="61"/>
      <c r="CH177" s="61"/>
      <c r="CI177" s="61"/>
      <c r="CJ177" s="61"/>
      <c r="CK177" s="61"/>
      <c r="CL177" s="61"/>
      <c r="CM177" s="61"/>
      <c r="CN177" s="61"/>
      <c r="CO177" s="61"/>
      <c r="CP177" s="61"/>
      <c r="CQ177" s="61"/>
      <c r="CR177" s="61"/>
      <c r="CS177" s="61"/>
      <c r="CT177" s="61"/>
      <c r="CU177" s="61"/>
      <c r="CV177" s="61"/>
    </row>
    <row r="178" spans="1:100">
      <c r="A178" s="146">
        <v>36</v>
      </c>
      <c r="B178" s="141">
        <f ca="1">+RESUMEN!Y39</f>
        <v>0</v>
      </c>
      <c r="C178" s="141">
        <f ca="1">+RESUMEN!Z39</f>
        <v>0</v>
      </c>
      <c r="D178" s="142">
        <f t="shared" ca="1" si="171"/>
        <v>0</v>
      </c>
      <c r="E178" s="60"/>
      <c r="F178" s="313" t="s">
        <v>189</v>
      </c>
      <c r="G178" s="316">
        <v>5070.46</v>
      </c>
      <c r="H178" s="316">
        <v>6132.67</v>
      </c>
      <c r="I178" s="60"/>
      <c r="J178" s="161" t="s">
        <v>189</v>
      </c>
      <c r="K178" s="177">
        <v>395.04</v>
      </c>
      <c r="L178" s="61"/>
      <c r="M178" s="61"/>
      <c r="N178" s="61"/>
      <c r="O178" s="61"/>
      <c r="P178" s="61"/>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M178" s="61"/>
      <c r="AN178" s="61"/>
      <c r="AO178" s="61"/>
      <c r="AP178" s="61"/>
      <c r="AQ178" s="61"/>
      <c r="AR178" s="61"/>
      <c r="AS178" s="61"/>
      <c r="AT178" s="61"/>
      <c r="AU178" s="61"/>
      <c r="AV178" s="61"/>
      <c r="AW178" s="61"/>
      <c r="AX178" s="61"/>
      <c r="AY178" s="61"/>
      <c r="AZ178" s="61"/>
      <c r="BA178" s="61"/>
      <c r="BB178" s="61"/>
      <c r="BC178" s="61"/>
      <c r="BD178" s="61"/>
      <c r="BE178" s="61"/>
      <c r="BF178" s="61"/>
      <c r="BG178" s="61"/>
      <c r="BH178" s="61"/>
      <c r="BI178" s="61"/>
      <c r="BJ178" s="61"/>
      <c r="BK178" s="61"/>
      <c r="BL178" s="61"/>
      <c r="BM178" s="61"/>
      <c r="BN178" s="61"/>
      <c r="BO178" s="61"/>
      <c r="BP178" s="61"/>
      <c r="BQ178" s="61"/>
      <c r="BR178" s="61"/>
      <c r="BS178" s="61"/>
      <c r="BT178" s="61"/>
      <c r="BU178" s="61"/>
      <c r="BV178" s="61"/>
      <c r="BW178" s="61"/>
      <c r="BX178" s="61"/>
      <c r="BY178" s="61"/>
      <c r="BZ178" s="61"/>
      <c r="CA178" s="61"/>
      <c r="CB178" s="61"/>
      <c r="CC178" s="61"/>
      <c r="CD178" s="61"/>
      <c r="CE178" s="61"/>
      <c r="CF178" s="61"/>
      <c r="CG178" s="61"/>
      <c r="CH178" s="61"/>
      <c r="CI178" s="61"/>
      <c r="CJ178" s="61"/>
      <c r="CK178" s="61"/>
      <c r="CL178" s="61"/>
      <c r="CM178" s="61"/>
      <c r="CN178" s="61"/>
      <c r="CO178" s="61"/>
      <c r="CP178" s="61"/>
      <c r="CQ178" s="61"/>
      <c r="CR178" s="61"/>
      <c r="CS178" s="61"/>
      <c r="CT178" s="61"/>
      <c r="CU178" s="61"/>
      <c r="CV178" s="61"/>
    </row>
    <row r="179" spans="1:100">
      <c r="A179" s="146">
        <v>37</v>
      </c>
      <c r="B179" s="141">
        <f ca="1">+RESUMEN!Y40</f>
        <v>0</v>
      </c>
      <c r="C179" s="141">
        <f ca="1">+RESUMEN!Z40</f>
        <v>0</v>
      </c>
      <c r="D179" s="142">
        <f t="shared" ca="1" si="171"/>
        <v>0</v>
      </c>
      <c r="E179" s="60"/>
      <c r="F179" s="313" t="s">
        <v>190</v>
      </c>
      <c r="G179" s="316">
        <v>5344.66</v>
      </c>
      <c r="H179" s="316">
        <v>6588.66</v>
      </c>
      <c r="I179" s="60"/>
      <c r="J179" s="161" t="s">
        <v>190</v>
      </c>
      <c r="K179" s="177">
        <v>438.75</v>
      </c>
      <c r="L179" s="61"/>
      <c r="M179" s="61"/>
      <c r="N179" s="61"/>
      <c r="O179" s="61"/>
      <c r="P179" s="61"/>
      <c r="Q179" s="61"/>
      <c r="R179" s="61"/>
      <c r="S179" s="61"/>
      <c r="T179" s="61"/>
      <c r="U179" s="61"/>
      <c r="V179" s="61"/>
      <c r="W179" s="61"/>
      <c r="X179" s="61"/>
      <c r="Y179" s="61"/>
      <c r="Z179" s="61"/>
      <c r="AA179" s="61"/>
      <c r="AB179" s="61"/>
      <c r="AC179" s="61"/>
      <c r="AD179" s="61"/>
      <c r="AE179" s="61"/>
      <c r="AF179" s="61"/>
      <c r="AG179" s="61"/>
      <c r="AH179" s="61"/>
      <c r="AI179" s="61"/>
      <c r="AJ179" s="61"/>
      <c r="AK179" s="61"/>
      <c r="AL179" s="61"/>
      <c r="AM179" s="61"/>
      <c r="AN179" s="61"/>
      <c r="AO179" s="61"/>
      <c r="AP179" s="61"/>
      <c r="AQ179" s="61"/>
      <c r="AR179" s="61"/>
      <c r="AS179" s="61"/>
      <c r="AT179" s="61"/>
      <c r="AU179" s="61"/>
      <c r="AV179" s="61"/>
      <c r="AW179" s="61"/>
      <c r="AX179" s="61"/>
      <c r="AY179" s="61"/>
      <c r="AZ179" s="61"/>
      <c r="BA179" s="61"/>
      <c r="BB179" s="61"/>
      <c r="BC179" s="61"/>
      <c r="BD179" s="61"/>
      <c r="BE179" s="61"/>
      <c r="BF179" s="61"/>
      <c r="BG179" s="61"/>
      <c r="BH179" s="61"/>
      <c r="BI179" s="61"/>
      <c r="BJ179" s="61"/>
      <c r="BK179" s="61"/>
      <c r="BL179" s="61"/>
      <c r="BM179" s="61"/>
      <c r="BN179" s="61"/>
      <c r="BO179" s="61"/>
      <c r="BP179" s="61"/>
      <c r="BQ179" s="61"/>
      <c r="BR179" s="61"/>
      <c r="BS179" s="61"/>
      <c r="BT179" s="61"/>
      <c r="BU179" s="61"/>
      <c r="BV179" s="61"/>
      <c r="BW179" s="61"/>
      <c r="BX179" s="61"/>
      <c r="BY179" s="61"/>
      <c r="BZ179" s="61"/>
      <c r="CA179" s="61"/>
      <c r="CB179" s="61"/>
      <c r="CC179" s="61"/>
      <c r="CD179" s="61"/>
      <c r="CE179" s="61"/>
      <c r="CF179" s="61"/>
      <c r="CG179" s="61"/>
      <c r="CH179" s="61"/>
      <c r="CI179" s="61"/>
      <c r="CJ179" s="61"/>
      <c r="CK179" s="61"/>
      <c r="CL179" s="61"/>
      <c r="CM179" s="61"/>
      <c r="CN179" s="61"/>
      <c r="CO179" s="61"/>
      <c r="CP179" s="61"/>
      <c r="CQ179" s="61"/>
      <c r="CR179" s="61"/>
      <c r="CS179" s="61"/>
      <c r="CT179" s="61"/>
      <c r="CU179" s="61"/>
      <c r="CV179" s="61"/>
    </row>
    <row r="180" spans="1:100">
      <c r="A180" s="146">
        <v>38</v>
      </c>
      <c r="B180" s="141">
        <f ca="1">+RESUMEN!Y41</f>
        <v>0</v>
      </c>
      <c r="C180" s="141">
        <f ca="1">+RESUMEN!Z41</f>
        <v>0</v>
      </c>
      <c r="D180" s="142">
        <f t="shared" ca="1" si="171"/>
        <v>0</v>
      </c>
      <c r="E180" s="60"/>
      <c r="F180" s="313" t="s">
        <v>191</v>
      </c>
      <c r="G180" s="316">
        <v>5618.86</v>
      </c>
      <c r="H180" s="316">
        <v>7044.64</v>
      </c>
      <c r="I180" s="60"/>
      <c r="J180" s="161" t="s">
        <v>191</v>
      </c>
      <c r="K180" s="177">
        <v>488.14</v>
      </c>
      <c r="L180" s="61"/>
      <c r="M180" s="61"/>
      <c r="N180" s="61"/>
      <c r="O180" s="61"/>
      <c r="P180" s="61"/>
      <c r="Q180" s="61"/>
      <c r="R180" s="61"/>
      <c r="S180" s="61"/>
      <c r="T180" s="61"/>
      <c r="U180" s="61"/>
      <c r="V180" s="61"/>
      <c r="W180" s="61"/>
      <c r="X180" s="61"/>
      <c r="Y180" s="61"/>
      <c r="Z180" s="61"/>
      <c r="AA180" s="61"/>
      <c r="AB180" s="61"/>
      <c r="AC180" s="61"/>
      <c r="AD180" s="61"/>
      <c r="AE180" s="61"/>
      <c r="AF180" s="61"/>
      <c r="AG180" s="61"/>
      <c r="AH180" s="61"/>
      <c r="AI180" s="61"/>
      <c r="AJ180" s="61"/>
      <c r="AK180" s="61"/>
      <c r="AL180" s="61"/>
      <c r="AM180" s="61"/>
      <c r="AN180" s="61"/>
      <c r="AO180" s="61"/>
      <c r="AP180" s="61"/>
      <c r="AQ180" s="61"/>
      <c r="AR180" s="61"/>
      <c r="AS180" s="61"/>
      <c r="AT180" s="61"/>
      <c r="AU180" s="61"/>
      <c r="AV180" s="61"/>
      <c r="AW180" s="61"/>
      <c r="AX180" s="61"/>
      <c r="AY180" s="61"/>
      <c r="AZ180" s="61"/>
      <c r="BA180" s="61"/>
      <c r="BB180" s="61"/>
      <c r="BC180" s="61"/>
      <c r="BD180" s="61"/>
      <c r="BE180" s="61"/>
      <c r="BF180" s="61"/>
      <c r="BG180" s="61"/>
      <c r="BH180" s="61"/>
      <c r="BI180" s="61"/>
      <c r="BJ180" s="61"/>
      <c r="BK180" s="61"/>
      <c r="BL180" s="61"/>
      <c r="BM180" s="61"/>
      <c r="BN180" s="61"/>
      <c r="BO180" s="61"/>
      <c r="BP180" s="61"/>
      <c r="BQ180" s="61"/>
      <c r="BR180" s="61"/>
      <c r="BS180" s="61"/>
      <c r="BT180" s="61"/>
      <c r="BU180" s="61"/>
      <c r="BV180" s="61"/>
      <c r="BW180" s="61"/>
      <c r="BX180" s="61"/>
      <c r="BY180" s="61"/>
      <c r="BZ180" s="61"/>
      <c r="CA180" s="61"/>
      <c r="CB180" s="61"/>
      <c r="CC180" s="61"/>
      <c r="CD180" s="61"/>
      <c r="CE180" s="61"/>
      <c r="CF180" s="61"/>
      <c r="CG180" s="61"/>
      <c r="CH180" s="61"/>
      <c r="CI180" s="61"/>
      <c r="CJ180" s="61"/>
      <c r="CK180" s="61"/>
      <c r="CL180" s="61"/>
      <c r="CM180" s="61"/>
      <c r="CN180" s="61"/>
      <c r="CO180" s="61"/>
      <c r="CP180" s="61"/>
      <c r="CQ180" s="61"/>
      <c r="CR180" s="61"/>
      <c r="CS180" s="61"/>
      <c r="CT180" s="61"/>
      <c r="CU180" s="61"/>
      <c r="CV180" s="61"/>
    </row>
    <row r="181" spans="1:100">
      <c r="A181" s="146">
        <v>39</v>
      </c>
      <c r="B181" s="141">
        <f ca="1">+RESUMEN!Y42</f>
        <v>0</v>
      </c>
      <c r="C181" s="141">
        <f ca="1">+RESUMEN!Z42</f>
        <v>0</v>
      </c>
      <c r="D181" s="142">
        <f t="shared" ca="1" si="171"/>
        <v>0</v>
      </c>
      <c r="E181" s="60"/>
      <c r="F181" s="313" t="s">
        <v>192</v>
      </c>
      <c r="G181" s="316">
        <v>5893.05</v>
      </c>
      <c r="H181" s="316">
        <v>7500.62</v>
      </c>
      <c r="I181" s="60"/>
      <c r="J181" s="161" t="s">
        <v>192</v>
      </c>
      <c r="K181" s="177">
        <v>544.11</v>
      </c>
      <c r="L181" s="61"/>
      <c r="M181" s="61"/>
      <c r="N181" s="61"/>
      <c r="O181" s="61"/>
      <c r="P181" s="61"/>
      <c r="Q181" s="61"/>
      <c r="R181" s="61"/>
      <c r="S181" s="61"/>
      <c r="T181" s="61"/>
      <c r="U181" s="61"/>
      <c r="V181" s="61"/>
      <c r="W181" s="61"/>
      <c r="X181" s="61"/>
      <c r="Y181" s="61"/>
      <c r="Z181" s="61"/>
      <c r="AA181" s="61"/>
      <c r="AB181" s="61"/>
      <c r="AC181" s="61"/>
      <c r="AD181" s="61"/>
      <c r="AE181" s="61"/>
      <c r="AF181" s="61"/>
      <c r="AG181" s="61"/>
      <c r="AH181" s="61"/>
      <c r="AI181" s="61"/>
      <c r="AJ181" s="61"/>
      <c r="AK181" s="61"/>
      <c r="AL181" s="61"/>
      <c r="AM181" s="61"/>
      <c r="AN181" s="61"/>
      <c r="AO181" s="61"/>
      <c r="AP181" s="61"/>
      <c r="AQ181" s="61"/>
      <c r="AR181" s="61"/>
      <c r="AS181" s="61"/>
      <c r="AT181" s="61"/>
      <c r="AU181" s="61"/>
      <c r="AV181" s="61"/>
      <c r="AW181" s="61"/>
      <c r="AX181" s="61"/>
      <c r="AY181" s="61"/>
      <c r="AZ181" s="61"/>
      <c r="BA181" s="61"/>
      <c r="BB181" s="61"/>
      <c r="BC181" s="61"/>
      <c r="BD181" s="61"/>
      <c r="BE181" s="61"/>
      <c r="BF181" s="61"/>
      <c r="BG181" s="61"/>
      <c r="BH181" s="61"/>
      <c r="BI181" s="61"/>
      <c r="BJ181" s="61"/>
      <c r="BK181" s="61"/>
      <c r="BL181" s="61"/>
      <c r="BM181" s="61"/>
      <c r="BN181" s="61"/>
      <c r="BO181" s="61"/>
      <c r="BP181" s="61"/>
      <c r="BQ181" s="61"/>
      <c r="BR181" s="61"/>
      <c r="BS181" s="61"/>
      <c r="BT181" s="61"/>
      <c r="BU181" s="61"/>
      <c r="BV181" s="61"/>
      <c r="BW181" s="61"/>
      <c r="BX181" s="61"/>
      <c r="BY181" s="61"/>
      <c r="BZ181" s="61"/>
      <c r="CA181" s="61"/>
      <c r="CB181" s="61"/>
      <c r="CC181" s="61"/>
      <c r="CD181" s="61"/>
      <c r="CE181" s="61"/>
      <c r="CF181" s="61"/>
      <c r="CG181" s="61"/>
      <c r="CH181" s="61"/>
      <c r="CI181" s="61"/>
      <c r="CJ181" s="61"/>
      <c r="CK181" s="61"/>
      <c r="CL181" s="61"/>
      <c r="CM181" s="61"/>
      <c r="CN181" s="61"/>
      <c r="CO181" s="61"/>
      <c r="CP181" s="61"/>
      <c r="CQ181" s="61"/>
      <c r="CR181" s="61"/>
      <c r="CS181" s="61"/>
      <c r="CT181" s="61"/>
      <c r="CU181" s="61"/>
      <c r="CV181" s="61"/>
    </row>
    <row r="182" spans="1:100">
      <c r="A182" s="146">
        <v>40</v>
      </c>
      <c r="B182" s="141">
        <f ca="1">+RESUMEN!Y43</f>
        <v>0</v>
      </c>
      <c r="C182" s="141">
        <f ca="1">+RESUMEN!Z43</f>
        <v>0</v>
      </c>
      <c r="D182" s="142">
        <f t="shared" ca="1" si="171"/>
        <v>0</v>
      </c>
      <c r="E182" s="60"/>
      <c r="F182" s="313" t="s">
        <v>193</v>
      </c>
      <c r="G182" s="316">
        <v>6161.29</v>
      </c>
      <c r="H182" s="316">
        <v>7855.9</v>
      </c>
      <c r="I182" s="60"/>
      <c r="J182" s="161" t="s">
        <v>193</v>
      </c>
      <c r="K182" s="177">
        <v>607.46</v>
      </c>
      <c r="L182" s="61"/>
      <c r="M182" s="61"/>
      <c r="N182" s="61"/>
      <c r="O182" s="61"/>
      <c r="P182" s="61"/>
      <c r="Q182" s="61"/>
      <c r="R182" s="61"/>
      <c r="S182" s="61"/>
      <c r="T182" s="61"/>
      <c r="U182" s="61"/>
      <c r="V182" s="61"/>
      <c r="W182" s="61"/>
      <c r="X182" s="61"/>
      <c r="Y182" s="61"/>
      <c r="Z182" s="61"/>
      <c r="AA182" s="61"/>
      <c r="AB182" s="61"/>
      <c r="AC182" s="61"/>
      <c r="AD182" s="61"/>
      <c r="AE182" s="61"/>
      <c r="AF182" s="61"/>
      <c r="AG182" s="61"/>
      <c r="AH182" s="61"/>
      <c r="AI182" s="61"/>
      <c r="AJ182" s="61"/>
      <c r="AK182" s="61"/>
      <c r="AL182" s="61"/>
      <c r="AM182" s="61"/>
      <c r="AN182" s="61"/>
      <c r="AO182" s="61"/>
      <c r="AP182" s="61"/>
      <c r="AQ182" s="61"/>
      <c r="AR182" s="61"/>
      <c r="AS182" s="61"/>
      <c r="AT182" s="61"/>
      <c r="AU182" s="61"/>
      <c r="AV182" s="61"/>
      <c r="AW182" s="61"/>
      <c r="AX182" s="61"/>
      <c r="AY182" s="61"/>
      <c r="AZ182" s="61"/>
      <c r="BA182" s="61"/>
      <c r="BB182" s="61"/>
      <c r="BC182" s="61"/>
      <c r="BD182" s="61"/>
      <c r="BE182" s="61"/>
      <c r="BF182" s="61"/>
      <c r="BG182" s="61"/>
      <c r="BH182" s="61"/>
      <c r="BI182" s="61"/>
      <c r="BJ182" s="61"/>
      <c r="BK182" s="61"/>
      <c r="BL182" s="61"/>
      <c r="BM182" s="61"/>
      <c r="BN182" s="61"/>
      <c r="BO182" s="61"/>
      <c r="BP182" s="61"/>
      <c r="BQ182" s="61"/>
      <c r="BR182" s="61"/>
      <c r="BS182" s="61"/>
      <c r="BT182" s="61"/>
      <c r="BU182" s="61"/>
      <c r="BV182" s="61"/>
      <c r="BW182" s="61"/>
      <c r="BX182" s="61"/>
      <c r="BY182" s="61"/>
      <c r="BZ182" s="61"/>
      <c r="CA182" s="61"/>
      <c r="CB182" s="61"/>
      <c r="CC182" s="61"/>
      <c r="CD182" s="61"/>
      <c r="CE182" s="61"/>
      <c r="CF182" s="61"/>
      <c r="CG182" s="61"/>
      <c r="CH182" s="61"/>
      <c r="CI182" s="61"/>
      <c r="CJ182" s="61"/>
      <c r="CK182" s="61"/>
      <c r="CL182" s="61"/>
      <c r="CM182" s="61"/>
      <c r="CN182" s="61"/>
      <c r="CO182" s="61"/>
      <c r="CP182" s="61"/>
      <c r="CQ182" s="61"/>
      <c r="CR182" s="61"/>
      <c r="CS182" s="61"/>
      <c r="CT182" s="61"/>
      <c r="CU182" s="61"/>
      <c r="CV182" s="61"/>
    </row>
    <row r="183" spans="1:100">
      <c r="A183" s="146">
        <v>41</v>
      </c>
      <c r="B183" s="141">
        <f ca="1">+RESUMEN!Y44</f>
        <v>0</v>
      </c>
      <c r="C183" s="141">
        <f ca="1">+RESUMEN!Z44</f>
        <v>0</v>
      </c>
      <c r="D183" s="142">
        <f t="shared" ca="1" si="171"/>
        <v>0</v>
      </c>
      <c r="E183" s="60"/>
      <c r="F183" s="313" t="s">
        <v>194</v>
      </c>
      <c r="G183" s="316">
        <v>6429.53</v>
      </c>
      <c r="H183" s="316">
        <v>8211.19</v>
      </c>
      <c r="I183" s="60"/>
      <c r="J183" s="161" t="s">
        <v>194</v>
      </c>
      <c r="K183" s="177">
        <v>679.43</v>
      </c>
      <c r="L183" s="61"/>
      <c r="M183" s="61"/>
      <c r="N183" s="61"/>
      <c r="O183" s="61"/>
      <c r="P183" s="61"/>
      <c r="Q183" s="61"/>
      <c r="R183" s="61"/>
      <c r="S183" s="61"/>
      <c r="T183" s="61"/>
      <c r="U183" s="61"/>
      <c r="V183" s="61"/>
      <c r="W183" s="61"/>
      <c r="X183" s="61"/>
      <c r="Y183" s="61"/>
      <c r="Z183" s="61"/>
      <c r="AA183" s="61"/>
      <c r="AB183" s="61"/>
      <c r="AC183" s="61"/>
      <c r="AD183" s="61"/>
      <c r="AE183" s="61"/>
      <c r="AF183" s="61"/>
      <c r="AG183" s="61"/>
      <c r="AH183" s="61"/>
      <c r="AI183" s="61"/>
      <c r="AJ183" s="61"/>
      <c r="AK183" s="61"/>
      <c r="AL183" s="61"/>
      <c r="AM183" s="61"/>
      <c r="AN183" s="61"/>
      <c r="AO183" s="61"/>
      <c r="AP183" s="61"/>
      <c r="AQ183" s="61"/>
      <c r="AR183" s="61"/>
      <c r="AS183" s="61"/>
      <c r="AT183" s="61"/>
      <c r="AU183" s="61"/>
      <c r="AV183" s="61"/>
      <c r="AW183" s="61"/>
      <c r="AX183" s="61"/>
      <c r="AY183" s="61"/>
      <c r="AZ183" s="61"/>
      <c r="BA183" s="61"/>
      <c r="BB183" s="61"/>
      <c r="BC183" s="61"/>
      <c r="BD183" s="61"/>
      <c r="BE183" s="61"/>
      <c r="BF183" s="61"/>
      <c r="BG183" s="61"/>
      <c r="BH183" s="61"/>
      <c r="BI183" s="61"/>
      <c r="BJ183" s="61"/>
      <c r="BK183" s="61"/>
      <c r="BL183" s="61"/>
      <c r="BM183" s="61"/>
      <c r="BN183" s="61"/>
      <c r="BO183" s="61"/>
      <c r="BP183" s="61"/>
      <c r="BQ183" s="61"/>
      <c r="BR183" s="61"/>
      <c r="BS183" s="61"/>
      <c r="BT183" s="61"/>
      <c r="BU183" s="61"/>
      <c r="BV183" s="61"/>
      <c r="BW183" s="61"/>
      <c r="BX183" s="61"/>
      <c r="BY183" s="61"/>
      <c r="BZ183" s="61"/>
      <c r="CA183" s="61"/>
      <c r="CB183" s="61"/>
      <c r="CC183" s="61"/>
      <c r="CD183" s="61"/>
      <c r="CE183" s="61"/>
      <c r="CF183" s="61"/>
      <c r="CG183" s="61"/>
      <c r="CH183" s="61"/>
      <c r="CI183" s="61"/>
      <c r="CJ183" s="61"/>
      <c r="CK183" s="61"/>
      <c r="CL183" s="61"/>
      <c r="CM183" s="61"/>
      <c r="CN183" s="61"/>
      <c r="CO183" s="61"/>
      <c r="CP183" s="61"/>
      <c r="CQ183" s="61"/>
      <c r="CR183" s="61"/>
      <c r="CS183" s="61"/>
      <c r="CT183" s="61"/>
      <c r="CU183" s="61"/>
      <c r="CV183" s="61"/>
    </row>
    <row r="184" spans="1:100">
      <c r="A184" s="146">
        <v>42</v>
      </c>
      <c r="B184" s="141">
        <f ca="1">+RESUMEN!Y45</f>
        <v>0</v>
      </c>
      <c r="C184" s="141">
        <f ca="1">+RESUMEN!Z45</f>
        <v>0</v>
      </c>
      <c r="D184" s="142">
        <f t="shared" ca="1" si="171"/>
        <v>0</v>
      </c>
      <c r="E184" s="60"/>
      <c r="F184" s="313" t="s">
        <v>195</v>
      </c>
      <c r="G184" s="316">
        <v>6697.77</v>
      </c>
      <c r="H184" s="316">
        <v>8566.4699999999993</v>
      </c>
      <c r="I184" s="60"/>
      <c r="J184" s="161" t="s">
        <v>195</v>
      </c>
      <c r="K184" s="177">
        <v>761.14</v>
      </c>
      <c r="L184" s="61"/>
      <c r="M184" s="61"/>
      <c r="N184" s="61"/>
      <c r="O184" s="61"/>
      <c r="P184" s="61"/>
      <c r="Q184" s="61"/>
      <c r="R184" s="61"/>
      <c r="S184" s="61"/>
      <c r="T184" s="61"/>
      <c r="U184" s="61"/>
      <c r="V184" s="61"/>
      <c r="W184" s="61"/>
      <c r="X184" s="61"/>
      <c r="Y184" s="61"/>
      <c r="Z184" s="61"/>
      <c r="AA184" s="61"/>
      <c r="AB184" s="61"/>
      <c r="AC184" s="61"/>
      <c r="AD184" s="61"/>
      <c r="AE184" s="61"/>
      <c r="AF184" s="61"/>
      <c r="AG184" s="61"/>
      <c r="AH184" s="61"/>
      <c r="AI184" s="61"/>
      <c r="AJ184" s="61"/>
      <c r="AK184" s="61"/>
      <c r="AL184" s="61"/>
      <c r="AM184" s="61"/>
      <c r="AN184" s="61"/>
      <c r="AO184" s="61"/>
      <c r="AP184" s="61"/>
      <c r="AQ184" s="61"/>
      <c r="AR184" s="61"/>
      <c r="AS184" s="61"/>
      <c r="AT184" s="61"/>
      <c r="AU184" s="61"/>
      <c r="AV184" s="61"/>
      <c r="AW184" s="61"/>
      <c r="AX184" s="61"/>
      <c r="AY184" s="61"/>
      <c r="AZ184" s="61"/>
      <c r="BA184" s="61"/>
      <c r="BB184" s="61"/>
      <c r="BC184" s="61"/>
      <c r="BD184" s="61"/>
      <c r="BE184" s="61"/>
      <c r="BF184" s="61"/>
      <c r="BG184" s="61"/>
      <c r="BH184" s="61"/>
      <c r="BI184" s="61"/>
      <c r="BJ184" s="61"/>
      <c r="BK184" s="61"/>
      <c r="BL184" s="61"/>
      <c r="BM184" s="61"/>
      <c r="BN184" s="61"/>
      <c r="BO184" s="61"/>
      <c r="BP184" s="61"/>
      <c r="BQ184" s="61"/>
      <c r="BR184" s="61"/>
      <c r="BS184" s="61"/>
      <c r="BT184" s="61"/>
      <c r="BU184" s="61"/>
      <c r="BV184" s="61"/>
      <c r="BW184" s="61"/>
      <c r="BX184" s="61"/>
      <c r="BY184" s="61"/>
      <c r="BZ184" s="61"/>
      <c r="CA184" s="61"/>
      <c r="CB184" s="61"/>
      <c r="CC184" s="61"/>
      <c r="CD184" s="61"/>
      <c r="CE184" s="61"/>
      <c r="CF184" s="61"/>
      <c r="CG184" s="61"/>
      <c r="CH184" s="61"/>
      <c r="CI184" s="61"/>
      <c r="CJ184" s="61"/>
      <c r="CK184" s="61"/>
      <c r="CL184" s="61"/>
      <c r="CM184" s="61"/>
      <c r="CN184" s="61"/>
      <c r="CO184" s="61"/>
      <c r="CP184" s="61"/>
      <c r="CQ184" s="61"/>
      <c r="CR184" s="61"/>
      <c r="CS184" s="61"/>
      <c r="CT184" s="61"/>
      <c r="CU184" s="61"/>
      <c r="CV184" s="61"/>
    </row>
    <row r="185" spans="1:100">
      <c r="A185" s="146">
        <v>43</v>
      </c>
      <c r="B185" s="141">
        <f ca="1">+RESUMEN!Y46</f>
        <v>0</v>
      </c>
      <c r="C185" s="141">
        <f ca="1">+RESUMEN!Z46</f>
        <v>0</v>
      </c>
      <c r="D185" s="142">
        <f t="shared" ca="1" si="171"/>
        <v>0</v>
      </c>
      <c r="E185" s="60"/>
      <c r="F185" s="313" t="s">
        <v>196</v>
      </c>
      <c r="G185" s="316">
        <v>6966</v>
      </c>
      <c r="H185" s="316">
        <v>8921.76</v>
      </c>
      <c r="I185" s="60"/>
      <c r="J185" s="161" t="s">
        <v>196</v>
      </c>
      <c r="K185" s="177">
        <v>854.11</v>
      </c>
      <c r="L185" s="61"/>
      <c r="M185" s="61"/>
      <c r="N185" s="61"/>
      <c r="O185" s="61"/>
      <c r="P185" s="61"/>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M185" s="61"/>
      <c r="AN185" s="61"/>
      <c r="AO185" s="61"/>
      <c r="AP185" s="61"/>
      <c r="AQ185" s="61"/>
      <c r="AR185" s="61"/>
      <c r="AS185" s="61"/>
      <c r="AT185" s="61"/>
      <c r="AU185" s="61"/>
      <c r="AV185" s="61"/>
      <c r="AW185" s="61"/>
      <c r="AX185" s="61"/>
      <c r="AY185" s="61"/>
      <c r="AZ185" s="61"/>
      <c r="BA185" s="61"/>
      <c r="BB185" s="61"/>
      <c r="BC185" s="61"/>
      <c r="BD185" s="61"/>
      <c r="BE185" s="61"/>
      <c r="BF185" s="61"/>
      <c r="BG185" s="61"/>
      <c r="BH185" s="61"/>
      <c r="BI185" s="61"/>
      <c r="BJ185" s="61"/>
      <c r="BK185" s="61"/>
      <c r="BL185" s="61"/>
      <c r="BM185" s="61"/>
      <c r="BN185" s="61"/>
      <c r="BO185" s="61"/>
      <c r="BP185" s="61"/>
      <c r="BQ185" s="61"/>
      <c r="BR185" s="61"/>
      <c r="BS185" s="61"/>
      <c r="BT185" s="61"/>
      <c r="BU185" s="61"/>
      <c r="BV185" s="61"/>
      <c r="BW185" s="61"/>
      <c r="BX185" s="61"/>
      <c r="BY185" s="61"/>
      <c r="BZ185" s="61"/>
      <c r="CA185" s="61"/>
      <c r="CB185" s="61"/>
      <c r="CC185" s="61"/>
      <c r="CD185" s="61"/>
      <c r="CE185" s="61"/>
      <c r="CF185" s="61"/>
      <c r="CG185" s="61"/>
      <c r="CH185" s="61"/>
      <c r="CI185" s="61"/>
      <c r="CJ185" s="61"/>
      <c r="CK185" s="61"/>
      <c r="CL185" s="61"/>
      <c r="CM185" s="61"/>
      <c r="CN185" s="61"/>
      <c r="CO185" s="61"/>
      <c r="CP185" s="61"/>
      <c r="CQ185" s="61"/>
      <c r="CR185" s="61"/>
      <c r="CS185" s="61"/>
      <c r="CT185" s="61"/>
      <c r="CU185" s="61"/>
      <c r="CV185" s="61"/>
    </row>
    <row r="186" spans="1:100">
      <c r="A186" s="146">
        <v>44</v>
      </c>
      <c r="B186" s="141">
        <f ca="1">+RESUMEN!Y47</f>
        <v>0</v>
      </c>
      <c r="C186" s="141">
        <f ca="1">+RESUMEN!Z47</f>
        <v>0</v>
      </c>
      <c r="D186" s="142">
        <f t="shared" ca="1" si="171"/>
        <v>0</v>
      </c>
      <c r="E186" s="60"/>
      <c r="F186" s="313" t="s">
        <v>197</v>
      </c>
      <c r="G186" s="316">
        <v>7234.24</v>
      </c>
      <c r="H186" s="316">
        <v>9277.0400000000009</v>
      </c>
      <c r="I186" s="60"/>
      <c r="J186" s="161" t="s">
        <v>197</v>
      </c>
      <c r="K186" s="177">
        <v>959.96</v>
      </c>
      <c r="L186" s="61"/>
      <c r="M186" s="61"/>
      <c r="N186" s="61"/>
      <c r="O186" s="61"/>
      <c r="P186" s="61"/>
      <c r="Q186" s="61"/>
      <c r="R186" s="61"/>
      <c r="S186" s="61"/>
      <c r="T186" s="61"/>
      <c r="U186" s="61"/>
      <c r="V186" s="61"/>
      <c r="W186" s="61"/>
      <c r="X186" s="61"/>
      <c r="Y186" s="61"/>
      <c r="Z186" s="61"/>
      <c r="AA186" s="61"/>
      <c r="AB186" s="61"/>
      <c r="AC186" s="61"/>
      <c r="AD186" s="61"/>
      <c r="AE186" s="61"/>
      <c r="AF186" s="61"/>
      <c r="AG186" s="61"/>
      <c r="AH186" s="61"/>
      <c r="AI186" s="61"/>
      <c r="AJ186" s="61"/>
      <c r="AK186" s="61"/>
      <c r="AL186" s="61"/>
      <c r="AM186" s="61"/>
      <c r="AN186" s="61"/>
      <c r="AO186" s="61"/>
      <c r="AP186" s="61"/>
      <c r="AQ186" s="61"/>
      <c r="AR186" s="61"/>
      <c r="AS186" s="61"/>
      <c r="AT186" s="61"/>
      <c r="AU186" s="61"/>
      <c r="AV186" s="61"/>
      <c r="AW186" s="61"/>
      <c r="AX186" s="61"/>
      <c r="AY186" s="61"/>
      <c r="AZ186" s="61"/>
      <c r="BA186" s="61"/>
      <c r="BB186" s="61"/>
      <c r="BC186" s="61"/>
      <c r="BD186" s="61"/>
      <c r="BE186" s="61"/>
      <c r="BF186" s="61"/>
      <c r="BG186" s="61"/>
      <c r="BH186" s="61"/>
      <c r="BI186" s="61"/>
      <c r="BJ186" s="61"/>
      <c r="BK186" s="61"/>
      <c r="BL186" s="61"/>
      <c r="BM186" s="61"/>
      <c r="BN186" s="61"/>
      <c r="BO186" s="61"/>
      <c r="BP186" s="61"/>
      <c r="BQ186" s="61"/>
      <c r="BR186" s="61"/>
      <c r="BS186" s="61"/>
      <c r="BT186" s="61"/>
      <c r="BU186" s="61"/>
      <c r="BV186" s="61"/>
      <c r="BW186" s="61"/>
      <c r="BX186" s="61"/>
      <c r="BY186" s="61"/>
      <c r="BZ186" s="61"/>
      <c r="CA186" s="61"/>
      <c r="CB186" s="61"/>
      <c r="CC186" s="61"/>
      <c r="CD186" s="61"/>
      <c r="CE186" s="61"/>
      <c r="CF186" s="61"/>
      <c r="CG186" s="61"/>
      <c r="CH186" s="61"/>
      <c r="CI186" s="61"/>
      <c r="CJ186" s="61"/>
      <c r="CK186" s="61"/>
      <c r="CL186" s="61"/>
      <c r="CM186" s="61"/>
      <c r="CN186" s="61"/>
      <c r="CO186" s="61"/>
      <c r="CP186" s="61"/>
      <c r="CQ186" s="61"/>
      <c r="CR186" s="61"/>
      <c r="CS186" s="61"/>
      <c r="CT186" s="61"/>
      <c r="CU186" s="61"/>
      <c r="CV186" s="61"/>
    </row>
    <row r="187" spans="1:100">
      <c r="A187" s="146">
        <v>45</v>
      </c>
      <c r="B187" s="141">
        <f ca="1">+RESUMEN!Y48</f>
        <v>0</v>
      </c>
      <c r="C187" s="141">
        <f ca="1">+RESUMEN!Z48</f>
        <v>0</v>
      </c>
      <c r="D187" s="142">
        <f t="shared" ca="1" si="171"/>
        <v>0</v>
      </c>
      <c r="E187" s="60"/>
      <c r="F187" s="313" t="s">
        <v>198</v>
      </c>
      <c r="G187" s="316">
        <v>7462.1</v>
      </c>
      <c r="H187" s="316">
        <v>9504.91</v>
      </c>
      <c r="I187" s="60"/>
      <c r="J187" s="161" t="s">
        <v>198</v>
      </c>
      <c r="K187" s="177">
        <v>1080.6099999999999</v>
      </c>
      <c r="L187" s="61"/>
      <c r="M187" s="61"/>
      <c r="N187" s="61"/>
      <c r="O187" s="61"/>
      <c r="P187" s="61"/>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M187" s="61"/>
      <c r="AN187" s="61"/>
      <c r="AO187" s="61"/>
      <c r="AP187" s="61"/>
      <c r="AQ187" s="61"/>
      <c r="AR187" s="61"/>
      <c r="AS187" s="61"/>
      <c r="AT187" s="61"/>
      <c r="AU187" s="61"/>
      <c r="AV187" s="61"/>
      <c r="AW187" s="61"/>
      <c r="AX187" s="61"/>
      <c r="AY187" s="61"/>
      <c r="AZ187" s="61"/>
      <c r="BA187" s="61"/>
      <c r="BB187" s="61"/>
      <c r="BC187" s="61"/>
      <c r="BD187" s="61"/>
      <c r="BE187" s="61"/>
      <c r="BF187" s="61"/>
      <c r="BG187" s="61"/>
      <c r="BH187" s="61"/>
      <c r="BI187" s="61"/>
      <c r="BJ187" s="61"/>
      <c r="BK187" s="61"/>
      <c r="BL187" s="61"/>
      <c r="BM187" s="61"/>
      <c r="BN187" s="61"/>
      <c r="BO187" s="61"/>
      <c r="BP187" s="61"/>
      <c r="BQ187" s="61"/>
      <c r="BR187" s="61"/>
      <c r="BS187" s="61"/>
      <c r="BT187" s="61"/>
      <c r="BU187" s="61"/>
      <c r="BV187" s="61"/>
      <c r="BW187" s="61"/>
      <c r="BX187" s="61"/>
      <c r="BY187" s="61"/>
      <c r="BZ187" s="61"/>
      <c r="CA187" s="61"/>
      <c r="CB187" s="61"/>
      <c r="CC187" s="61"/>
      <c r="CD187" s="61"/>
      <c r="CE187" s="61"/>
      <c r="CF187" s="61"/>
      <c r="CG187" s="61"/>
      <c r="CH187" s="61"/>
      <c r="CI187" s="61"/>
      <c r="CJ187" s="61"/>
      <c r="CK187" s="61"/>
      <c r="CL187" s="61"/>
      <c r="CM187" s="61"/>
      <c r="CN187" s="61"/>
      <c r="CO187" s="61"/>
      <c r="CP187" s="61"/>
      <c r="CQ187" s="61"/>
      <c r="CR187" s="61"/>
      <c r="CS187" s="61"/>
      <c r="CT187" s="61"/>
      <c r="CU187" s="61"/>
      <c r="CV187" s="61"/>
    </row>
    <row r="188" spans="1:100">
      <c r="A188" s="146">
        <v>46</v>
      </c>
      <c r="B188" s="141">
        <f ca="1">+RESUMEN!Y49</f>
        <v>0</v>
      </c>
      <c r="C188" s="141">
        <f ca="1">+RESUMEN!Z49</f>
        <v>0</v>
      </c>
      <c r="D188" s="142">
        <f t="shared" ca="1" si="171"/>
        <v>0</v>
      </c>
      <c r="E188" s="60"/>
      <c r="F188" s="313" t="s">
        <v>199</v>
      </c>
      <c r="G188" s="316">
        <v>7462.1</v>
      </c>
      <c r="H188" s="316">
        <v>9504.91</v>
      </c>
      <c r="I188" s="60"/>
      <c r="J188" s="161" t="s">
        <v>199</v>
      </c>
      <c r="K188" s="177">
        <v>1218.21</v>
      </c>
      <c r="L188" s="61"/>
      <c r="M188" s="61"/>
      <c r="N188" s="61"/>
      <c r="O188" s="61"/>
      <c r="P188" s="61"/>
      <c r="Q188" s="61"/>
      <c r="R188" s="61"/>
      <c r="S188" s="61"/>
      <c r="T188" s="61"/>
      <c r="U188" s="61"/>
      <c r="V188" s="61"/>
      <c r="W188" s="61"/>
      <c r="X188" s="61"/>
      <c r="Y188" s="61"/>
      <c r="Z188" s="61"/>
      <c r="AA188" s="61"/>
      <c r="AB188" s="61"/>
      <c r="AC188" s="61"/>
      <c r="AD188" s="61"/>
      <c r="AE188" s="61"/>
      <c r="AF188" s="61"/>
      <c r="AG188" s="61"/>
      <c r="AH188" s="61"/>
      <c r="AI188" s="61"/>
      <c r="AJ188" s="61"/>
      <c r="AK188" s="61"/>
      <c r="AL188" s="61"/>
      <c r="AM188" s="61"/>
      <c r="AN188" s="61"/>
      <c r="AO188" s="61"/>
      <c r="AP188" s="61"/>
      <c r="AQ188" s="61"/>
      <c r="AR188" s="61"/>
      <c r="AS188" s="61"/>
      <c r="AT188" s="61"/>
      <c r="AU188" s="61"/>
      <c r="AV188" s="61"/>
      <c r="AW188" s="61"/>
      <c r="AX188" s="61"/>
      <c r="AY188" s="61"/>
      <c r="AZ188" s="61"/>
      <c r="BA188" s="61"/>
      <c r="BB188" s="61"/>
      <c r="BC188" s="61"/>
      <c r="BD188" s="61"/>
      <c r="BE188" s="61"/>
      <c r="BF188" s="61"/>
      <c r="BG188" s="61"/>
      <c r="BH188" s="61"/>
      <c r="BI188" s="61"/>
      <c r="BJ188" s="61"/>
      <c r="BK188" s="61"/>
      <c r="BL188" s="61"/>
      <c r="BM188" s="61"/>
      <c r="BN188" s="61"/>
      <c r="BO188" s="61"/>
      <c r="BP188" s="61"/>
      <c r="BQ188" s="61"/>
      <c r="BR188" s="61"/>
      <c r="BS188" s="61"/>
      <c r="BT188" s="61"/>
      <c r="BU188" s="61"/>
      <c r="BV188" s="61"/>
      <c r="BW188" s="61"/>
      <c r="BX188" s="61"/>
      <c r="BY188" s="61"/>
      <c r="BZ188" s="61"/>
      <c r="CA188" s="61"/>
      <c r="CB188" s="61"/>
      <c r="CC188" s="61"/>
      <c r="CD188" s="61"/>
      <c r="CE188" s="61"/>
      <c r="CF188" s="61"/>
      <c r="CG188" s="61"/>
      <c r="CH188" s="61"/>
      <c r="CI188" s="61"/>
      <c r="CJ188" s="61"/>
      <c r="CK188" s="61"/>
      <c r="CL188" s="61"/>
      <c r="CM188" s="61"/>
      <c r="CN188" s="61"/>
      <c r="CO188" s="61"/>
      <c r="CP188" s="61"/>
      <c r="CQ188" s="61"/>
      <c r="CR188" s="61"/>
      <c r="CS188" s="61"/>
      <c r="CT188" s="61"/>
      <c r="CU188" s="61"/>
      <c r="CV188" s="61"/>
    </row>
    <row r="189" spans="1:100">
      <c r="A189" s="146">
        <v>47</v>
      </c>
      <c r="B189" s="141">
        <f ca="1">+RESUMEN!Y50</f>
        <v>0</v>
      </c>
      <c r="C189" s="141">
        <f ca="1">+RESUMEN!Z50</f>
        <v>0</v>
      </c>
      <c r="D189" s="142">
        <f t="shared" ca="1" si="171"/>
        <v>0</v>
      </c>
      <c r="E189" s="60"/>
      <c r="F189" s="313" t="s">
        <v>200</v>
      </c>
      <c r="G189" s="316">
        <v>7462.1</v>
      </c>
      <c r="H189" s="316">
        <v>9504.91</v>
      </c>
      <c r="I189" s="60"/>
      <c r="J189" s="161" t="s">
        <v>200</v>
      </c>
      <c r="K189" s="177">
        <v>1375.32</v>
      </c>
      <c r="L189" s="61"/>
      <c r="M189" s="61"/>
      <c r="N189" s="61"/>
      <c r="O189" s="61"/>
      <c r="P189" s="61"/>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M189" s="61"/>
      <c r="AN189" s="61"/>
      <c r="AO189" s="61"/>
      <c r="AP189" s="61"/>
      <c r="AQ189" s="61"/>
      <c r="AR189" s="61"/>
      <c r="AS189" s="61"/>
      <c r="AT189" s="61"/>
      <c r="AU189" s="61"/>
      <c r="AV189" s="61"/>
      <c r="AW189" s="61"/>
      <c r="AX189" s="61"/>
      <c r="AY189" s="61"/>
      <c r="AZ189" s="61"/>
      <c r="BA189" s="61"/>
      <c r="BB189" s="61"/>
      <c r="BC189" s="61"/>
      <c r="BD189" s="61"/>
      <c r="BE189" s="61"/>
      <c r="BF189" s="61"/>
      <c r="BG189" s="61"/>
      <c r="BH189" s="61"/>
      <c r="BI189" s="61"/>
      <c r="BJ189" s="61"/>
      <c r="BK189" s="61"/>
      <c r="BL189" s="61"/>
      <c r="BM189" s="61"/>
      <c r="BN189" s="61"/>
      <c r="BO189" s="61"/>
      <c r="BP189" s="61"/>
      <c r="BQ189" s="61"/>
      <c r="BR189" s="61"/>
      <c r="BS189" s="61"/>
      <c r="BT189" s="61"/>
      <c r="BU189" s="61"/>
      <c r="BV189" s="61"/>
      <c r="BW189" s="61"/>
      <c r="BX189" s="61"/>
      <c r="BY189" s="61"/>
      <c r="BZ189" s="61"/>
      <c r="CA189" s="61"/>
      <c r="CB189" s="61"/>
      <c r="CC189" s="61"/>
      <c r="CD189" s="61"/>
      <c r="CE189" s="61"/>
      <c r="CF189" s="61"/>
      <c r="CG189" s="61"/>
      <c r="CH189" s="61"/>
      <c r="CI189" s="61"/>
      <c r="CJ189" s="61"/>
      <c r="CK189" s="61"/>
      <c r="CL189" s="61"/>
      <c r="CM189" s="61"/>
      <c r="CN189" s="61"/>
      <c r="CO189" s="61"/>
      <c r="CP189" s="61"/>
      <c r="CQ189" s="61"/>
      <c r="CR189" s="61"/>
      <c r="CS189" s="61"/>
      <c r="CT189" s="61"/>
      <c r="CU189" s="61"/>
      <c r="CV189" s="61"/>
    </row>
    <row r="190" spans="1:100">
      <c r="A190" s="146">
        <v>48</v>
      </c>
      <c r="B190" s="141">
        <f ca="1">+RESUMEN!Y51</f>
        <v>0</v>
      </c>
      <c r="C190" s="141">
        <f ca="1">+RESUMEN!Z51</f>
        <v>0</v>
      </c>
      <c r="D190" s="142">
        <f t="shared" ca="1" si="171"/>
        <v>0</v>
      </c>
      <c r="E190" s="60"/>
      <c r="F190" s="313" t="s">
        <v>201</v>
      </c>
      <c r="G190" s="316">
        <v>7462.1</v>
      </c>
      <c r="H190" s="316">
        <v>9504.91</v>
      </c>
      <c r="I190" s="60"/>
      <c r="J190" s="161" t="s">
        <v>201</v>
      </c>
      <c r="K190" s="177">
        <v>1554.75</v>
      </c>
      <c r="L190" s="61"/>
      <c r="M190" s="61"/>
      <c r="N190" s="61"/>
      <c r="O190" s="61"/>
      <c r="P190" s="61"/>
      <c r="Q190" s="61"/>
      <c r="R190" s="61"/>
      <c r="S190" s="61"/>
      <c r="T190" s="61"/>
      <c r="U190" s="61"/>
      <c r="V190" s="61"/>
      <c r="W190" s="61"/>
      <c r="X190" s="61"/>
      <c r="Y190" s="61"/>
      <c r="Z190" s="61"/>
      <c r="AA190" s="61"/>
      <c r="AB190" s="61"/>
      <c r="AC190" s="61"/>
      <c r="AD190" s="61"/>
      <c r="AE190" s="61"/>
      <c r="AF190" s="61"/>
      <c r="AG190" s="61"/>
      <c r="AH190" s="61"/>
      <c r="AI190" s="61"/>
      <c r="AJ190" s="61"/>
      <c r="AK190" s="61"/>
      <c r="AL190" s="61"/>
      <c r="AM190" s="61"/>
      <c r="AN190" s="61"/>
      <c r="AO190" s="61"/>
      <c r="AP190" s="61"/>
      <c r="AQ190" s="61"/>
      <c r="AR190" s="61"/>
      <c r="AS190" s="61"/>
      <c r="AT190" s="61"/>
      <c r="AU190" s="61"/>
      <c r="AV190" s="61"/>
      <c r="AW190" s="61"/>
      <c r="AX190" s="61"/>
      <c r="AY190" s="61"/>
      <c r="AZ190" s="61"/>
      <c r="BA190" s="61"/>
      <c r="BB190" s="61"/>
      <c r="BC190" s="61"/>
      <c r="BD190" s="61"/>
      <c r="BE190" s="61"/>
      <c r="BF190" s="61"/>
      <c r="BG190" s="61"/>
      <c r="BH190" s="61"/>
      <c r="BI190" s="61"/>
      <c r="BJ190" s="61"/>
      <c r="BK190" s="61"/>
      <c r="BL190" s="61"/>
      <c r="BM190" s="61"/>
      <c r="BN190" s="61"/>
      <c r="BO190" s="61"/>
      <c r="BP190" s="61"/>
      <c r="BQ190" s="61"/>
      <c r="BR190" s="61"/>
      <c r="BS190" s="61"/>
      <c r="BT190" s="61"/>
      <c r="BU190" s="61"/>
      <c r="BV190" s="61"/>
      <c r="BW190" s="61"/>
      <c r="BX190" s="61"/>
      <c r="BY190" s="61"/>
      <c r="BZ190" s="61"/>
      <c r="CA190" s="61"/>
      <c r="CB190" s="61"/>
      <c r="CC190" s="61"/>
      <c r="CD190" s="61"/>
      <c r="CE190" s="61"/>
      <c r="CF190" s="61"/>
      <c r="CG190" s="61"/>
      <c r="CH190" s="61"/>
      <c r="CI190" s="61"/>
      <c r="CJ190" s="61"/>
      <c r="CK190" s="61"/>
      <c r="CL190" s="61"/>
      <c r="CM190" s="61"/>
      <c r="CN190" s="61"/>
      <c r="CO190" s="61"/>
      <c r="CP190" s="61"/>
      <c r="CQ190" s="61"/>
      <c r="CR190" s="61"/>
      <c r="CS190" s="61"/>
      <c r="CT190" s="61"/>
      <c r="CU190" s="61"/>
      <c r="CV190" s="61"/>
    </row>
    <row r="191" spans="1:100">
      <c r="A191" s="146">
        <v>49</v>
      </c>
      <c r="B191" s="141">
        <f ca="1">+RESUMEN!Y52</f>
        <v>0</v>
      </c>
      <c r="C191" s="141">
        <f ca="1">+RESUMEN!Z52</f>
        <v>0</v>
      </c>
      <c r="D191" s="142">
        <f t="shared" ca="1" si="171"/>
        <v>0</v>
      </c>
      <c r="E191" s="60"/>
      <c r="F191" s="313" t="s">
        <v>202</v>
      </c>
      <c r="G191" s="316">
        <v>7462.1</v>
      </c>
      <c r="H191" s="316">
        <v>9504.91</v>
      </c>
      <c r="I191" s="60"/>
      <c r="J191" s="161" t="s">
        <v>202</v>
      </c>
      <c r="K191" s="177">
        <v>1759.79</v>
      </c>
      <c r="L191" s="61"/>
      <c r="M191" s="61"/>
      <c r="N191" s="61"/>
      <c r="O191" s="61"/>
      <c r="P191" s="61"/>
      <c r="Q191" s="61"/>
      <c r="R191" s="61"/>
      <c r="S191" s="61"/>
      <c r="T191" s="61"/>
      <c r="U191" s="61"/>
      <c r="V191" s="61"/>
      <c r="W191" s="61"/>
      <c r="X191" s="61"/>
      <c r="Y191" s="61"/>
      <c r="Z191" s="61"/>
      <c r="AA191" s="61"/>
      <c r="AB191" s="61"/>
      <c r="AC191" s="61"/>
      <c r="AD191" s="61"/>
      <c r="AE191" s="61"/>
      <c r="AF191" s="61"/>
      <c r="AG191" s="61"/>
      <c r="AH191" s="61"/>
      <c r="AI191" s="61"/>
      <c r="AJ191" s="61"/>
      <c r="AK191" s="61"/>
      <c r="AL191" s="61"/>
      <c r="AM191" s="61"/>
      <c r="AN191" s="61"/>
      <c r="AO191" s="61"/>
      <c r="AP191" s="61"/>
      <c r="AQ191" s="61"/>
      <c r="AR191" s="61"/>
      <c r="AS191" s="61"/>
      <c r="AT191" s="61"/>
      <c r="AU191" s="61"/>
      <c r="AV191" s="61"/>
      <c r="AW191" s="61"/>
      <c r="AX191" s="61"/>
      <c r="AY191" s="61"/>
      <c r="AZ191" s="61"/>
      <c r="BA191" s="61"/>
      <c r="BB191" s="61"/>
      <c r="BC191" s="61"/>
      <c r="BD191" s="61"/>
      <c r="BE191" s="61"/>
      <c r="BF191" s="61"/>
      <c r="BG191" s="61"/>
      <c r="BH191" s="61"/>
      <c r="BI191" s="61"/>
      <c r="BJ191" s="61"/>
      <c r="BK191" s="61"/>
      <c r="BL191" s="61"/>
      <c r="BM191" s="61"/>
      <c r="BN191" s="61"/>
      <c r="BO191" s="61"/>
      <c r="BP191" s="61"/>
      <c r="BQ191" s="61"/>
      <c r="BR191" s="61"/>
      <c r="BS191" s="61"/>
      <c r="BT191" s="61"/>
      <c r="BU191" s="61"/>
      <c r="BV191" s="61"/>
      <c r="BW191" s="61"/>
      <c r="BX191" s="61"/>
      <c r="BY191" s="61"/>
      <c r="BZ191" s="61"/>
      <c r="CA191" s="61"/>
      <c r="CB191" s="61"/>
      <c r="CC191" s="61"/>
      <c r="CD191" s="61"/>
      <c r="CE191" s="61"/>
      <c r="CF191" s="61"/>
      <c r="CG191" s="61"/>
      <c r="CH191" s="61"/>
      <c r="CI191" s="61"/>
      <c r="CJ191" s="61"/>
      <c r="CK191" s="61"/>
      <c r="CL191" s="61"/>
      <c r="CM191" s="61"/>
      <c r="CN191" s="61"/>
      <c r="CO191" s="61"/>
      <c r="CP191" s="61"/>
      <c r="CQ191" s="61"/>
      <c r="CR191" s="61"/>
      <c r="CS191" s="61"/>
      <c r="CT191" s="61"/>
      <c r="CU191" s="61"/>
      <c r="CV191" s="61"/>
    </row>
    <row r="192" spans="1:100">
      <c r="A192" s="146">
        <v>50</v>
      </c>
      <c r="B192" s="141">
        <f ca="1">+RESUMEN!Y53</f>
        <v>0</v>
      </c>
      <c r="C192" s="141">
        <f ca="1">+RESUMEN!Z53</f>
        <v>0</v>
      </c>
      <c r="D192" s="142">
        <f t="shared" ca="1" si="171"/>
        <v>0</v>
      </c>
      <c r="E192" s="60"/>
      <c r="F192" s="313" t="s">
        <v>203</v>
      </c>
      <c r="G192" s="316">
        <v>7462.1</v>
      </c>
      <c r="H192" s="316">
        <v>9504.91</v>
      </c>
      <c r="I192" s="60"/>
      <c r="J192" s="161" t="s">
        <v>203</v>
      </c>
      <c r="K192" s="177">
        <v>1994.04</v>
      </c>
      <c r="L192" s="61"/>
      <c r="M192" s="61"/>
      <c r="N192" s="61"/>
      <c r="O192" s="61"/>
      <c r="P192" s="61"/>
      <c r="Q192" s="61"/>
      <c r="R192" s="61"/>
      <c r="S192" s="61"/>
      <c r="T192" s="61"/>
      <c r="U192" s="61"/>
      <c r="V192" s="61"/>
      <c r="W192" s="61"/>
      <c r="X192" s="61"/>
      <c r="Y192" s="61"/>
      <c r="Z192" s="61"/>
      <c r="AA192" s="61"/>
      <c r="AB192" s="61"/>
      <c r="AC192" s="61"/>
      <c r="AD192" s="61"/>
      <c r="AE192" s="61"/>
      <c r="AF192" s="61"/>
      <c r="AG192" s="61"/>
      <c r="AH192" s="61"/>
      <c r="AI192" s="61"/>
      <c r="AJ192" s="61"/>
      <c r="AK192" s="61"/>
      <c r="AL192" s="61"/>
      <c r="AM192" s="61"/>
      <c r="AN192" s="61"/>
      <c r="AO192" s="61"/>
      <c r="AP192" s="61"/>
      <c r="AQ192" s="61"/>
      <c r="AR192" s="61"/>
      <c r="AS192" s="61"/>
      <c r="AT192" s="61"/>
      <c r="AU192" s="61"/>
      <c r="AV192" s="61"/>
      <c r="AW192" s="61"/>
      <c r="AX192" s="61"/>
      <c r="AY192" s="61"/>
      <c r="AZ192" s="61"/>
      <c r="BA192" s="61"/>
      <c r="BB192" s="61"/>
      <c r="BC192" s="61"/>
      <c r="BD192" s="61"/>
      <c r="BE192" s="61"/>
      <c r="BF192" s="61"/>
      <c r="BG192" s="61"/>
      <c r="BH192" s="61"/>
      <c r="BI192" s="61"/>
      <c r="BJ192" s="61"/>
      <c r="BK192" s="61"/>
      <c r="BL192" s="61"/>
      <c r="BM192" s="61"/>
      <c r="BN192" s="61"/>
      <c r="BO192" s="61"/>
      <c r="BP192" s="61"/>
      <c r="BQ192" s="61"/>
      <c r="BR192" s="61"/>
      <c r="BS192" s="61"/>
      <c r="BT192" s="61"/>
      <c r="BU192" s="61"/>
      <c r="BV192" s="61"/>
      <c r="BW192" s="61"/>
      <c r="BX192" s="61"/>
      <c r="BY192" s="61"/>
      <c r="BZ192" s="61"/>
      <c r="CA192" s="61"/>
      <c r="CB192" s="61"/>
      <c r="CC192" s="61"/>
      <c r="CD192" s="61"/>
      <c r="CE192" s="61"/>
      <c r="CF192" s="61"/>
      <c r="CG192" s="61"/>
      <c r="CH192" s="61"/>
      <c r="CI192" s="61"/>
      <c r="CJ192" s="61"/>
      <c r="CK192" s="61"/>
      <c r="CL192" s="61"/>
      <c r="CM192" s="61"/>
      <c r="CN192" s="61"/>
      <c r="CO192" s="61"/>
      <c r="CP192" s="61"/>
      <c r="CQ192" s="61"/>
      <c r="CR192" s="61"/>
      <c r="CS192" s="61"/>
      <c r="CT192" s="61"/>
      <c r="CU192" s="61"/>
      <c r="CV192" s="61"/>
    </row>
    <row r="193" spans="1:100">
      <c r="A193" s="146">
        <v>51</v>
      </c>
      <c r="B193" s="141">
        <f ca="1">+RESUMEN!Y54</f>
        <v>0</v>
      </c>
      <c r="C193" s="141">
        <f ca="1">+RESUMEN!Z54</f>
        <v>0</v>
      </c>
      <c r="D193" s="142">
        <f t="shared" ca="1" si="171"/>
        <v>0</v>
      </c>
      <c r="E193" s="60"/>
      <c r="F193" s="313" t="s">
        <v>204</v>
      </c>
      <c r="G193" s="316">
        <v>7462.1</v>
      </c>
      <c r="H193" s="316">
        <v>9504.91</v>
      </c>
      <c r="I193" s="60"/>
      <c r="J193" s="161" t="s">
        <v>204</v>
      </c>
      <c r="K193" s="177">
        <v>2261.75</v>
      </c>
      <c r="L193" s="61"/>
      <c r="M193" s="61"/>
      <c r="N193" s="61"/>
      <c r="O193" s="61"/>
      <c r="P193" s="61"/>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M193" s="61"/>
      <c r="AN193" s="61"/>
      <c r="AO193" s="61"/>
      <c r="AP193" s="61"/>
      <c r="AQ193" s="61"/>
      <c r="AR193" s="61"/>
      <c r="AS193" s="61"/>
      <c r="AT193" s="61"/>
      <c r="AU193" s="61"/>
      <c r="AV193" s="61"/>
      <c r="AW193" s="61"/>
      <c r="AX193" s="61"/>
      <c r="AY193" s="61"/>
      <c r="AZ193" s="61"/>
      <c r="BA193" s="61"/>
      <c r="BB193" s="61"/>
      <c r="BC193" s="61"/>
      <c r="BD193" s="61"/>
      <c r="BE193" s="61"/>
      <c r="BF193" s="61"/>
      <c r="BG193" s="61"/>
      <c r="BH193" s="61"/>
      <c r="BI193" s="61"/>
      <c r="BJ193" s="61"/>
      <c r="BK193" s="61"/>
      <c r="BL193" s="61"/>
      <c r="BM193" s="61"/>
      <c r="BN193" s="61"/>
      <c r="BO193" s="61"/>
      <c r="BP193" s="61"/>
      <c r="BQ193" s="61"/>
      <c r="BR193" s="61"/>
      <c r="BS193" s="61"/>
      <c r="BT193" s="61"/>
      <c r="BU193" s="61"/>
      <c r="BV193" s="61"/>
      <c r="BW193" s="61"/>
      <c r="BX193" s="61"/>
      <c r="BY193" s="61"/>
      <c r="BZ193" s="61"/>
      <c r="CA193" s="61"/>
      <c r="CB193" s="61"/>
      <c r="CC193" s="61"/>
      <c r="CD193" s="61"/>
      <c r="CE193" s="61"/>
      <c r="CF193" s="61"/>
      <c r="CG193" s="61"/>
      <c r="CH193" s="61"/>
      <c r="CI193" s="61"/>
      <c r="CJ193" s="61"/>
      <c r="CK193" s="61"/>
      <c r="CL193" s="61"/>
      <c r="CM193" s="61"/>
      <c r="CN193" s="61"/>
      <c r="CO193" s="61"/>
      <c r="CP193" s="61"/>
      <c r="CQ193" s="61"/>
      <c r="CR193" s="61"/>
      <c r="CS193" s="61"/>
      <c r="CT193" s="61"/>
      <c r="CU193" s="61"/>
      <c r="CV193" s="61"/>
    </row>
    <row r="194" spans="1:100">
      <c r="A194" s="146">
        <v>52</v>
      </c>
      <c r="B194" s="141">
        <f ca="1">+RESUMEN!Y55</f>
        <v>0</v>
      </c>
      <c r="C194" s="141">
        <f ca="1">+RESUMEN!Z55</f>
        <v>0</v>
      </c>
      <c r="D194" s="142">
        <f t="shared" ca="1" si="171"/>
        <v>0</v>
      </c>
      <c r="E194" s="60"/>
      <c r="F194" s="313" t="s">
        <v>205</v>
      </c>
      <c r="G194" s="316">
        <v>7462.1</v>
      </c>
      <c r="H194" s="316">
        <v>9504.91</v>
      </c>
      <c r="I194" s="60"/>
      <c r="J194" s="161" t="s">
        <v>205</v>
      </c>
      <c r="K194" s="177">
        <v>2567.46</v>
      </c>
      <c r="L194" s="61"/>
      <c r="M194" s="61"/>
      <c r="N194" s="61"/>
      <c r="O194" s="61"/>
      <c r="P194" s="61"/>
      <c r="Q194" s="61"/>
      <c r="R194" s="61"/>
      <c r="S194" s="61"/>
      <c r="T194" s="61"/>
      <c r="U194" s="61"/>
      <c r="V194" s="61"/>
      <c r="W194" s="61"/>
      <c r="X194" s="61"/>
      <c r="Y194" s="61"/>
      <c r="Z194" s="61"/>
      <c r="AA194" s="61"/>
      <c r="AB194" s="61"/>
      <c r="AC194" s="61"/>
      <c r="AD194" s="61"/>
      <c r="AE194" s="61"/>
      <c r="AF194" s="61"/>
      <c r="AG194" s="61"/>
      <c r="AH194" s="61"/>
      <c r="AI194" s="61"/>
      <c r="AJ194" s="61"/>
      <c r="AK194" s="61"/>
      <c r="AL194" s="61"/>
      <c r="AM194" s="61"/>
      <c r="AN194" s="61"/>
      <c r="AO194" s="61"/>
      <c r="AP194" s="61"/>
      <c r="AQ194" s="61"/>
      <c r="AR194" s="61"/>
      <c r="AS194" s="61"/>
      <c r="AT194" s="61"/>
      <c r="AU194" s="61"/>
      <c r="AV194" s="61"/>
      <c r="AW194" s="61"/>
      <c r="AX194" s="61"/>
      <c r="AY194" s="61"/>
      <c r="AZ194" s="61"/>
      <c r="BA194" s="61"/>
      <c r="BB194" s="61"/>
      <c r="BC194" s="61"/>
      <c r="BD194" s="61"/>
      <c r="BE194" s="61"/>
      <c r="BF194" s="61"/>
      <c r="BG194" s="61"/>
      <c r="BH194" s="61"/>
      <c r="BI194" s="61"/>
      <c r="BJ194" s="61"/>
      <c r="BK194" s="61"/>
      <c r="BL194" s="61"/>
      <c r="BM194" s="61"/>
      <c r="BN194" s="61"/>
      <c r="BO194" s="61"/>
      <c r="BP194" s="61"/>
      <c r="BQ194" s="61"/>
      <c r="BR194" s="61"/>
      <c r="BS194" s="61"/>
      <c r="BT194" s="61"/>
      <c r="BU194" s="61"/>
      <c r="BV194" s="61"/>
      <c r="BW194" s="61"/>
      <c r="BX194" s="61"/>
      <c r="BY194" s="61"/>
      <c r="BZ194" s="61"/>
      <c r="CA194" s="61"/>
      <c r="CB194" s="61"/>
      <c r="CC194" s="61"/>
      <c r="CD194" s="61"/>
      <c r="CE194" s="61"/>
      <c r="CF194" s="61"/>
      <c r="CG194" s="61"/>
      <c r="CH194" s="61"/>
      <c r="CI194" s="61"/>
      <c r="CJ194" s="61"/>
      <c r="CK194" s="61"/>
      <c r="CL194" s="61"/>
      <c r="CM194" s="61"/>
      <c r="CN194" s="61"/>
      <c r="CO194" s="61"/>
      <c r="CP194" s="61"/>
      <c r="CQ194" s="61"/>
      <c r="CR194" s="61"/>
      <c r="CS194" s="61"/>
      <c r="CT194" s="61"/>
      <c r="CU194" s="61"/>
      <c r="CV194" s="61"/>
    </row>
    <row r="195" spans="1:100">
      <c r="A195" s="146">
        <v>53</v>
      </c>
      <c r="B195" s="141">
        <f ca="1">+RESUMEN!Y56</f>
        <v>0</v>
      </c>
      <c r="C195" s="141">
        <f ca="1">+RESUMEN!Z56</f>
        <v>0</v>
      </c>
      <c r="D195" s="142">
        <f t="shared" ca="1" si="171"/>
        <v>0</v>
      </c>
      <c r="E195" s="60"/>
      <c r="F195" s="313" t="s">
        <v>206</v>
      </c>
      <c r="G195" s="316">
        <v>7462.1</v>
      </c>
      <c r="H195" s="316">
        <v>9504.91</v>
      </c>
      <c r="I195" s="60"/>
      <c r="J195" s="161" t="s">
        <v>206</v>
      </c>
      <c r="K195" s="177">
        <v>2916.43</v>
      </c>
      <c r="L195" s="61"/>
      <c r="M195" s="61"/>
      <c r="N195" s="61"/>
      <c r="O195" s="61"/>
      <c r="P195" s="61"/>
      <c r="Q195" s="61"/>
      <c r="R195" s="61"/>
      <c r="S195" s="61"/>
      <c r="T195" s="61"/>
      <c r="U195" s="61"/>
      <c r="V195" s="61"/>
      <c r="W195" s="61"/>
      <c r="X195" s="61"/>
      <c r="Y195" s="61"/>
      <c r="Z195" s="61"/>
      <c r="AA195" s="61"/>
      <c r="AB195" s="61"/>
      <c r="AC195" s="61"/>
      <c r="AD195" s="61"/>
      <c r="AE195" s="61"/>
      <c r="AF195" s="61"/>
      <c r="AG195" s="61"/>
      <c r="AH195" s="61"/>
      <c r="AI195" s="61"/>
      <c r="AJ195" s="61"/>
      <c r="AK195" s="61"/>
      <c r="AL195" s="61"/>
      <c r="AM195" s="61"/>
      <c r="AN195" s="61"/>
      <c r="AO195" s="61"/>
      <c r="AP195" s="61"/>
      <c r="AQ195" s="61"/>
      <c r="AR195" s="61"/>
      <c r="AS195" s="61"/>
      <c r="AT195" s="61"/>
      <c r="AU195" s="61"/>
      <c r="AV195" s="61"/>
      <c r="AW195" s="61"/>
      <c r="AX195" s="61"/>
      <c r="AY195" s="61"/>
      <c r="AZ195" s="61"/>
      <c r="BA195" s="61"/>
      <c r="BB195" s="61"/>
      <c r="BC195" s="61"/>
      <c r="BD195" s="61"/>
      <c r="BE195" s="61"/>
      <c r="BF195" s="61"/>
      <c r="BG195" s="61"/>
      <c r="BH195" s="61"/>
      <c r="BI195" s="61"/>
      <c r="BJ195" s="61"/>
      <c r="BK195" s="61"/>
      <c r="BL195" s="61"/>
      <c r="BM195" s="61"/>
      <c r="BN195" s="61"/>
      <c r="BO195" s="61"/>
      <c r="BP195" s="61"/>
      <c r="BQ195" s="61"/>
      <c r="BR195" s="61"/>
      <c r="BS195" s="61"/>
      <c r="BT195" s="61"/>
      <c r="BU195" s="61"/>
      <c r="BV195" s="61"/>
      <c r="BW195" s="61"/>
      <c r="BX195" s="61"/>
      <c r="BY195" s="61"/>
      <c r="BZ195" s="61"/>
      <c r="CA195" s="61"/>
      <c r="CB195" s="61"/>
      <c r="CC195" s="61"/>
      <c r="CD195" s="61"/>
      <c r="CE195" s="61"/>
      <c r="CF195" s="61"/>
      <c r="CG195" s="61"/>
      <c r="CH195" s="61"/>
      <c r="CI195" s="61"/>
      <c r="CJ195" s="61"/>
      <c r="CK195" s="61"/>
      <c r="CL195" s="61"/>
      <c r="CM195" s="61"/>
      <c r="CN195" s="61"/>
      <c r="CO195" s="61"/>
      <c r="CP195" s="61"/>
      <c r="CQ195" s="61"/>
      <c r="CR195" s="61"/>
      <c r="CS195" s="61"/>
      <c r="CT195" s="61"/>
      <c r="CU195" s="61"/>
      <c r="CV195" s="61"/>
    </row>
    <row r="196" spans="1:100">
      <c r="A196" s="146">
        <v>54</v>
      </c>
      <c r="B196" s="141">
        <f ca="1">+RESUMEN!Y57</f>
        <v>0</v>
      </c>
      <c r="C196" s="141">
        <f ca="1">+RESUMEN!Z57</f>
        <v>0</v>
      </c>
      <c r="D196" s="142">
        <f t="shared" ca="1" si="171"/>
        <v>0</v>
      </c>
      <c r="E196" s="60"/>
      <c r="F196" s="313" t="s">
        <v>207</v>
      </c>
      <c r="G196" s="316">
        <v>7462.1</v>
      </c>
      <c r="H196" s="316">
        <v>9504.91</v>
      </c>
      <c r="I196" s="60"/>
      <c r="J196" s="161" t="s">
        <v>207</v>
      </c>
      <c r="K196" s="177">
        <v>3314.21</v>
      </c>
      <c r="L196" s="61"/>
      <c r="M196" s="61"/>
      <c r="N196" s="61"/>
      <c r="O196" s="61"/>
      <c r="P196" s="61"/>
      <c r="Q196" s="61"/>
      <c r="R196" s="61"/>
      <c r="S196" s="61"/>
      <c r="T196" s="61"/>
      <c r="U196" s="61"/>
      <c r="V196" s="61"/>
      <c r="W196" s="61"/>
      <c r="X196" s="61"/>
      <c r="Y196" s="61"/>
      <c r="Z196" s="61"/>
      <c r="AA196" s="61"/>
      <c r="AB196" s="61"/>
      <c r="AC196" s="61"/>
      <c r="AD196" s="61"/>
      <c r="AE196" s="61"/>
      <c r="AF196" s="61"/>
      <c r="AG196" s="61"/>
      <c r="AH196" s="61"/>
      <c r="AI196" s="61"/>
      <c r="AJ196" s="61"/>
      <c r="AK196" s="61"/>
      <c r="AL196" s="61"/>
      <c r="AM196" s="61"/>
      <c r="AN196" s="61"/>
      <c r="AO196" s="61"/>
      <c r="AP196" s="61"/>
      <c r="AQ196" s="61"/>
      <c r="AR196" s="61"/>
      <c r="AS196" s="61"/>
      <c r="AT196" s="61"/>
      <c r="AU196" s="61"/>
      <c r="AV196" s="61"/>
      <c r="AW196" s="61"/>
      <c r="AX196" s="61"/>
      <c r="AY196" s="61"/>
      <c r="AZ196" s="61"/>
      <c r="BA196" s="61"/>
      <c r="BB196" s="61"/>
      <c r="BC196" s="61"/>
      <c r="BD196" s="61"/>
      <c r="BE196" s="61"/>
      <c r="BF196" s="61"/>
      <c r="BG196" s="61"/>
      <c r="BH196" s="61"/>
      <c r="BI196" s="61"/>
      <c r="BJ196" s="61"/>
      <c r="BK196" s="61"/>
      <c r="BL196" s="61"/>
      <c r="BM196" s="61"/>
      <c r="BN196" s="61"/>
      <c r="BO196" s="61"/>
      <c r="BP196" s="61"/>
      <c r="BQ196" s="61"/>
      <c r="BR196" s="61"/>
      <c r="BS196" s="61"/>
      <c r="BT196" s="61"/>
      <c r="BU196" s="61"/>
      <c r="BV196" s="61"/>
      <c r="BW196" s="61"/>
      <c r="BX196" s="61"/>
      <c r="BY196" s="61"/>
      <c r="BZ196" s="61"/>
      <c r="CA196" s="61"/>
      <c r="CB196" s="61"/>
      <c r="CC196" s="61"/>
      <c r="CD196" s="61"/>
      <c r="CE196" s="61"/>
      <c r="CF196" s="61"/>
      <c r="CG196" s="61"/>
      <c r="CH196" s="61"/>
      <c r="CI196" s="61"/>
      <c r="CJ196" s="61"/>
      <c r="CK196" s="61"/>
      <c r="CL196" s="61"/>
      <c r="CM196" s="61"/>
      <c r="CN196" s="61"/>
      <c r="CO196" s="61"/>
      <c r="CP196" s="61"/>
      <c r="CQ196" s="61"/>
      <c r="CR196" s="61"/>
      <c r="CS196" s="61"/>
      <c r="CT196" s="61"/>
      <c r="CU196" s="61"/>
      <c r="CV196" s="61"/>
    </row>
    <row r="197" spans="1:100">
      <c r="A197" s="146">
        <v>55</v>
      </c>
      <c r="B197" s="141">
        <f ca="1">+RESUMEN!Y58</f>
        <v>0</v>
      </c>
      <c r="C197" s="141">
        <f ca="1">+RESUMEN!Z58</f>
        <v>0</v>
      </c>
      <c r="D197" s="142">
        <f t="shared" ca="1" si="171"/>
        <v>0</v>
      </c>
      <c r="E197" s="60"/>
      <c r="F197" s="313" t="s">
        <v>208</v>
      </c>
      <c r="G197" s="316">
        <v>7462.1</v>
      </c>
      <c r="H197" s="316">
        <v>9504.91</v>
      </c>
      <c r="I197" s="60"/>
      <c r="J197" s="161" t="s">
        <v>208</v>
      </c>
      <c r="K197" s="177">
        <v>3767</v>
      </c>
      <c r="L197" s="61"/>
      <c r="M197" s="61"/>
      <c r="N197" s="61"/>
      <c r="O197" s="61"/>
      <c r="P197" s="61"/>
      <c r="Q197" s="61"/>
      <c r="R197" s="61"/>
      <c r="S197" s="61"/>
      <c r="T197" s="61"/>
      <c r="U197" s="61"/>
      <c r="V197" s="61"/>
      <c r="W197" s="61"/>
      <c r="X197" s="61"/>
      <c r="Y197" s="61"/>
      <c r="Z197" s="61"/>
      <c r="AA197" s="61"/>
      <c r="AB197" s="61"/>
      <c r="AC197" s="61"/>
      <c r="AD197" s="61"/>
      <c r="AE197" s="61"/>
      <c r="AF197" s="61"/>
      <c r="AG197" s="61"/>
      <c r="AH197" s="61"/>
      <c r="AI197" s="61"/>
      <c r="AJ197" s="61"/>
      <c r="AK197" s="61"/>
      <c r="AL197" s="61"/>
      <c r="AM197" s="61"/>
      <c r="AN197" s="61"/>
      <c r="AO197" s="61"/>
      <c r="AP197" s="61"/>
      <c r="AQ197" s="61"/>
      <c r="AR197" s="61"/>
      <c r="AS197" s="61"/>
      <c r="AT197" s="61"/>
      <c r="AU197" s="61"/>
      <c r="AV197" s="61"/>
      <c r="AW197" s="61"/>
      <c r="AX197" s="61"/>
      <c r="AY197" s="61"/>
      <c r="AZ197" s="61"/>
      <c r="BA197" s="61"/>
      <c r="BB197" s="61"/>
      <c r="BC197" s="61"/>
      <c r="BD197" s="61"/>
      <c r="BE197" s="61"/>
      <c r="BF197" s="61"/>
      <c r="BG197" s="61"/>
      <c r="BH197" s="61"/>
      <c r="BI197" s="61"/>
      <c r="BJ197" s="61"/>
      <c r="BK197" s="61"/>
      <c r="BL197" s="61"/>
      <c r="BM197" s="61"/>
      <c r="BN197" s="61"/>
      <c r="BO197" s="61"/>
      <c r="BP197" s="61"/>
      <c r="BQ197" s="61"/>
      <c r="BR197" s="61"/>
      <c r="BS197" s="61"/>
      <c r="BT197" s="61"/>
      <c r="BU197" s="61"/>
      <c r="BV197" s="61"/>
      <c r="BW197" s="61"/>
      <c r="BX197" s="61"/>
      <c r="BY197" s="61"/>
      <c r="BZ197" s="61"/>
      <c r="CA197" s="61"/>
      <c r="CB197" s="61"/>
      <c r="CC197" s="61"/>
      <c r="CD197" s="61"/>
      <c r="CE197" s="61"/>
      <c r="CF197" s="61"/>
      <c r="CG197" s="61"/>
      <c r="CH197" s="61"/>
      <c r="CI197" s="61"/>
      <c r="CJ197" s="61"/>
      <c r="CK197" s="61"/>
      <c r="CL197" s="61"/>
      <c r="CM197" s="61"/>
      <c r="CN197" s="61"/>
      <c r="CO197" s="61"/>
      <c r="CP197" s="61"/>
      <c r="CQ197" s="61"/>
      <c r="CR197" s="61"/>
      <c r="CS197" s="61"/>
      <c r="CT197" s="61"/>
      <c r="CU197" s="61"/>
      <c r="CV197" s="61"/>
    </row>
    <row r="198" spans="1:100">
      <c r="A198" s="146">
        <v>56</v>
      </c>
      <c r="B198" s="141">
        <f ca="1">+RESUMEN!Y59</f>
        <v>0</v>
      </c>
      <c r="C198" s="141">
        <f ca="1">+RESUMEN!Z59</f>
        <v>0</v>
      </c>
      <c r="D198" s="142">
        <f t="shared" ca="1" si="171"/>
        <v>0</v>
      </c>
      <c r="E198" s="60"/>
      <c r="F198" s="313" t="s">
        <v>209</v>
      </c>
      <c r="G198" s="316">
        <v>7462.1</v>
      </c>
      <c r="H198" s="316">
        <v>9504.91</v>
      </c>
      <c r="I198" s="60"/>
      <c r="J198" s="161" t="s">
        <v>209</v>
      </c>
      <c r="K198" s="177">
        <v>4281.25</v>
      </c>
      <c r="L198" s="61"/>
      <c r="M198" s="61"/>
      <c r="N198" s="61"/>
      <c r="O198" s="61"/>
      <c r="P198" s="61"/>
      <c r="Q198" s="61"/>
      <c r="R198" s="61"/>
      <c r="S198" s="61"/>
      <c r="T198" s="61"/>
      <c r="U198" s="61"/>
      <c r="V198" s="61"/>
      <c r="W198" s="61"/>
      <c r="X198" s="61"/>
      <c r="Y198" s="61"/>
      <c r="Z198" s="61"/>
      <c r="AA198" s="61"/>
      <c r="AB198" s="61"/>
      <c r="AC198" s="61"/>
      <c r="AD198" s="61"/>
      <c r="AE198" s="61"/>
      <c r="AF198" s="61"/>
      <c r="AG198" s="61"/>
      <c r="AH198" s="61"/>
      <c r="AI198" s="61"/>
      <c r="AJ198" s="61"/>
      <c r="AK198" s="61"/>
      <c r="AL198" s="61"/>
      <c r="AM198" s="61"/>
      <c r="AN198" s="61"/>
      <c r="AO198" s="61"/>
      <c r="AP198" s="61"/>
      <c r="AQ198" s="61"/>
      <c r="AR198" s="61"/>
      <c r="AS198" s="61"/>
      <c r="AT198" s="61"/>
      <c r="AU198" s="61"/>
      <c r="AV198" s="61"/>
      <c r="AW198" s="61"/>
      <c r="AX198" s="61"/>
      <c r="AY198" s="61"/>
      <c r="AZ198" s="61"/>
      <c r="BA198" s="61"/>
      <c r="BB198" s="61"/>
      <c r="BC198" s="61"/>
      <c r="BD198" s="61"/>
      <c r="BE198" s="61"/>
      <c r="BF198" s="61"/>
      <c r="BG198" s="61"/>
      <c r="BH198" s="61"/>
      <c r="BI198" s="61"/>
      <c r="BJ198" s="61"/>
      <c r="BK198" s="61"/>
      <c r="BL198" s="61"/>
      <c r="BM198" s="61"/>
      <c r="BN198" s="61"/>
      <c r="BO198" s="61"/>
      <c r="BP198" s="61"/>
      <c r="BQ198" s="61"/>
      <c r="BR198" s="61"/>
      <c r="BS198" s="61"/>
      <c r="BT198" s="61"/>
      <c r="BU198" s="61"/>
      <c r="BV198" s="61"/>
      <c r="BW198" s="61"/>
      <c r="BX198" s="61"/>
      <c r="BY198" s="61"/>
      <c r="BZ198" s="61"/>
      <c r="CA198" s="61"/>
      <c r="CB198" s="61"/>
      <c r="CC198" s="61"/>
      <c r="CD198" s="61"/>
      <c r="CE198" s="61"/>
      <c r="CF198" s="61"/>
      <c r="CG198" s="61"/>
      <c r="CH198" s="61"/>
      <c r="CI198" s="61"/>
      <c r="CJ198" s="61"/>
      <c r="CK198" s="61"/>
      <c r="CL198" s="61"/>
      <c r="CM198" s="61"/>
      <c r="CN198" s="61"/>
      <c r="CO198" s="61"/>
      <c r="CP198" s="61"/>
      <c r="CQ198" s="61"/>
      <c r="CR198" s="61"/>
      <c r="CS198" s="61"/>
      <c r="CT198" s="61"/>
      <c r="CU198" s="61"/>
      <c r="CV198" s="61"/>
    </row>
    <row r="199" spans="1:100">
      <c r="A199" s="146">
        <v>57</v>
      </c>
      <c r="B199" s="141">
        <f ca="1">+RESUMEN!Y60</f>
        <v>0</v>
      </c>
      <c r="C199" s="141">
        <f ca="1">+RESUMEN!Z60</f>
        <v>0</v>
      </c>
      <c r="D199" s="142">
        <f t="shared" ca="1" si="171"/>
        <v>0</v>
      </c>
      <c r="E199" s="60"/>
      <c r="F199" s="313" t="s">
        <v>210</v>
      </c>
      <c r="G199" s="316">
        <v>7462.1</v>
      </c>
      <c r="H199" s="316">
        <v>9504.91</v>
      </c>
      <c r="I199" s="60"/>
      <c r="J199" s="161" t="s">
        <v>210</v>
      </c>
      <c r="K199" s="177">
        <v>4863.71</v>
      </c>
      <c r="L199" s="61"/>
      <c r="M199" s="61"/>
      <c r="N199" s="61"/>
      <c r="O199" s="61"/>
      <c r="P199" s="61"/>
      <c r="Q199" s="61"/>
      <c r="R199" s="61"/>
      <c r="S199" s="61"/>
      <c r="T199" s="61"/>
      <c r="U199" s="61"/>
      <c r="V199" s="61"/>
      <c r="W199" s="61"/>
      <c r="X199" s="61"/>
      <c r="Y199" s="61"/>
      <c r="Z199" s="61"/>
      <c r="AA199" s="61"/>
      <c r="AB199" s="61"/>
      <c r="AC199" s="61"/>
      <c r="AD199" s="61"/>
      <c r="AE199" s="61"/>
      <c r="AF199" s="61"/>
      <c r="AG199" s="61"/>
      <c r="AH199" s="61"/>
      <c r="AI199" s="61"/>
      <c r="AJ199" s="61"/>
      <c r="AK199" s="61"/>
      <c r="AL199" s="61"/>
      <c r="AM199" s="61"/>
      <c r="AN199" s="61"/>
      <c r="AO199" s="61"/>
      <c r="AP199" s="61"/>
      <c r="AQ199" s="61"/>
      <c r="AR199" s="61"/>
      <c r="AS199" s="61"/>
      <c r="AT199" s="61"/>
      <c r="AU199" s="61"/>
      <c r="AV199" s="61"/>
      <c r="AW199" s="61"/>
      <c r="AX199" s="61"/>
      <c r="AY199" s="61"/>
      <c r="AZ199" s="61"/>
      <c r="BA199" s="61"/>
      <c r="BB199" s="61"/>
      <c r="BC199" s="61"/>
      <c r="BD199" s="61"/>
      <c r="BE199" s="61"/>
      <c r="BF199" s="61"/>
      <c r="BG199" s="61"/>
      <c r="BH199" s="61"/>
      <c r="BI199" s="61"/>
      <c r="BJ199" s="61"/>
      <c r="BK199" s="61"/>
      <c r="BL199" s="61"/>
      <c r="BM199" s="61"/>
      <c r="BN199" s="61"/>
      <c r="BO199" s="61"/>
      <c r="BP199" s="61"/>
      <c r="BQ199" s="61"/>
      <c r="BR199" s="61"/>
      <c r="BS199" s="61"/>
      <c r="BT199" s="61"/>
      <c r="BU199" s="61"/>
      <c r="BV199" s="61"/>
      <c r="BW199" s="61"/>
      <c r="BX199" s="61"/>
      <c r="BY199" s="61"/>
      <c r="BZ199" s="61"/>
      <c r="CA199" s="61"/>
      <c r="CB199" s="61"/>
      <c r="CC199" s="61"/>
      <c r="CD199" s="61"/>
      <c r="CE199" s="61"/>
      <c r="CF199" s="61"/>
      <c r="CG199" s="61"/>
      <c r="CH199" s="61"/>
      <c r="CI199" s="61"/>
      <c r="CJ199" s="61"/>
      <c r="CK199" s="61"/>
      <c r="CL199" s="61"/>
      <c r="CM199" s="61"/>
      <c r="CN199" s="61"/>
      <c r="CO199" s="61"/>
      <c r="CP199" s="61"/>
      <c r="CQ199" s="61"/>
      <c r="CR199" s="61"/>
      <c r="CS199" s="61"/>
      <c r="CT199" s="61"/>
      <c r="CU199" s="61"/>
      <c r="CV199" s="61"/>
    </row>
    <row r="200" spans="1:100">
      <c r="A200" s="146">
        <v>58</v>
      </c>
      <c r="B200" s="141">
        <f ca="1">+RESUMEN!Y61</f>
        <v>0</v>
      </c>
      <c r="C200" s="141">
        <f ca="1">+RESUMEN!Z61</f>
        <v>0</v>
      </c>
      <c r="D200" s="142">
        <f t="shared" ca="1" si="171"/>
        <v>0</v>
      </c>
      <c r="E200" s="60"/>
      <c r="F200" s="313" t="s">
        <v>211</v>
      </c>
      <c r="G200" s="316">
        <v>7462.1</v>
      </c>
      <c r="H200" s="316">
        <v>9504.91</v>
      </c>
      <c r="I200" s="60"/>
      <c r="J200" s="161" t="s">
        <v>211</v>
      </c>
      <c r="K200" s="177">
        <v>5521.21</v>
      </c>
      <c r="L200" s="61"/>
      <c r="M200" s="61"/>
      <c r="N200" s="61"/>
      <c r="O200" s="61"/>
      <c r="P200" s="61"/>
      <c r="Q200" s="61"/>
      <c r="R200" s="61"/>
      <c r="S200" s="61"/>
      <c r="T200" s="61"/>
      <c r="U200" s="61"/>
      <c r="V200" s="61"/>
      <c r="W200" s="61"/>
      <c r="X200" s="61"/>
      <c r="Y200" s="61"/>
      <c r="Z200" s="61"/>
      <c r="AA200" s="61"/>
      <c r="AB200" s="61"/>
      <c r="AC200" s="61"/>
      <c r="AD200" s="61"/>
      <c r="AE200" s="61"/>
      <c r="AF200" s="61"/>
      <c r="AG200" s="61"/>
      <c r="AH200" s="61"/>
      <c r="AI200" s="61"/>
      <c r="AJ200" s="61"/>
      <c r="AK200" s="61"/>
      <c r="AL200" s="61"/>
      <c r="AM200" s="61"/>
      <c r="AN200" s="61"/>
      <c r="AO200" s="61"/>
      <c r="AP200" s="61"/>
      <c r="AQ200" s="61"/>
      <c r="AR200" s="61"/>
      <c r="AS200" s="61"/>
      <c r="AT200" s="61"/>
      <c r="AU200" s="61"/>
      <c r="AV200" s="61"/>
      <c r="AW200" s="61"/>
      <c r="AX200" s="61"/>
      <c r="AY200" s="61"/>
      <c r="AZ200" s="61"/>
      <c r="BA200" s="61"/>
      <c r="BB200" s="61"/>
      <c r="BC200" s="61"/>
      <c r="BD200" s="61"/>
      <c r="BE200" s="61"/>
      <c r="BF200" s="61"/>
      <c r="BG200" s="61"/>
      <c r="BH200" s="61"/>
      <c r="BI200" s="61"/>
      <c r="BJ200" s="61"/>
      <c r="BK200" s="61"/>
      <c r="BL200" s="61"/>
      <c r="BM200" s="61"/>
      <c r="BN200" s="61"/>
      <c r="BO200" s="61"/>
      <c r="BP200" s="61"/>
      <c r="BQ200" s="61"/>
      <c r="BR200" s="61"/>
      <c r="BS200" s="61"/>
      <c r="BT200" s="61"/>
      <c r="BU200" s="61"/>
      <c r="BV200" s="61"/>
      <c r="BW200" s="61"/>
      <c r="BX200" s="61"/>
      <c r="BY200" s="61"/>
      <c r="BZ200" s="61"/>
      <c r="CA200" s="61"/>
      <c r="CB200" s="61"/>
      <c r="CC200" s="61"/>
      <c r="CD200" s="61"/>
      <c r="CE200" s="61"/>
      <c r="CF200" s="61"/>
      <c r="CG200" s="61"/>
      <c r="CH200" s="61"/>
      <c r="CI200" s="61"/>
      <c r="CJ200" s="61"/>
      <c r="CK200" s="61"/>
      <c r="CL200" s="61"/>
      <c r="CM200" s="61"/>
      <c r="CN200" s="61"/>
      <c r="CO200" s="61"/>
      <c r="CP200" s="61"/>
      <c r="CQ200" s="61"/>
      <c r="CR200" s="61"/>
      <c r="CS200" s="61"/>
      <c r="CT200" s="61"/>
      <c r="CU200" s="61"/>
      <c r="CV200" s="61"/>
    </row>
    <row r="201" spans="1:100">
      <c r="A201" s="146">
        <v>59</v>
      </c>
      <c r="B201" s="141">
        <f ca="1">+RESUMEN!Y62</f>
        <v>0</v>
      </c>
      <c r="C201" s="141">
        <f ca="1">+RESUMEN!Z62</f>
        <v>0</v>
      </c>
      <c r="D201" s="142">
        <f t="shared" ca="1" si="171"/>
        <v>0</v>
      </c>
      <c r="E201" s="60"/>
      <c r="F201" s="313" t="s">
        <v>212</v>
      </c>
      <c r="G201" s="316">
        <v>7462.1</v>
      </c>
      <c r="H201" s="316">
        <v>9504.91</v>
      </c>
      <c r="I201" s="60"/>
      <c r="J201" s="161" t="s">
        <v>212</v>
      </c>
      <c r="K201" s="177">
        <v>6260.39</v>
      </c>
      <c r="L201" s="61"/>
      <c r="M201" s="61"/>
      <c r="N201" s="61"/>
      <c r="O201" s="61"/>
      <c r="P201" s="61"/>
      <c r="Q201" s="61"/>
      <c r="R201" s="61"/>
      <c r="S201" s="61"/>
      <c r="T201" s="61"/>
      <c r="U201" s="61"/>
      <c r="V201" s="61"/>
      <c r="W201" s="61"/>
      <c r="X201" s="61"/>
      <c r="Y201" s="61"/>
      <c r="Z201" s="61"/>
      <c r="AA201" s="61"/>
      <c r="AB201" s="61"/>
      <c r="AC201" s="61"/>
      <c r="AD201" s="61"/>
      <c r="AE201" s="61"/>
      <c r="AF201" s="61"/>
      <c r="AG201" s="61"/>
      <c r="AH201" s="61"/>
      <c r="AI201" s="61"/>
      <c r="AJ201" s="61"/>
      <c r="AK201" s="61"/>
      <c r="AL201" s="61"/>
      <c r="AM201" s="61"/>
      <c r="AN201" s="61"/>
      <c r="AO201" s="61"/>
      <c r="AP201" s="61"/>
      <c r="AQ201" s="61"/>
      <c r="AR201" s="61"/>
      <c r="AS201" s="61"/>
      <c r="AT201" s="61"/>
      <c r="AU201" s="61"/>
      <c r="AV201" s="61"/>
      <c r="AW201" s="61"/>
      <c r="AX201" s="61"/>
      <c r="AY201" s="61"/>
      <c r="AZ201" s="61"/>
      <c r="BA201" s="61"/>
      <c r="BB201" s="61"/>
      <c r="BC201" s="61"/>
      <c r="BD201" s="61"/>
      <c r="BE201" s="61"/>
      <c r="BF201" s="61"/>
      <c r="BG201" s="61"/>
      <c r="BH201" s="61"/>
      <c r="BI201" s="61"/>
      <c r="BJ201" s="61"/>
      <c r="BK201" s="61"/>
      <c r="BL201" s="61"/>
      <c r="BM201" s="61"/>
      <c r="BN201" s="61"/>
      <c r="BO201" s="61"/>
      <c r="BP201" s="61"/>
      <c r="BQ201" s="61"/>
      <c r="BR201" s="61"/>
      <c r="BS201" s="61"/>
      <c r="BT201" s="61"/>
      <c r="BU201" s="61"/>
      <c r="BV201" s="61"/>
      <c r="BW201" s="61"/>
      <c r="BX201" s="61"/>
      <c r="BY201" s="61"/>
      <c r="BZ201" s="61"/>
      <c r="CA201" s="61"/>
      <c r="CB201" s="61"/>
      <c r="CC201" s="61"/>
      <c r="CD201" s="61"/>
      <c r="CE201" s="61"/>
      <c r="CF201" s="61"/>
      <c r="CG201" s="61"/>
      <c r="CH201" s="61"/>
      <c r="CI201" s="61"/>
      <c r="CJ201" s="61"/>
      <c r="CK201" s="61"/>
      <c r="CL201" s="61"/>
      <c r="CM201" s="61"/>
      <c r="CN201" s="61"/>
      <c r="CO201" s="61"/>
      <c r="CP201" s="61"/>
      <c r="CQ201" s="61"/>
      <c r="CR201" s="61"/>
      <c r="CS201" s="61"/>
      <c r="CT201" s="61"/>
      <c r="CU201" s="61"/>
      <c r="CV201" s="61"/>
    </row>
    <row r="202" spans="1:100">
      <c r="A202" s="146">
        <v>60</v>
      </c>
      <c r="B202" s="141">
        <f ca="1">+RESUMEN!Y63</f>
        <v>0</v>
      </c>
      <c r="C202" s="141">
        <f ca="1">+RESUMEN!Z63</f>
        <v>0</v>
      </c>
      <c r="D202" s="142">
        <f t="shared" ca="1" si="171"/>
        <v>0</v>
      </c>
      <c r="E202" s="60"/>
      <c r="F202" s="313" t="s">
        <v>213</v>
      </c>
      <c r="G202" s="316">
        <v>7462.1</v>
      </c>
      <c r="H202" s="316">
        <v>9504.91</v>
      </c>
      <c r="I202" s="60"/>
      <c r="J202" s="161" t="s">
        <v>213</v>
      </c>
      <c r="K202" s="177">
        <v>7087.18</v>
      </c>
      <c r="L202" s="61"/>
      <c r="M202" s="61"/>
      <c r="N202" s="61"/>
      <c r="O202" s="61"/>
      <c r="P202" s="61"/>
      <c r="Q202" s="61"/>
      <c r="R202" s="61"/>
      <c r="S202" s="61"/>
      <c r="T202" s="61"/>
      <c r="U202" s="61"/>
      <c r="V202" s="61"/>
      <c r="W202" s="61"/>
      <c r="X202" s="61"/>
      <c r="Y202" s="61"/>
      <c r="Z202" s="61"/>
      <c r="AA202" s="61"/>
      <c r="AB202" s="61"/>
      <c r="AC202" s="61"/>
      <c r="AD202" s="61"/>
      <c r="AE202" s="61"/>
      <c r="AF202" s="61"/>
      <c r="AG202" s="61"/>
      <c r="AH202" s="61"/>
      <c r="AI202" s="61"/>
      <c r="AJ202" s="61"/>
      <c r="AK202" s="61"/>
      <c r="AL202" s="61"/>
      <c r="AM202" s="61"/>
      <c r="AN202" s="61"/>
      <c r="AO202" s="61"/>
      <c r="AP202" s="61"/>
      <c r="AQ202" s="61"/>
      <c r="AR202" s="61"/>
      <c r="AS202" s="61"/>
      <c r="AT202" s="61"/>
      <c r="AU202" s="61"/>
      <c r="AV202" s="61"/>
      <c r="AW202" s="61"/>
      <c r="AX202" s="61"/>
      <c r="AY202" s="61"/>
      <c r="AZ202" s="61"/>
      <c r="BA202" s="61"/>
      <c r="BB202" s="61"/>
      <c r="BC202" s="61"/>
      <c r="BD202" s="61"/>
      <c r="BE202" s="61"/>
      <c r="BF202" s="61"/>
      <c r="BG202" s="61"/>
      <c r="BH202" s="61"/>
      <c r="BI202" s="61"/>
      <c r="BJ202" s="61"/>
      <c r="BK202" s="61"/>
      <c r="BL202" s="61"/>
      <c r="BM202" s="61"/>
      <c r="BN202" s="61"/>
      <c r="BO202" s="61"/>
      <c r="BP202" s="61"/>
      <c r="BQ202" s="61"/>
      <c r="BR202" s="61"/>
      <c r="BS202" s="61"/>
      <c r="BT202" s="61"/>
      <c r="BU202" s="61"/>
      <c r="BV202" s="61"/>
      <c r="BW202" s="61"/>
      <c r="BX202" s="61"/>
      <c r="BY202" s="61"/>
      <c r="BZ202" s="61"/>
      <c r="CA202" s="61"/>
      <c r="CB202" s="61"/>
      <c r="CC202" s="61"/>
      <c r="CD202" s="61"/>
      <c r="CE202" s="61"/>
      <c r="CF202" s="61"/>
      <c r="CG202" s="61"/>
      <c r="CH202" s="61"/>
      <c r="CI202" s="61"/>
      <c r="CJ202" s="61"/>
      <c r="CK202" s="61"/>
      <c r="CL202" s="61"/>
      <c r="CM202" s="61"/>
      <c r="CN202" s="61"/>
      <c r="CO202" s="61"/>
      <c r="CP202" s="61"/>
      <c r="CQ202" s="61"/>
      <c r="CR202" s="61"/>
      <c r="CS202" s="61"/>
      <c r="CT202" s="61"/>
      <c r="CU202" s="61"/>
      <c r="CV202" s="61"/>
    </row>
    <row r="203" spans="1:100">
      <c r="A203" s="146">
        <v>61</v>
      </c>
      <c r="B203" s="141">
        <f ca="1">+RESUMEN!Y64</f>
        <v>0</v>
      </c>
      <c r="C203" s="141">
        <f ca="1">+RESUMEN!Z64</f>
        <v>0</v>
      </c>
      <c r="D203" s="142">
        <f t="shared" ca="1" si="171"/>
        <v>0</v>
      </c>
      <c r="E203" s="60"/>
      <c r="F203" s="313" t="s">
        <v>214</v>
      </c>
      <c r="G203" s="316">
        <v>7462.1</v>
      </c>
      <c r="H203" s="316">
        <v>9504.91</v>
      </c>
      <c r="I203" s="60"/>
      <c r="J203" s="161" t="s">
        <v>214</v>
      </c>
      <c r="K203" s="177">
        <v>8006.57</v>
      </c>
      <c r="L203" s="61"/>
      <c r="M203" s="61"/>
      <c r="N203" s="61"/>
      <c r="O203" s="61"/>
      <c r="P203" s="61"/>
      <c r="Q203" s="61"/>
      <c r="R203" s="61"/>
      <c r="S203" s="61"/>
      <c r="T203" s="61"/>
      <c r="U203" s="61"/>
      <c r="V203" s="61"/>
      <c r="W203" s="61"/>
      <c r="X203" s="61"/>
      <c r="Y203" s="61"/>
      <c r="Z203" s="61"/>
      <c r="AA203" s="61"/>
      <c r="AB203" s="61"/>
      <c r="AC203" s="61"/>
      <c r="AD203" s="61"/>
      <c r="AE203" s="61"/>
      <c r="AF203" s="61"/>
      <c r="AG203" s="61"/>
      <c r="AH203" s="61"/>
      <c r="AI203" s="61"/>
      <c r="AJ203" s="61"/>
      <c r="AK203" s="61"/>
      <c r="AL203" s="61"/>
      <c r="AM203" s="61"/>
      <c r="AN203" s="61"/>
      <c r="AO203" s="61"/>
      <c r="AP203" s="61"/>
      <c r="AQ203" s="61"/>
      <c r="AR203" s="61"/>
      <c r="AS203" s="61"/>
      <c r="AT203" s="61"/>
      <c r="AU203" s="61"/>
      <c r="AV203" s="61"/>
      <c r="AW203" s="61"/>
      <c r="AX203" s="61"/>
      <c r="AY203" s="61"/>
      <c r="AZ203" s="61"/>
      <c r="BA203" s="61"/>
      <c r="BB203" s="61"/>
      <c r="BC203" s="61"/>
      <c r="BD203" s="61"/>
      <c r="BE203" s="61"/>
      <c r="BF203" s="61"/>
      <c r="BG203" s="61"/>
      <c r="BH203" s="61"/>
      <c r="BI203" s="61"/>
      <c r="BJ203" s="61"/>
      <c r="BK203" s="61"/>
      <c r="BL203" s="61"/>
      <c r="BM203" s="61"/>
      <c r="BN203" s="61"/>
      <c r="BO203" s="61"/>
      <c r="BP203" s="61"/>
      <c r="BQ203" s="61"/>
      <c r="BR203" s="61"/>
      <c r="BS203" s="61"/>
      <c r="BT203" s="61"/>
      <c r="BU203" s="61"/>
      <c r="BV203" s="61"/>
      <c r="BW203" s="61"/>
      <c r="BX203" s="61"/>
      <c r="BY203" s="61"/>
      <c r="BZ203" s="61"/>
      <c r="CA203" s="61"/>
      <c r="CB203" s="61"/>
      <c r="CC203" s="61"/>
      <c r="CD203" s="61"/>
      <c r="CE203" s="61"/>
      <c r="CF203" s="61"/>
      <c r="CG203" s="61"/>
      <c r="CH203" s="61"/>
      <c r="CI203" s="61"/>
      <c r="CJ203" s="61"/>
      <c r="CK203" s="61"/>
      <c r="CL203" s="61"/>
      <c r="CM203" s="61"/>
      <c r="CN203" s="61"/>
      <c r="CO203" s="61"/>
      <c r="CP203" s="61"/>
      <c r="CQ203" s="61"/>
      <c r="CR203" s="61"/>
      <c r="CS203" s="61"/>
      <c r="CT203" s="61"/>
      <c r="CU203" s="61"/>
      <c r="CV203" s="61"/>
    </row>
    <row r="204" spans="1:100">
      <c r="A204" s="146">
        <v>62</v>
      </c>
      <c r="B204" s="141">
        <f ca="1">+RESUMEN!Y65</f>
        <v>0</v>
      </c>
      <c r="C204" s="141">
        <f ca="1">+RESUMEN!Z65</f>
        <v>0</v>
      </c>
      <c r="D204" s="142">
        <f t="shared" ca="1" si="171"/>
        <v>0</v>
      </c>
      <c r="E204" s="60"/>
      <c r="F204" s="313" t="s">
        <v>215</v>
      </c>
      <c r="G204" s="316">
        <v>7462.1</v>
      </c>
      <c r="H204" s="316">
        <v>9504.91</v>
      </c>
      <c r="I204" s="60"/>
      <c r="J204" s="161" t="s">
        <v>215</v>
      </c>
      <c r="K204" s="177">
        <v>9021.89</v>
      </c>
      <c r="L204" s="61"/>
      <c r="M204" s="61"/>
      <c r="N204" s="61"/>
      <c r="O204" s="61"/>
      <c r="P204" s="61"/>
      <c r="Q204" s="61"/>
      <c r="R204" s="61"/>
      <c r="S204" s="61"/>
      <c r="T204" s="61"/>
      <c r="U204" s="61"/>
      <c r="V204" s="61"/>
      <c r="W204" s="61"/>
      <c r="X204" s="61"/>
      <c r="Y204" s="61"/>
      <c r="Z204" s="61"/>
      <c r="AA204" s="61"/>
      <c r="AB204" s="61"/>
      <c r="AC204" s="61"/>
      <c r="AD204" s="61"/>
      <c r="AE204" s="61"/>
      <c r="AF204" s="61"/>
      <c r="AG204" s="61"/>
      <c r="AH204" s="61"/>
      <c r="AI204" s="61"/>
      <c r="AJ204" s="61"/>
      <c r="AK204" s="61"/>
      <c r="AL204" s="61"/>
      <c r="AM204" s="61"/>
      <c r="AN204" s="61"/>
      <c r="AO204" s="61"/>
      <c r="AP204" s="61"/>
      <c r="AQ204" s="61"/>
      <c r="AR204" s="61"/>
      <c r="AS204" s="61"/>
      <c r="AT204" s="61"/>
      <c r="AU204" s="61"/>
      <c r="AV204" s="61"/>
      <c r="AW204" s="61"/>
      <c r="AX204" s="61"/>
      <c r="AY204" s="61"/>
      <c r="AZ204" s="61"/>
      <c r="BA204" s="61"/>
      <c r="BB204" s="61"/>
      <c r="BC204" s="61"/>
      <c r="BD204" s="61"/>
      <c r="BE204" s="61"/>
      <c r="BF204" s="61"/>
      <c r="BG204" s="61"/>
      <c r="BH204" s="61"/>
      <c r="BI204" s="61"/>
      <c r="BJ204" s="61"/>
      <c r="BK204" s="61"/>
      <c r="BL204" s="61"/>
      <c r="BM204" s="61"/>
      <c r="BN204" s="61"/>
      <c r="BO204" s="61"/>
      <c r="BP204" s="61"/>
      <c r="BQ204" s="61"/>
      <c r="BR204" s="61"/>
      <c r="BS204" s="61"/>
      <c r="BT204" s="61"/>
      <c r="BU204" s="61"/>
      <c r="BV204" s="61"/>
      <c r="BW204" s="61"/>
      <c r="BX204" s="61"/>
      <c r="BY204" s="61"/>
      <c r="BZ204" s="61"/>
      <c r="CA204" s="61"/>
      <c r="CB204" s="61"/>
      <c r="CC204" s="61"/>
      <c r="CD204" s="61"/>
      <c r="CE204" s="61"/>
      <c r="CF204" s="61"/>
      <c r="CG204" s="61"/>
      <c r="CH204" s="61"/>
      <c r="CI204" s="61"/>
      <c r="CJ204" s="61"/>
      <c r="CK204" s="61"/>
      <c r="CL204" s="61"/>
      <c r="CM204" s="61"/>
      <c r="CN204" s="61"/>
      <c r="CO204" s="61"/>
      <c r="CP204" s="61"/>
      <c r="CQ204" s="61"/>
      <c r="CR204" s="61"/>
      <c r="CS204" s="61"/>
      <c r="CT204" s="61"/>
      <c r="CU204" s="61"/>
      <c r="CV204" s="61"/>
    </row>
    <row r="205" spans="1:100">
      <c r="A205" s="146">
        <v>63</v>
      </c>
      <c r="B205" s="141">
        <f ca="1">+RESUMEN!Y66</f>
        <v>0</v>
      </c>
      <c r="C205" s="141">
        <f ca="1">+RESUMEN!Z66</f>
        <v>0</v>
      </c>
      <c r="D205" s="142">
        <f t="shared" ca="1" si="171"/>
        <v>0</v>
      </c>
      <c r="E205" s="60"/>
      <c r="F205" s="313" t="s">
        <v>216</v>
      </c>
      <c r="G205" s="316">
        <v>7462.1</v>
      </c>
      <c r="H205" s="316">
        <v>9504.91</v>
      </c>
      <c r="I205" s="60"/>
      <c r="J205" s="161" t="s">
        <v>216</v>
      </c>
      <c r="K205" s="177">
        <v>10134.290000000001</v>
      </c>
      <c r="L205" s="61"/>
      <c r="M205" s="61"/>
      <c r="N205" s="61"/>
      <c r="O205" s="61"/>
      <c r="P205" s="61"/>
      <c r="Q205" s="61"/>
      <c r="R205" s="61"/>
      <c r="S205" s="61"/>
      <c r="T205" s="61"/>
      <c r="U205" s="61"/>
      <c r="V205" s="61"/>
      <c r="W205" s="61"/>
      <c r="X205" s="61"/>
      <c r="Y205" s="61"/>
      <c r="Z205" s="61"/>
      <c r="AA205" s="61"/>
      <c r="AB205" s="61"/>
      <c r="AC205" s="61"/>
      <c r="AD205" s="61"/>
      <c r="AE205" s="61"/>
      <c r="AF205" s="61"/>
      <c r="AG205" s="61"/>
      <c r="AH205" s="61"/>
      <c r="AI205" s="61"/>
      <c r="AJ205" s="61"/>
      <c r="AK205" s="61"/>
      <c r="AL205" s="61"/>
      <c r="AM205" s="61"/>
      <c r="AN205" s="61"/>
      <c r="AO205" s="61"/>
      <c r="AP205" s="61"/>
      <c r="AQ205" s="61"/>
      <c r="AR205" s="61"/>
      <c r="AS205" s="61"/>
      <c r="AT205" s="61"/>
      <c r="AU205" s="61"/>
      <c r="AV205" s="61"/>
      <c r="AW205" s="61"/>
      <c r="AX205" s="61"/>
      <c r="AY205" s="61"/>
      <c r="AZ205" s="61"/>
      <c r="BA205" s="61"/>
      <c r="BB205" s="61"/>
      <c r="BC205" s="61"/>
      <c r="BD205" s="61"/>
      <c r="BE205" s="61"/>
      <c r="BF205" s="61"/>
      <c r="BG205" s="61"/>
      <c r="BH205" s="61"/>
      <c r="BI205" s="61"/>
      <c r="BJ205" s="61"/>
      <c r="BK205" s="61"/>
      <c r="BL205" s="61"/>
      <c r="BM205" s="61"/>
      <c r="BN205" s="61"/>
      <c r="BO205" s="61"/>
      <c r="BP205" s="61"/>
      <c r="BQ205" s="61"/>
      <c r="BR205" s="61"/>
      <c r="BS205" s="61"/>
      <c r="BT205" s="61"/>
      <c r="BU205" s="61"/>
      <c r="BV205" s="61"/>
      <c r="BW205" s="61"/>
      <c r="BX205" s="61"/>
      <c r="BY205" s="61"/>
      <c r="BZ205" s="61"/>
      <c r="CA205" s="61"/>
      <c r="CB205" s="61"/>
      <c r="CC205" s="61"/>
      <c r="CD205" s="61"/>
      <c r="CE205" s="61"/>
      <c r="CF205" s="61"/>
      <c r="CG205" s="61"/>
      <c r="CH205" s="61"/>
      <c r="CI205" s="61"/>
      <c r="CJ205" s="61"/>
      <c r="CK205" s="61"/>
      <c r="CL205" s="61"/>
      <c r="CM205" s="61"/>
      <c r="CN205" s="61"/>
      <c r="CO205" s="61"/>
      <c r="CP205" s="61"/>
      <c r="CQ205" s="61"/>
      <c r="CR205" s="61"/>
      <c r="CS205" s="61"/>
      <c r="CT205" s="61"/>
      <c r="CU205" s="61"/>
      <c r="CV205" s="61"/>
    </row>
    <row r="206" spans="1:100">
      <c r="A206" s="146">
        <v>64</v>
      </c>
      <c r="B206" s="141">
        <f ca="1">+RESUMEN!Y67</f>
        <v>0</v>
      </c>
      <c r="C206" s="141">
        <f ca="1">+RESUMEN!Z67</f>
        <v>0</v>
      </c>
      <c r="D206" s="142">
        <f t="shared" ref="D206:D242" ca="1" si="172">B206+C206</f>
        <v>0</v>
      </c>
      <c r="E206" s="60"/>
      <c r="F206" s="313" t="s">
        <v>217</v>
      </c>
      <c r="G206" s="316">
        <v>7462.1</v>
      </c>
      <c r="H206" s="316">
        <v>9504.91</v>
      </c>
      <c r="I206" s="60"/>
      <c r="J206" s="161" t="s">
        <v>217</v>
      </c>
      <c r="K206" s="177">
        <v>11342</v>
      </c>
      <c r="L206" s="61"/>
      <c r="M206" s="61"/>
      <c r="N206" s="61"/>
      <c r="O206" s="61"/>
      <c r="P206" s="61"/>
      <c r="Q206" s="61"/>
      <c r="R206" s="61"/>
      <c r="S206" s="61"/>
      <c r="T206" s="61"/>
      <c r="U206" s="61"/>
      <c r="V206" s="61"/>
      <c r="W206" s="61"/>
      <c r="X206" s="61"/>
      <c r="Y206" s="61"/>
      <c r="Z206" s="61"/>
      <c r="AA206" s="61"/>
      <c r="AB206" s="61"/>
      <c r="AC206" s="61"/>
      <c r="AD206" s="61"/>
      <c r="AE206" s="61"/>
      <c r="AF206" s="61"/>
      <c r="AG206" s="61"/>
      <c r="AH206" s="61"/>
      <c r="AI206" s="61"/>
      <c r="AJ206" s="61"/>
      <c r="AK206" s="61"/>
      <c r="AL206" s="61"/>
      <c r="AM206" s="61"/>
      <c r="AN206" s="61"/>
      <c r="AO206" s="61"/>
      <c r="AP206" s="61"/>
      <c r="AQ206" s="61"/>
      <c r="AR206" s="61"/>
      <c r="AS206" s="61"/>
      <c r="AT206" s="61"/>
      <c r="AU206" s="61"/>
      <c r="AV206" s="61"/>
      <c r="AW206" s="61"/>
      <c r="AX206" s="61"/>
      <c r="AY206" s="61"/>
      <c r="AZ206" s="61"/>
      <c r="BA206" s="61"/>
      <c r="BB206" s="61"/>
      <c r="BC206" s="61"/>
      <c r="BD206" s="61"/>
      <c r="BE206" s="61"/>
      <c r="BF206" s="61"/>
      <c r="BG206" s="61"/>
      <c r="BH206" s="61"/>
      <c r="BI206" s="61"/>
      <c r="BJ206" s="61"/>
      <c r="BK206" s="61"/>
      <c r="BL206" s="61"/>
      <c r="BM206" s="61"/>
      <c r="BN206" s="61"/>
      <c r="BO206" s="61"/>
      <c r="BP206" s="61"/>
      <c r="BQ206" s="61"/>
      <c r="BR206" s="61"/>
      <c r="BS206" s="61"/>
      <c r="BT206" s="61"/>
      <c r="BU206" s="61"/>
      <c r="BV206" s="61"/>
      <c r="BW206" s="61"/>
      <c r="BX206" s="61"/>
      <c r="BY206" s="61"/>
      <c r="BZ206" s="61"/>
      <c r="CA206" s="61"/>
      <c r="CB206" s="61"/>
      <c r="CC206" s="61"/>
      <c r="CD206" s="61"/>
      <c r="CE206" s="61"/>
      <c r="CF206" s="61"/>
      <c r="CG206" s="61"/>
      <c r="CH206" s="61"/>
      <c r="CI206" s="61"/>
      <c r="CJ206" s="61"/>
      <c r="CK206" s="61"/>
      <c r="CL206" s="61"/>
      <c r="CM206" s="61"/>
      <c r="CN206" s="61"/>
      <c r="CO206" s="61"/>
      <c r="CP206" s="61"/>
      <c r="CQ206" s="61"/>
      <c r="CR206" s="61"/>
      <c r="CS206" s="61"/>
      <c r="CT206" s="61"/>
      <c r="CU206" s="61"/>
      <c r="CV206" s="61"/>
    </row>
    <row r="207" spans="1:100">
      <c r="A207" s="146">
        <v>65</v>
      </c>
      <c r="B207" s="141">
        <f ca="1">+RESUMEN!Y68</f>
        <v>0</v>
      </c>
      <c r="C207" s="141">
        <f ca="1">+RESUMEN!Z68</f>
        <v>0</v>
      </c>
      <c r="D207" s="142">
        <f t="shared" ca="1" si="172"/>
        <v>0</v>
      </c>
      <c r="E207" s="60"/>
      <c r="F207" s="313" t="s">
        <v>218</v>
      </c>
      <c r="G207" s="316">
        <v>7462.1</v>
      </c>
      <c r="H207" s="316">
        <v>9504.91</v>
      </c>
      <c r="I207" s="60"/>
      <c r="J207" s="161" t="s">
        <v>218</v>
      </c>
      <c r="K207" s="177">
        <v>12639.96</v>
      </c>
      <c r="L207" s="280"/>
      <c r="M207" s="61"/>
      <c r="N207" s="61"/>
      <c r="O207" s="61"/>
      <c r="P207" s="61"/>
      <c r="Q207" s="61"/>
      <c r="R207" s="61"/>
      <c r="S207" s="61"/>
      <c r="T207" s="61"/>
      <c r="U207" s="61"/>
      <c r="V207" s="61"/>
      <c r="W207" s="61"/>
      <c r="X207" s="61"/>
      <c r="Y207" s="61"/>
      <c r="Z207" s="61"/>
      <c r="AA207" s="61"/>
      <c r="AB207" s="61"/>
      <c r="AC207" s="61"/>
      <c r="AD207" s="61"/>
      <c r="AE207" s="61"/>
      <c r="AF207" s="61"/>
      <c r="AG207" s="61"/>
      <c r="AH207" s="61"/>
      <c r="AI207" s="61"/>
      <c r="AJ207" s="61"/>
      <c r="AK207" s="61"/>
      <c r="AL207" s="61"/>
      <c r="AM207" s="61"/>
      <c r="AN207" s="61"/>
      <c r="AO207" s="61"/>
      <c r="AP207" s="61"/>
      <c r="AQ207" s="61"/>
      <c r="AR207" s="61"/>
      <c r="AS207" s="61"/>
      <c r="AT207" s="61"/>
      <c r="AU207" s="61"/>
      <c r="AV207" s="61"/>
      <c r="AW207" s="61"/>
      <c r="AX207" s="61"/>
      <c r="AY207" s="61"/>
      <c r="AZ207" s="61"/>
      <c r="BA207" s="61"/>
      <c r="BB207" s="61"/>
      <c r="BC207" s="61"/>
      <c r="BD207" s="61"/>
      <c r="BE207" s="61"/>
      <c r="BF207" s="61"/>
      <c r="BG207" s="61"/>
      <c r="BH207" s="61"/>
      <c r="BI207" s="61"/>
      <c r="BJ207" s="61"/>
      <c r="BK207" s="61"/>
      <c r="BL207" s="61"/>
      <c r="BM207" s="61"/>
      <c r="BN207" s="61"/>
      <c r="BO207" s="61"/>
      <c r="BP207" s="61"/>
      <c r="BQ207" s="61"/>
      <c r="BR207" s="61"/>
      <c r="BS207" s="61"/>
      <c r="BT207" s="61"/>
      <c r="BU207" s="61"/>
      <c r="BV207" s="61"/>
      <c r="BW207" s="61"/>
      <c r="BX207" s="61"/>
      <c r="BY207" s="61"/>
      <c r="BZ207" s="61"/>
      <c r="CA207" s="61"/>
      <c r="CB207" s="61"/>
      <c r="CC207" s="61"/>
      <c r="CD207" s="61"/>
      <c r="CE207" s="61"/>
      <c r="CF207" s="61"/>
      <c r="CG207" s="61"/>
      <c r="CH207" s="61"/>
      <c r="CI207" s="61"/>
      <c r="CJ207" s="61"/>
      <c r="CK207" s="61"/>
      <c r="CL207" s="61"/>
      <c r="CM207" s="61"/>
      <c r="CN207" s="61"/>
      <c r="CO207" s="61"/>
      <c r="CP207" s="61"/>
      <c r="CQ207" s="61"/>
      <c r="CR207" s="61"/>
      <c r="CS207" s="61"/>
      <c r="CT207" s="61"/>
      <c r="CU207" s="61"/>
      <c r="CV207" s="61"/>
    </row>
    <row r="208" spans="1:100">
      <c r="A208" s="146">
        <v>66</v>
      </c>
      <c r="B208" s="141">
        <f ca="1">+RESUMEN!Y69</f>
        <v>0</v>
      </c>
      <c r="C208" s="141">
        <f ca="1">+RESUMEN!Z69</f>
        <v>0</v>
      </c>
      <c r="D208" s="142">
        <f t="shared" ca="1" si="172"/>
        <v>0</v>
      </c>
      <c r="E208" s="60"/>
      <c r="F208" s="60"/>
      <c r="G208" s="60"/>
      <c r="H208" s="60"/>
      <c r="I208" s="60"/>
      <c r="J208" s="60"/>
      <c r="K208" s="61"/>
      <c r="L208" s="61"/>
      <c r="M208" s="61"/>
      <c r="N208" s="61"/>
      <c r="O208" s="61"/>
      <c r="P208" s="61"/>
      <c r="Q208" s="61"/>
      <c r="R208" s="61"/>
      <c r="S208" s="61"/>
      <c r="T208" s="61"/>
      <c r="U208" s="61"/>
      <c r="V208" s="61"/>
      <c r="W208" s="61"/>
      <c r="X208" s="61"/>
      <c r="Y208" s="61"/>
      <c r="Z208" s="61"/>
      <c r="AA208" s="61"/>
      <c r="AB208" s="61"/>
      <c r="AC208" s="61"/>
      <c r="AD208" s="61"/>
      <c r="AE208" s="61"/>
      <c r="AF208" s="61"/>
      <c r="AG208" s="61"/>
      <c r="AH208" s="61"/>
      <c r="AI208" s="61"/>
      <c r="AJ208" s="61"/>
      <c r="AK208" s="61"/>
      <c r="AL208" s="61"/>
      <c r="AM208" s="61"/>
      <c r="AN208" s="61"/>
      <c r="AO208" s="61"/>
      <c r="AP208" s="61"/>
      <c r="AQ208" s="61"/>
      <c r="AR208" s="61"/>
      <c r="AS208" s="61"/>
      <c r="AT208" s="61"/>
      <c r="AU208" s="61"/>
      <c r="AV208" s="61"/>
      <c r="AW208" s="61"/>
      <c r="AX208" s="61"/>
      <c r="AY208" s="61"/>
      <c r="AZ208" s="61"/>
      <c r="BA208" s="61"/>
      <c r="BB208" s="61"/>
      <c r="BC208" s="61"/>
      <c r="BD208" s="61"/>
      <c r="BE208" s="61"/>
      <c r="BF208" s="61"/>
      <c r="BG208" s="61"/>
      <c r="BH208" s="61"/>
      <c r="BI208" s="61"/>
      <c r="BJ208" s="61"/>
      <c r="BK208" s="61"/>
      <c r="BL208" s="61"/>
      <c r="BM208" s="61"/>
      <c r="BN208" s="61"/>
      <c r="BO208" s="61"/>
      <c r="BP208" s="61"/>
      <c r="BQ208" s="61"/>
      <c r="BR208" s="61"/>
      <c r="BS208" s="61"/>
      <c r="BT208" s="61"/>
      <c r="BU208" s="61"/>
      <c r="BV208" s="61"/>
      <c r="BW208" s="61"/>
      <c r="BX208" s="61"/>
      <c r="BY208" s="61"/>
      <c r="BZ208" s="61"/>
      <c r="CA208" s="61"/>
      <c r="CB208" s="61"/>
      <c r="CC208" s="61"/>
      <c r="CD208" s="61"/>
      <c r="CE208" s="61"/>
      <c r="CF208" s="61"/>
      <c r="CG208" s="61"/>
      <c r="CH208" s="61"/>
      <c r="CI208" s="61"/>
      <c r="CJ208" s="61"/>
      <c r="CK208" s="61"/>
      <c r="CL208" s="61"/>
      <c r="CM208" s="61"/>
      <c r="CN208" s="61"/>
      <c r="CO208" s="61"/>
      <c r="CP208" s="61"/>
      <c r="CQ208" s="61"/>
      <c r="CR208" s="61"/>
      <c r="CS208" s="61"/>
      <c r="CT208" s="61"/>
      <c r="CU208" s="61"/>
      <c r="CV208" s="61"/>
    </row>
    <row r="209" spans="1:100">
      <c r="A209" s="146">
        <v>67</v>
      </c>
      <c r="B209" s="141">
        <f ca="1">+RESUMEN!Y70</f>
        <v>0</v>
      </c>
      <c r="C209" s="141">
        <f ca="1">+RESUMEN!Z70</f>
        <v>0</v>
      </c>
      <c r="D209" s="142">
        <f t="shared" ca="1" si="172"/>
        <v>0</v>
      </c>
      <c r="E209" s="60"/>
      <c r="F209" s="60"/>
      <c r="G209" s="60"/>
      <c r="H209" s="60"/>
      <c r="I209" s="60"/>
      <c r="J209" s="60"/>
      <c r="K209" s="61"/>
      <c r="L209" s="61"/>
      <c r="M209" s="61"/>
      <c r="N209" s="61"/>
      <c r="O209" s="61"/>
      <c r="P209" s="61"/>
      <c r="Q209" s="61"/>
      <c r="R209" s="61"/>
      <c r="S209" s="61"/>
      <c r="T209" s="61"/>
      <c r="U209" s="61"/>
      <c r="V209" s="61"/>
      <c r="W209" s="61"/>
      <c r="X209" s="61"/>
      <c r="Y209" s="61"/>
      <c r="Z209" s="61"/>
      <c r="AA209" s="61"/>
      <c r="AB209" s="61"/>
      <c r="AC209" s="61"/>
      <c r="AD209" s="61"/>
      <c r="AE209" s="61"/>
      <c r="AF209" s="61"/>
      <c r="AG209" s="61"/>
      <c r="AH209" s="61"/>
      <c r="AI209" s="61"/>
      <c r="AJ209" s="61"/>
      <c r="AK209" s="61"/>
      <c r="AL209" s="61"/>
      <c r="AM209" s="61"/>
      <c r="AN209" s="61"/>
      <c r="AO209" s="61"/>
      <c r="AP209" s="61"/>
      <c r="AQ209" s="61"/>
      <c r="AR209" s="61"/>
      <c r="AS209" s="61"/>
      <c r="AT209" s="61"/>
      <c r="AU209" s="61"/>
      <c r="AV209" s="61"/>
      <c r="AW209" s="61"/>
      <c r="AX209" s="61"/>
      <c r="AY209" s="61"/>
      <c r="AZ209" s="61"/>
      <c r="BA209" s="61"/>
      <c r="BB209" s="61"/>
      <c r="BC209" s="61"/>
      <c r="BD209" s="61"/>
      <c r="BE209" s="61"/>
      <c r="BF209" s="61"/>
      <c r="BG209" s="61"/>
      <c r="BH209" s="61"/>
      <c r="BI209" s="61"/>
      <c r="BJ209" s="61"/>
      <c r="BK209" s="61"/>
      <c r="BL209" s="61"/>
      <c r="BM209" s="61"/>
      <c r="BN209" s="61"/>
      <c r="BO209" s="61"/>
      <c r="BP209" s="61"/>
      <c r="BQ209" s="61"/>
      <c r="BR209" s="61"/>
      <c r="BS209" s="61"/>
      <c r="BT209" s="61"/>
      <c r="BU209" s="61"/>
      <c r="BV209" s="61"/>
      <c r="BW209" s="61"/>
      <c r="BX209" s="61"/>
      <c r="BY209" s="61"/>
      <c r="BZ209" s="61"/>
      <c r="CA209" s="61"/>
      <c r="CB209" s="61"/>
      <c r="CC209" s="61"/>
      <c r="CD209" s="61"/>
      <c r="CE209" s="61"/>
      <c r="CF209" s="61"/>
      <c r="CG209" s="61"/>
      <c r="CH209" s="61"/>
      <c r="CI209" s="61"/>
      <c r="CJ209" s="61"/>
      <c r="CK209" s="61"/>
      <c r="CL209" s="61"/>
      <c r="CM209" s="61"/>
      <c r="CN209" s="61"/>
      <c r="CO209" s="61"/>
      <c r="CP209" s="61"/>
      <c r="CQ209" s="61"/>
      <c r="CR209" s="61"/>
      <c r="CS209" s="61"/>
      <c r="CT209" s="61"/>
      <c r="CU209" s="61"/>
      <c r="CV209" s="61"/>
    </row>
    <row r="210" spans="1:100">
      <c r="A210" s="146">
        <v>68</v>
      </c>
      <c r="B210" s="141">
        <f ca="1">+RESUMEN!Y71</f>
        <v>0</v>
      </c>
      <c r="C210" s="141">
        <f ca="1">+RESUMEN!Z71</f>
        <v>0</v>
      </c>
      <c r="D210" s="142">
        <f t="shared" ca="1" si="172"/>
        <v>0</v>
      </c>
      <c r="E210" s="60"/>
      <c r="F210" s="60"/>
      <c r="G210" s="60"/>
      <c r="H210" s="60"/>
      <c r="I210" s="60"/>
      <c r="J210" s="60"/>
      <c r="K210" s="61"/>
      <c r="L210" s="61"/>
      <c r="M210" s="61"/>
      <c r="N210" s="61"/>
      <c r="O210" s="61"/>
      <c r="P210" s="61"/>
      <c r="Q210" s="61"/>
      <c r="R210" s="61"/>
      <c r="S210" s="61"/>
      <c r="T210" s="61"/>
      <c r="U210" s="61"/>
      <c r="V210" s="61"/>
      <c r="W210" s="61"/>
      <c r="X210" s="61"/>
      <c r="Y210" s="61"/>
      <c r="Z210" s="61"/>
      <c r="AA210" s="61"/>
      <c r="AB210" s="61"/>
      <c r="AC210" s="61"/>
      <c r="AD210" s="61"/>
      <c r="AE210" s="61"/>
      <c r="AF210" s="61"/>
      <c r="AG210" s="61"/>
      <c r="AH210" s="61"/>
      <c r="AI210" s="61"/>
      <c r="AJ210" s="61"/>
      <c r="AK210" s="61"/>
      <c r="AL210" s="61"/>
      <c r="AM210" s="61"/>
      <c r="AN210" s="61"/>
      <c r="AO210" s="61"/>
      <c r="AP210" s="61"/>
      <c r="AQ210" s="61"/>
      <c r="AR210" s="61"/>
      <c r="AS210" s="61"/>
      <c r="AT210" s="61"/>
      <c r="AU210" s="61"/>
      <c r="AV210" s="61"/>
      <c r="AW210" s="61"/>
      <c r="AX210" s="61"/>
      <c r="AY210" s="61"/>
      <c r="AZ210" s="61"/>
      <c r="BA210" s="61"/>
      <c r="BB210" s="61"/>
      <c r="BC210" s="61"/>
      <c r="BD210" s="61"/>
      <c r="BE210" s="61"/>
      <c r="BF210" s="61"/>
      <c r="BG210" s="61"/>
      <c r="BH210" s="61"/>
      <c r="BI210" s="61"/>
      <c r="BJ210" s="61"/>
      <c r="BK210" s="61"/>
      <c r="BL210" s="61"/>
      <c r="BM210" s="61"/>
      <c r="BN210" s="61"/>
      <c r="BO210" s="61"/>
      <c r="BP210" s="61"/>
      <c r="BQ210" s="61"/>
      <c r="BR210" s="61"/>
      <c r="BS210" s="61"/>
      <c r="BT210" s="61"/>
      <c r="BU210" s="61"/>
      <c r="BV210" s="61"/>
      <c r="BW210" s="61"/>
      <c r="BX210" s="61"/>
      <c r="BY210" s="61"/>
      <c r="BZ210" s="61"/>
      <c r="CA210" s="61"/>
      <c r="CB210" s="61"/>
      <c r="CC210" s="61"/>
      <c r="CD210" s="61"/>
      <c r="CE210" s="61"/>
      <c r="CF210" s="61"/>
      <c r="CG210" s="61"/>
      <c r="CH210" s="61"/>
      <c r="CI210" s="61"/>
      <c r="CJ210" s="61"/>
      <c r="CK210" s="61"/>
      <c r="CL210" s="61"/>
      <c r="CM210" s="61"/>
      <c r="CN210" s="61"/>
      <c r="CO210" s="61"/>
      <c r="CP210" s="61"/>
      <c r="CQ210" s="61"/>
      <c r="CR210" s="61"/>
      <c r="CS210" s="61"/>
      <c r="CT210" s="61"/>
      <c r="CU210" s="61"/>
      <c r="CV210" s="61"/>
    </row>
    <row r="211" spans="1:100">
      <c r="A211" s="146">
        <v>69</v>
      </c>
      <c r="B211" s="141">
        <f ca="1">+RESUMEN!Y72</f>
        <v>0</v>
      </c>
      <c r="C211" s="141">
        <f ca="1">+RESUMEN!Z72</f>
        <v>0</v>
      </c>
      <c r="D211" s="142">
        <f t="shared" ca="1" si="172"/>
        <v>0</v>
      </c>
      <c r="E211" s="60"/>
      <c r="F211" s="60"/>
      <c r="G211" s="60"/>
      <c r="H211" s="60"/>
      <c r="I211" s="60"/>
      <c r="J211" s="60"/>
      <c r="K211" s="61"/>
      <c r="L211" s="61"/>
      <c r="M211" s="61"/>
      <c r="N211" s="61"/>
      <c r="O211" s="61"/>
      <c r="P211" s="61"/>
      <c r="Q211" s="61"/>
      <c r="R211" s="61"/>
      <c r="S211" s="61"/>
      <c r="T211" s="61"/>
      <c r="U211" s="61"/>
      <c r="V211" s="61"/>
      <c r="W211" s="61"/>
      <c r="X211" s="61"/>
      <c r="Y211" s="61"/>
      <c r="Z211" s="61"/>
      <c r="AA211" s="61"/>
      <c r="AB211" s="61"/>
      <c r="AC211" s="61"/>
      <c r="AD211" s="61"/>
      <c r="AE211" s="61"/>
      <c r="AF211" s="61"/>
      <c r="AG211" s="61"/>
      <c r="AH211" s="61"/>
      <c r="AI211" s="61"/>
      <c r="AJ211" s="61"/>
      <c r="AK211" s="61"/>
      <c r="AL211" s="61"/>
      <c r="AM211" s="61"/>
      <c r="AN211" s="61"/>
      <c r="AO211" s="61"/>
      <c r="AP211" s="61"/>
      <c r="AQ211" s="61"/>
      <c r="AR211" s="61"/>
      <c r="AS211" s="61"/>
      <c r="AT211" s="61"/>
      <c r="AU211" s="61"/>
      <c r="AV211" s="61"/>
      <c r="AW211" s="61"/>
      <c r="AX211" s="61"/>
      <c r="AY211" s="61"/>
      <c r="AZ211" s="61"/>
      <c r="BA211" s="61"/>
      <c r="BB211" s="61"/>
      <c r="BC211" s="61"/>
      <c r="BD211" s="61"/>
      <c r="BE211" s="61"/>
      <c r="BF211" s="61"/>
      <c r="BG211" s="61"/>
      <c r="BH211" s="61"/>
      <c r="BI211" s="61"/>
      <c r="BJ211" s="61"/>
      <c r="BK211" s="61"/>
      <c r="BL211" s="61"/>
      <c r="BM211" s="61"/>
      <c r="BN211" s="61"/>
      <c r="BO211" s="61"/>
      <c r="BP211" s="61"/>
      <c r="BQ211" s="61"/>
      <c r="BR211" s="61"/>
      <c r="BS211" s="61"/>
      <c r="BT211" s="61"/>
      <c r="BU211" s="61"/>
      <c r="BV211" s="61"/>
      <c r="BW211" s="61"/>
      <c r="BX211" s="61"/>
      <c r="BY211" s="61"/>
      <c r="BZ211" s="61"/>
      <c r="CA211" s="61"/>
      <c r="CB211" s="61"/>
      <c r="CC211" s="61"/>
      <c r="CD211" s="61"/>
      <c r="CE211" s="61"/>
      <c r="CF211" s="61"/>
      <c r="CG211" s="61"/>
      <c r="CH211" s="61"/>
      <c r="CI211" s="61"/>
      <c r="CJ211" s="61"/>
      <c r="CK211" s="61"/>
      <c r="CL211" s="61"/>
      <c r="CM211" s="61"/>
      <c r="CN211" s="61"/>
      <c r="CO211" s="61"/>
      <c r="CP211" s="61"/>
      <c r="CQ211" s="61"/>
      <c r="CR211" s="61"/>
      <c r="CS211" s="61"/>
      <c r="CT211" s="61"/>
      <c r="CU211" s="61"/>
      <c r="CV211" s="61"/>
    </row>
    <row r="212" spans="1:100">
      <c r="A212" s="146">
        <v>70</v>
      </c>
      <c r="B212" s="141">
        <f ca="1">+RESUMEN!Y73</f>
        <v>0</v>
      </c>
      <c r="C212" s="141">
        <f ca="1">+RESUMEN!Z73</f>
        <v>0</v>
      </c>
      <c r="D212" s="142">
        <f t="shared" ca="1" si="172"/>
        <v>0</v>
      </c>
      <c r="E212" s="60"/>
      <c r="F212" s="60"/>
      <c r="G212" s="60"/>
      <c r="H212" s="60"/>
      <c r="I212" s="60"/>
      <c r="J212" s="60"/>
      <c r="K212" s="61"/>
      <c r="L212" s="61"/>
      <c r="M212" s="61"/>
      <c r="N212" s="61"/>
      <c r="O212" s="61"/>
      <c r="P212" s="61"/>
      <c r="Q212" s="61"/>
      <c r="R212" s="61"/>
      <c r="S212" s="61"/>
      <c r="T212" s="61"/>
      <c r="U212" s="61"/>
      <c r="V212" s="61"/>
      <c r="W212" s="61"/>
      <c r="X212" s="61"/>
      <c r="Y212" s="61"/>
      <c r="Z212" s="61"/>
      <c r="AA212" s="61"/>
      <c r="AB212" s="61"/>
      <c r="AC212" s="61"/>
      <c r="AD212" s="61"/>
      <c r="AE212" s="61"/>
      <c r="AF212" s="61"/>
      <c r="AG212" s="61"/>
      <c r="AH212" s="61"/>
      <c r="AI212" s="61"/>
      <c r="AJ212" s="61"/>
      <c r="AK212" s="61"/>
      <c r="AL212" s="61"/>
      <c r="AM212" s="61"/>
      <c r="AN212" s="61"/>
      <c r="AO212" s="61"/>
      <c r="AP212" s="61"/>
      <c r="AQ212" s="61"/>
      <c r="AR212" s="61"/>
      <c r="AS212" s="61"/>
      <c r="AT212" s="61"/>
      <c r="AU212" s="61"/>
      <c r="AV212" s="61"/>
      <c r="AW212" s="61"/>
      <c r="AX212" s="61"/>
      <c r="AY212" s="61"/>
      <c r="AZ212" s="61"/>
      <c r="BA212" s="61"/>
      <c r="BB212" s="61"/>
      <c r="BC212" s="61"/>
      <c r="BD212" s="61"/>
      <c r="BE212" s="61"/>
      <c r="BF212" s="61"/>
      <c r="BG212" s="61"/>
      <c r="BH212" s="61"/>
      <c r="BI212" s="61"/>
      <c r="BJ212" s="61"/>
      <c r="BK212" s="61"/>
      <c r="BL212" s="61"/>
      <c r="BM212" s="61"/>
      <c r="BN212" s="61"/>
      <c r="BO212" s="61"/>
      <c r="BP212" s="61"/>
      <c r="BQ212" s="61"/>
      <c r="BR212" s="61"/>
      <c r="BS212" s="61"/>
      <c r="BT212" s="61"/>
      <c r="BU212" s="61"/>
      <c r="BV212" s="61"/>
      <c r="BW212" s="61"/>
      <c r="BX212" s="61"/>
      <c r="BY212" s="61"/>
      <c r="BZ212" s="61"/>
      <c r="CA212" s="61"/>
      <c r="CB212" s="61"/>
      <c r="CC212" s="61"/>
      <c r="CD212" s="61"/>
      <c r="CE212" s="61"/>
      <c r="CF212" s="61"/>
      <c r="CG212" s="61"/>
      <c r="CH212" s="61"/>
      <c r="CI212" s="61"/>
      <c r="CJ212" s="61"/>
      <c r="CK212" s="61"/>
      <c r="CL212" s="61"/>
      <c r="CM212" s="61"/>
      <c r="CN212" s="61"/>
      <c r="CO212" s="61"/>
      <c r="CP212" s="61"/>
      <c r="CQ212" s="61"/>
      <c r="CR212" s="61"/>
      <c r="CS212" s="61"/>
      <c r="CT212" s="61"/>
      <c r="CU212" s="61"/>
      <c r="CV212" s="61"/>
    </row>
    <row r="213" spans="1:100">
      <c r="A213" s="146">
        <v>71</v>
      </c>
      <c r="B213" s="141">
        <f ca="1">+RESUMEN!Y74</f>
        <v>0</v>
      </c>
      <c r="C213" s="141">
        <f ca="1">+RESUMEN!Z74</f>
        <v>0</v>
      </c>
      <c r="D213" s="142">
        <f t="shared" ca="1" si="172"/>
        <v>0</v>
      </c>
      <c r="E213" s="60"/>
      <c r="F213" s="60"/>
      <c r="G213" s="60"/>
      <c r="H213" s="60"/>
      <c r="I213" s="60"/>
      <c r="J213" s="60"/>
      <c r="K213" s="61"/>
      <c r="L213" s="61"/>
      <c r="M213" s="61"/>
      <c r="N213" s="61"/>
      <c r="O213" s="61"/>
      <c r="P213" s="61"/>
      <c r="Q213" s="61"/>
      <c r="R213" s="61"/>
      <c r="S213" s="61"/>
      <c r="T213" s="61"/>
      <c r="U213" s="61"/>
      <c r="V213" s="61"/>
      <c r="W213" s="61"/>
      <c r="X213" s="61"/>
      <c r="Y213" s="61"/>
      <c r="Z213" s="61"/>
      <c r="AA213" s="61"/>
      <c r="AB213" s="61"/>
      <c r="AC213" s="61"/>
      <c r="AD213" s="61"/>
      <c r="AE213" s="61"/>
      <c r="AF213" s="61"/>
      <c r="AG213" s="61"/>
      <c r="AH213" s="61"/>
      <c r="AI213" s="61"/>
      <c r="AJ213" s="61"/>
      <c r="AK213" s="61"/>
      <c r="AL213" s="61"/>
      <c r="AM213" s="61"/>
      <c r="AN213" s="61"/>
      <c r="AO213" s="61"/>
      <c r="AP213" s="61"/>
      <c r="AQ213" s="61"/>
      <c r="AR213" s="61"/>
      <c r="AS213" s="61"/>
      <c r="AT213" s="61"/>
      <c r="AU213" s="61"/>
      <c r="AV213" s="61"/>
      <c r="AW213" s="61"/>
      <c r="AX213" s="61"/>
      <c r="AY213" s="61"/>
      <c r="AZ213" s="61"/>
      <c r="BA213" s="61"/>
      <c r="BB213" s="61"/>
      <c r="BC213" s="61"/>
      <c r="BD213" s="61"/>
      <c r="BE213" s="61"/>
      <c r="BF213" s="61"/>
      <c r="BG213" s="61"/>
      <c r="BH213" s="61"/>
      <c r="BI213" s="61"/>
      <c r="BJ213" s="61"/>
      <c r="BK213" s="61"/>
      <c r="BL213" s="61"/>
      <c r="BM213" s="61"/>
      <c r="BN213" s="61"/>
      <c r="BO213" s="61"/>
      <c r="BP213" s="61"/>
      <c r="BQ213" s="61"/>
      <c r="BR213" s="61"/>
      <c r="BS213" s="61"/>
      <c r="BT213" s="61"/>
      <c r="BU213" s="61"/>
      <c r="BV213" s="61"/>
      <c r="BW213" s="61"/>
      <c r="BX213" s="61"/>
      <c r="BY213" s="61"/>
      <c r="BZ213" s="61"/>
      <c r="CA213" s="61"/>
      <c r="CB213" s="61"/>
      <c r="CC213" s="61"/>
      <c r="CD213" s="61"/>
      <c r="CE213" s="61"/>
      <c r="CF213" s="61"/>
      <c r="CG213" s="61"/>
      <c r="CH213" s="61"/>
      <c r="CI213" s="61"/>
      <c r="CJ213" s="61"/>
      <c r="CK213" s="61"/>
      <c r="CL213" s="61"/>
      <c r="CM213" s="61"/>
      <c r="CN213" s="61"/>
      <c r="CO213" s="61"/>
      <c r="CP213" s="61"/>
      <c r="CQ213" s="61"/>
      <c r="CR213" s="61"/>
      <c r="CS213" s="61"/>
      <c r="CT213" s="61"/>
      <c r="CU213" s="61"/>
      <c r="CV213" s="61"/>
    </row>
    <row r="214" spans="1:100">
      <c r="A214" s="146">
        <v>72</v>
      </c>
      <c r="B214" s="141">
        <f ca="1">+RESUMEN!Y75</f>
        <v>0</v>
      </c>
      <c r="C214" s="141">
        <f ca="1">+RESUMEN!Z75</f>
        <v>0</v>
      </c>
      <c r="D214" s="142">
        <f t="shared" ca="1" si="172"/>
        <v>0</v>
      </c>
      <c r="E214" s="60"/>
      <c r="F214" s="60"/>
      <c r="G214" s="60"/>
      <c r="H214" s="60"/>
      <c r="I214" s="60"/>
      <c r="J214" s="60"/>
      <c r="K214" s="61"/>
      <c r="L214" s="61"/>
      <c r="M214" s="61"/>
      <c r="N214" s="61"/>
      <c r="O214" s="61"/>
      <c r="P214" s="61"/>
      <c r="Q214" s="61"/>
      <c r="R214" s="61"/>
      <c r="S214" s="61"/>
      <c r="T214" s="61"/>
      <c r="U214" s="61"/>
      <c r="V214" s="61"/>
      <c r="W214" s="61"/>
      <c r="X214" s="61"/>
      <c r="Y214" s="61"/>
      <c r="Z214" s="61"/>
      <c r="AA214" s="61"/>
      <c r="AB214" s="61"/>
      <c r="AC214" s="61"/>
      <c r="AD214" s="61"/>
      <c r="AE214" s="61"/>
      <c r="AF214" s="61"/>
      <c r="AG214" s="61"/>
      <c r="AH214" s="61"/>
      <c r="AI214" s="61"/>
      <c r="AJ214" s="61"/>
      <c r="AK214" s="61"/>
      <c r="AL214" s="61"/>
      <c r="AM214" s="61"/>
      <c r="AN214" s="61"/>
      <c r="AO214" s="61"/>
      <c r="AP214" s="61"/>
      <c r="AQ214" s="61"/>
      <c r="AR214" s="61"/>
      <c r="AS214" s="61"/>
      <c r="AT214" s="61"/>
      <c r="AU214" s="61"/>
      <c r="AV214" s="61"/>
      <c r="AW214" s="61"/>
      <c r="AX214" s="61"/>
      <c r="AY214" s="61"/>
      <c r="AZ214" s="61"/>
      <c r="BA214" s="61"/>
      <c r="BB214" s="61"/>
      <c r="BC214" s="61"/>
      <c r="BD214" s="61"/>
      <c r="BE214" s="61"/>
      <c r="BF214" s="61"/>
      <c r="BG214" s="61"/>
      <c r="BH214" s="61"/>
      <c r="BI214" s="61"/>
      <c r="BJ214" s="61"/>
      <c r="BK214" s="61"/>
      <c r="BL214" s="61"/>
      <c r="BM214" s="61"/>
      <c r="BN214" s="61"/>
      <c r="BO214" s="61"/>
      <c r="BP214" s="61"/>
      <c r="BQ214" s="61"/>
      <c r="BR214" s="61"/>
      <c r="BS214" s="61"/>
      <c r="BT214" s="61"/>
      <c r="BU214" s="61"/>
      <c r="BV214" s="61"/>
      <c r="BW214" s="61"/>
      <c r="BX214" s="61"/>
      <c r="BY214" s="61"/>
      <c r="BZ214" s="61"/>
      <c r="CA214" s="61"/>
      <c r="CB214" s="61"/>
      <c r="CC214" s="61"/>
      <c r="CD214" s="61"/>
      <c r="CE214" s="61"/>
      <c r="CF214" s="61"/>
      <c r="CG214" s="61"/>
      <c r="CH214" s="61"/>
      <c r="CI214" s="61"/>
      <c r="CJ214" s="61"/>
      <c r="CK214" s="61"/>
      <c r="CL214" s="61"/>
      <c r="CM214" s="61"/>
      <c r="CN214" s="61"/>
      <c r="CO214" s="61"/>
      <c r="CP214" s="61"/>
      <c r="CQ214" s="61"/>
      <c r="CR214" s="61"/>
      <c r="CS214" s="61"/>
      <c r="CT214" s="61"/>
      <c r="CU214" s="61"/>
      <c r="CV214" s="61"/>
    </row>
    <row r="215" spans="1:100">
      <c r="A215" s="146">
        <v>73</v>
      </c>
      <c r="B215" s="141">
        <f ca="1">+RESUMEN!Y76</f>
        <v>0</v>
      </c>
      <c r="C215" s="141">
        <f ca="1">+RESUMEN!Z76</f>
        <v>0</v>
      </c>
      <c r="D215" s="142">
        <f t="shared" ca="1" si="172"/>
        <v>0</v>
      </c>
      <c r="E215" s="60"/>
      <c r="F215" s="60"/>
      <c r="G215" s="60"/>
      <c r="H215" s="60"/>
      <c r="I215" s="60"/>
      <c r="J215" s="60"/>
      <c r="K215" s="61"/>
      <c r="L215" s="61"/>
      <c r="M215" s="61"/>
      <c r="N215" s="61"/>
      <c r="O215" s="61"/>
      <c r="P215" s="61"/>
      <c r="Q215" s="61"/>
      <c r="R215" s="61"/>
      <c r="S215" s="61"/>
      <c r="T215" s="61"/>
      <c r="U215" s="61"/>
      <c r="V215" s="61"/>
      <c r="W215" s="61"/>
      <c r="X215" s="61"/>
      <c r="Y215" s="61"/>
      <c r="Z215" s="61"/>
      <c r="AA215" s="61"/>
      <c r="AB215" s="61"/>
      <c r="AC215" s="61"/>
      <c r="AD215" s="61"/>
      <c r="AE215" s="61"/>
      <c r="AF215" s="61"/>
      <c r="AG215" s="61"/>
      <c r="AH215" s="61"/>
      <c r="AI215" s="61"/>
      <c r="AJ215" s="61"/>
      <c r="AK215" s="61"/>
      <c r="AL215" s="61"/>
      <c r="AM215" s="61"/>
      <c r="AN215" s="61"/>
      <c r="AO215" s="61"/>
      <c r="AP215" s="61"/>
      <c r="AQ215" s="61"/>
      <c r="AR215" s="61"/>
      <c r="AS215" s="61"/>
      <c r="AT215" s="61"/>
      <c r="AU215" s="61"/>
      <c r="AV215" s="61"/>
      <c r="AW215" s="61"/>
      <c r="AX215" s="61"/>
      <c r="AY215" s="61"/>
      <c r="AZ215" s="61"/>
      <c r="BA215" s="61"/>
      <c r="BB215" s="61"/>
      <c r="BC215" s="61"/>
      <c r="BD215" s="61"/>
      <c r="BE215" s="61"/>
      <c r="BF215" s="61"/>
      <c r="BG215" s="61"/>
      <c r="BH215" s="61"/>
      <c r="BI215" s="61"/>
      <c r="BJ215" s="61"/>
      <c r="BK215" s="61"/>
      <c r="BL215" s="61"/>
      <c r="BM215" s="61"/>
      <c r="BN215" s="61"/>
      <c r="BO215" s="61"/>
      <c r="BP215" s="61"/>
      <c r="BQ215" s="61"/>
      <c r="BR215" s="61"/>
      <c r="BS215" s="61"/>
      <c r="BT215" s="61"/>
      <c r="BU215" s="61"/>
      <c r="BV215" s="61"/>
      <c r="BW215" s="61"/>
      <c r="BX215" s="61"/>
      <c r="BY215" s="61"/>
      <c r="BZ215" s="61"/>
      <c r="CA215" s="61"/>
      <c r="CB215" s="61"/>
      <c r="CC215" s="61"/>
      <c r="CD215" s="61"/>
      <c r="CE215" s="61"/>
      <c r="CF215" s="61"/>
      <c r="CG215" s="61"/>
      <c r="CH215" s="61"/>
      <c r="CI215" s="61"/>
      <c r="CJ215" s="61"/>
      <c r="CK215" s="61"/>
      <c r="CL215" s="61"/>
      <c r="CM215" s="61"/>
      <c r="CN215" s="61"/>
      <c r="CO215" s="61"/>
      <c r="CP215" s="61"/>
      <c r="CQ215" s="61"/>
      <c r="CR215" s="61"/>
      <c r="CS215" s="61"/>
      <c r="CT215" s="61"/>
      <c r="CU215" s="61"/>
      <c r="CV215" s="61"/>
    </row>
    <row r="216" spans="1:100">
      <c r="A216" s="146">
        <v>74</v>
      </c>
      <c r="B216" s="141">
        <f ca="1">+RESUMEN!Y77</f>
        <v>0</v>
      </c>
      <c r="C216" s="141">
        <f ca="1">+RESUMEN!Z77</f>
        <v>0</v>
      </c>
      <c r="D216" s="142">
        <f t="shared" ca="1" si="172"/>
        <v>0</v>
      </c>
      <c r="E216" s="60"/>
      <c r="F216" s="60"/>
      <c r="G216" s="60"/>
      <c r="H216" s="60"/>
      <c r="I216" s="60"/>
      <c r="J216" s="60"/>
      <c r="K216" s="61"/>
      <c r="L216" s="61"/>
      <c r="M216" s="61"/>
      <c r="N216" s="61"/>
      <c r="O216" s="61"/>
      <c r="P216" s="61"/>
      <c r="Q216" s="61"/>
      <c r="R216" s="61"/>
      <c r="S216" s="61"/>
      <c r="T216" s="61"/>
      <c r="U216" s="61"/>
      <c r="V216" s="61"/>
      <c r="W216" s="61"/>
      <c r="X216" s="61"/>
      <c r="Y216" s="61"/>
      <c r="Z216" s="61"/>
      <c r="AA216" s="61"/>
      <c r="AB216" s="61"/>
      <c r="AC216" s="61"/>
      <c r="AD216" s="61"/>
      <c r="AE216" s="61"/>
      <c r="AF216" s="61"/>
      <c r="AG216" s="61"/>
      <c r="AH216" s="61"/>
      <c r="AI216" s="61"/>
      <c r="AJ216" s="61"/>
      <c r="AK216" s="61"/>
      <c r="AL216" s="61"/>
      <c r="AM216" s="61"/>
      <c r="AN216" s="61"/>
      <c r="AO216" s="61"/>
      <c r="AP216" s="61"/>
      <c r="AQ216" s="61"/>
      <c r="AR216" s="61"/>
      <c r="AS216" s="61"/>
      <c r="AT216" s="61"/>
      <c r="AU216" s="61"/>
      <c r="AV216" s="61"/>
      <c r="AW216" s="61"/>
      <c r="AX216" s="61"/>
      <c r="AY216" s="61"/>
      <c r="AZ216" s="61"/>
      <c r="BA216" s="61"/>
      <c r="BB216" s="61"/>
      <c r="BC216" s="61"/>
      <c r="BD216" s="61"/>
      <c r="BE216" s="61"/>
      <c r="BF216" s="61"/>
      <c r="BG216" s="61"/>
      <c r="BH216" s="61"/>
      <c r="BI216" s="61"/>
      <c r="BJ216" s="61"/>
      <c r="BK216" s="61"/>
      <c r="BL216" s="61"/>
      <c r="BM216" s="61"/>
      <c r="BN216" s="61"/>
      <c r="BO216" s="61"/>
      <c r="BP216" s="61"/>
      <c r="BQ216" s="61"/>
      <c r="BR216" s="61"/>
      <c r="BS216" s="61"/>
      <c r="BT216" s="61"/>
      <c r="BU216" s="61"/>
      <c r="BV216" s="61"/>
      <c r="BW216" s="61"/>
      <c r="BX216" s="61"/>
      <c r="BY216" s="61"/>
      <c r="BZ216" s="61"/>
      <c r="CA216" s="61"/>
      <c r="CB216" s="61"/>
      <c r="CC216" s="61"/>
      <c r="CD216" s="61"/>
      <c r="CE216" s="61"/>
      <c r="CF216" s="61"/>
      <c r="CG216" s="61"/>
      <c r="CH216" s="61"/>
      <c r="CI216" s="61"/>
      <c r="CJ216" s="61"/>
      <c r="CK216" s="61"/>
      <c r="CL216" s="61"/>
      <c r="CM216" s="61"/>
      <c r="CN216" s="61"/>
      <c r="CO216" s="61"/>
      <c r="CP216" s="61"/>
      <c r="CQ216" s="61"/>
      <c r="CR216" s="61"/>
      <c r="CS216" s="61"/>
      <c r="CT216" s="61"/>
      <c r="CU216" s="61"/>
      <c r="CV216" s="61"/>
    </row>
    <row r="217" spans="1:100">
      <c r="A217" s="146">
        <v>75</v>
      </c>
      <c r="B217" s="141">
        <f ca="1">+RESUMEN!Y78</f>
        <v>0</v>
      </c>
      <c r="C217" s="141">
        <f ca="1">+RESUMEN!Z78</f>
        <v>0</v>
      </c>
      <c r="D217" s="142">
        <f t="shared" ca="1" si="172"/>
        <v>0</v>
      </c>
      <c r="E217" s="60"/>
      <c r="F217" s="60"/>
      <c r="G217" s="60"/>
      <c r="H217" s="60"/>
      <c r="I217" s="60"/>
      <c r="J217" s="60"/>
      <c r="K217" s="61"/>
      <c r="L217" s="61"/>
      <c r="M217" s="61"/>
      <c r="N217" s="61"/>
      <c r="O217" s="61"/>
      <c r="P217" s="61"/>
      <c r="Q217" s="61"/>
      <c r="R217" s="61"/>
      <c r="S217" s="61"/>
      <c r="T217" s="61"/>
      <c r="U217" s="61"/>
      <c r="V217" s="61"/>
      <c r="W217" s="61"/>
      <c r="X217" s="61"/>
      <c r="Y217" s="61"/>
      <c r="Z217" s="61"/>
      <c r="AA217" s="61"/>
      <c r="AB217" s="61"/>
      <c r="AC217" s="61"/>
      <c r="AD217" s="61"/>
      <c r="AE217" s="61"/>
      <c r="AF217" s="61"/>
      <c r="AG217" s="61"/>
      <c r="AH217" s="61"/>
      <c r="AI217" s="61"/>
      <c r="AJ217" s="61"/>
      <c r="AK217" s="61"/>
      <c r="AL217" s="61"/>
      <c r="AM217" s="61"/>
      <c r="AN217" s="61"/>
      <c r="AO217" s="61"/>
      <c r="AP217" s="61"/>
      <c r="AQ217" s="61"/>
      <c r="AR217" s="61"/>
      <c r="AS217" s="61"/>
      <c r="AT217" s="61"/>
      <c r="AU217" s="61"/>
      <c r="AV217" s="61"/>
      <c r="AW217" s="61"/>
      <c r="AX217" s="61"/>
      <c r="AY217" s="61"/>
      <c r="AZ217" s="61"/>
      <c r="BA217" s="61"/>
      <c r="BB217" s="61"/>
      <c r="BC217" s="61"/>
      <c r="BD217" s="61"/>
      <c r="BE217" s="61"/>
      <c r="BF217" s="61"/>
      <c r="BG217" s="61"/>
      <c r="BH217" s="61"/>
      <c r="BI217" s="61"/>
      <c r="BJ217" s="61"/>
      <c r="BK217" s="61"/>
      <c r="BL217" s="61"/>
      <c r="BM217" s="61"/>
      <c r="BN217" s="61"/>
      <c r="BO217" s="61"/>
      <c r="BP217" s="61"/>
      <c r="BQ217" s="61"/>
      <c r="BR217" s="61"/>
      <c r="BS217" s="61"/>
      <c r="BT217" s="61"/>
      <c r="BU217" s="61"/>
      <c r="BV217" s="61"/>
      <c r="BW217" s="61"/>
      <c r="BX217" s="61"/>
      <c r="BY217" s="61"/>
      <c r="BZ217" s="61"/>
      <c r="CA217" s="61"/>
      <c r="CB217" s="61"/>
      <c r="CC217" s="61"/>
      <c r="CD217" s="61"/>
      <c r="CE217" s="61"/>
      <c r="CF217" s="61"/>
      <c r="CG217" s="61"/>
      <c r="CH217" s="61"/>
      <c r="CI217" s="61"/>
      <c r="CJ217" s="61"/>
      <c r="CK217" s="61"/>
      <c r="CL217" s="61"/>
      <c r="CM217" s="61"/>
      <c r="CN217" s="61"/>
      <c r="CO217" s="61"/>
      <c r="CP217" s="61"/>
      <c r="CQ217" s="61"/>
      <c r="CR217" s="61"/>
      <c r="CS217" s="61"/>
      <c r="CT217" s="61"/>
      <c r="CU217" s="61"/>
      <c r="CV217" s="61"/>
    </row>
    <row r="218" spans="1:100">
      <c r="A218" s="146">
        <v>76</v>
      </c>
      <c r="B218" s="141">
        <f ca="1">+RESUMEN!Y79</f>
        <v>0</v>
      </c>
      <c r="C218" s="141">
        <f ca="1">+RESUMEN!Z79</f>
        <v>0</v>
      </c>
      <c r="D218" s="142">
        <f t="shared" ca="1" si="172"/>
        <v>0</v>
      </c>
      <c r="E218" s="60"/>
      <c r="F218" s="60"/>
      <c r="G218" s="60"/>
      <c r="H218" s="60"/>
      <c r="I218" s="60"/>
      <c r="J218" s="60"/>
      <c r="K218" s="61"/>
      <c r="L218" s="61"/>
      <c r="M218" s="61"/>
      <c r="N218" s="61"/>
      <c r="O218" s="61"/>
      <c r="P218" s="61"/>
      <c r="Q218" s="61"/>
      <c r="R218" s="61"/>
      <c r="S218" s="61"/>
      <c r="T218" s="61"/>
      <c r="U218" s="61"/>
      <c r="V218" s="61"/>
      <c r="W218" s="61"/>
      <c r="X218" s="61"/>
      <c r="Y218" s="61"/>
      <c r="Z218" s="61"/>
      <c r="AA218" s="61"/>
      <c r="AB218" s="61"/>
      <c r="AC218" s="61"/>
      <c r="AD218" s="61"/>
      <c r="AE218" s="61"/>
      <c r="AF218" s="61"/>
      <c r="AG218" s="61"/>
      <c r="AH218" s="61"/>
      <c r="AI218" s="61"/>
      <c r="AJ218" s="61"/>
      <c r="AK218" s="61"/>
      <c r="AL218" s="61"/>
      <c r="AM218" s="61"/>
      <c r="AN218" s="61"/>
      <c r="AO218" s="61"/>
      <c r="AP218" s="61"/>
      <c r="AQ218" s="61"/>
      <c r="AR218" s="61"/>
      <c r="AS218" s="61"/>
      <c r="AT218" s="61"/>
      <c r="AU218" s="61"/>
      <c r="AV218" s="61"/>
      <c r="AW218" s="61"/>
      <c r="AX218" s="61"/>
      <c r="AY218" s="61"/>
      <c r="AZ218" s="61"/>
      <c r="BA218" s="61"/>
      <c r="BB218" s="61"/>
      <c r="BC218" s="61"/>
      <c r="BD218" s="61"/>
      <c r="BE218" s="61"/>
      <c r="BF218" s="61"/>
      <c r="BG218" s="61"/>
      <c r="BH218" s="61"/>
      <c r="BI218" s="61"/>
      <c r="BJ218" s="61"/>
      <c r="BK218" s="61"/>
      <c r="BL218" s="61"/>
      <c r="BM218" s="61"/>
      <c r="BN218" s="61"/>
      <c r="BO218" s="61"/>
      <c r="BP218" s="61"/>
      <c r="BQ218" s="61"/>
      <c r="BR218" s="61"/>
      <c r="BS218" s="61"/>
      <c r="BT218" s="61"/>
      <c r="BU218" s="61"/>
      <c r="BV218" s="61"/>
      <c r="BW218" s="61"/>
      <c r="BX218" s="61"/>
      <c r="BY218" s="61"/>
      <c r="BZ218" s="61"/>
      <c r="CA218" s="61"/>
      <c r="CB218" s="61"/>
      <c r="CC218" s="61"/>
      <c r="CD218" s="61"/>
      <c r="CE218" s="61"/>
      <c r="CF218" s="61"/>
      <c r="CG218" s="61"/>
      <c r="CH218" s="61"/>
      <c r="CI218" s="61"/>
      <c r="CJ218" s="61"/>
      <c r="CK218" s="61"/>
      <c r="CL218" s="61"/>
      <c r="CM218" s="61"/>
      <c r="CN218" s="61"/>
      <c r="CO218" s="61"/>
      <c r="CP218" s="61"/>
      <c r="CQ218" s="61"/>
      <c r="CR218" s="61"/>
      <c r="CS218" s="61"/>
      <c r="CT218" s="61"/>
      <c r="CU218" s="61"/>
      <c r="CV218" s="61"/>
    </row>
    <row r="219" spans="1:100">
      <c r="A219" s="146">
        <v>77</v>
      </c>
      <c r="B219" s="141">
        <f ca="1">+RESUMEN!Y80</f>
        <v>0</v>
      </c>
      <c r="C219" s="141">
        <f ca="1">+RESUMEN!Z80</f>
        <v>0</v>
      </c>
      <c r="D219" s="142">
        <f t="shared" ca="1" si="172"/>
        <v>0</v>
      </c>
      <c r="E219" s="60"/>
      <c r="F219" s="60"/>
      <c r="G219" s="60"/>
      <c r="H219" s="60"/>
      <c r="I219" s="60"/>
      <c r="J219" s="60"/>
      <c r="K219" s="61"/>
      <c r="L219" s="61"/>
      <c r="M219" s="61"/>
      <c r="N219" s="61"/>
      <c r="O219" s="61"/>
      <c r="P219" s="61"/>
      <c r="Q219" s="61"/>
      <c r="R219" s="61"/>
      <c r="S219" s="61"/>
      <c r="T219" s="61"/>
      <c r="U219" s="61"/>
      <c r="V219" s="61"/>
      <c r="W219" s="61"/>
      <c r="X219" s="61"/>
      <c r="Y219" s="61"/>
      <c r="Z219" s="61"/>
      <c r="AA219" s="61"/>
      <c r="AB219" s="61"/>
      <c r="AC219" s="61"/>
      <c r="AD219" s="61"/>
      <c r="AE219" s="61"/>
      <c r="AF219" s="61"/>
      <c r="AG219" s="61"/>
      <c r="AH219" s="61"/>
      <c r="AI219" s="61"/>
      <c r="AJ219" s="61"/>
      <c r="AK219" s="61"/>
      <c r="AL219" s="61"/>
      <c r="AM219" s="61"/>
      <c r="AN219" s="61"/>
      <c r="AO219" s="61"/>
      <c r="AP219" s="61"/>
      <c r="AQ219" s="61"/>
      <c r="AR219" s="61"/>
      <c r="AS219" s="61"/>
      <c r="AT219" s="61"/>
      <c r="AU219" s="61"/>
      <c r="AV219" s="61"/>
      <c r="AW219" s="61"/>
      <c r="AX219" s="61"/>
      <c r="AY219" s="61"/>
      <c r="AZ219" s="61"/>
      <c r="BA219" s="61"/>
      <c r="BB219" s="61"/>
      <c r="BC219" s="61"/>
      <c r="BD219" s="61"/>
      <c r="BE219" s="61"/>
      <c r="BF219" s="61"/>
      <c r="BG219" s="61"/>
      <c r="BH219" s="61"/>
      <c r="BI219" s="61"/>
      <c r="BJ219" s="61"/>
      <c r="BK219" s="61"/>
      <c r="BL219" s="61"/>
      <c r="BM219" s="61"/>
      <c r="BN219" s="61"/>
      <c r="BO219" s="61"/>
      <c r="BP219" s="61"/>
      <c r="BQ219" s="61"/>
      <c r="BR219" s="61"/>
      <c r="BS219" s="61"/>
      <c r="BT219" s="61"/>
      <c r="BU219" s="61"/>
      <c r="BV219" s="61"/>
      <c r="BW219" s="61"/>
      <c r="BX219" s="61"/>
      <c r="BY219" s="61"/>
      <c r="BZ219" s="61"/>
      <c r="CA219" s="61"/>
      <c r="CB219" s="61"/>
      <c r="CC219" s="61"/>
      <c r="CD219" s="61"/>
      <c r="CE219" s="61"/>
      <c r="CF219" s="61"/>
      <c r="CG219" s="61"/>
      <c r="CH219" s="61"/>
      <c r="CI219" s="61"/>
      <c r="CJ219" s="61"/>
      <c r="CK219" s="61"/>
      <c r="CL219" s="61"/>
      <c r="CM219" s="61"/>
      <c r="CN219" s="61"/>
      <c r="CO219" s="61"/>
      <c r="CP219" s="61"/>
      <c r="CQ219" s="61"/>
      <c r="CR219" s="61"/>
      <c r="CS219" s="61"/>
      <c r="CT219" s="61"/>
      <c r="CU219" s="61"/>
      <c r="CV219" s="61"/>
    </row>
    <row r="220" spans="1:100">
      <c r="A220" s="146">
        <v>78</v>
      </c>
      <c r="B220" s="141">
        <f ca="1">+RESUMEN!Y81</f>
        <v>0</v>
      </c>
      <c r="C220" s="141">
        <f ca="1">+RESUMEN!Z81</f>
        <v>0</v>
      </c>
      <c r="D220" s="142">
        <f t="shared" ca="1" si="172"/>
        <v>0</v>
      </c>
      <c r="E220" s="60"/>
      <c r="F220" s="60"/>
      <c r="G220" s="60"/>
      <c r="H220" s="60"/>
      <c r="I220" s="60"/>
      <c r="J220" s="60"/>
      <c r="K220" s="61"/>
      <c r="L220" s="61"/>
      <c r="M220" s="61"/>
      <c r="N220" s="61"/>
      <c r="O220" s="61"/>
      <c r="P220" s="61"/>
      <c r="Q220" s="61"/>
      <c r="R220" s="61"/>
      <c r="S220" s="61"/>
      <c r="T220" s="61"/>
      <c r="U220" s="61"/>
      <c r="V220" s="61"/>
      <c r="W220" s="61"/>
      <c r="X220" s="61"/>
      <c r="Y220" s="61"/>
      <c r="Z220" s="61"/>
      <c r="AA220" s="61"/>
      <c r="AB220" s="61"/>
      <c r="AC220" s="61"/>
      <c r="AD220" s="61"/>
      <c r="AE220" s="61"/>
      <c r="AF220" s="61"/>
      <c r="AG220" s="61"/>
      <c r="AH220" s="61"/>
      <c r="AI220" s="61"/>
      <c r="AJ220" s="61"/>
      <c r="AK220" s="61"/>
      <c r="AL220" s="61"/>
      <c r="AM220" s="61"/>
      <c r="AN220" s="61"/>
      <c r="AO220" s="61"/>
      <c r="AP220" s="61"/>
      <c r="AQ220" s="61"/>
      <c r="AR220" s="61"/>
      <c r="AS220" s="61"/>
      <c r="AT220" s="61"/>
      <c r="AU220" s="61"/>
      <c r="AV220" s="61"/>
      <c r="AW220" s="61"/>
      <c r="AX220" s="61"/>
      <c r="AY220" s="61"/>
      <c r="AZ220" s="61"/>
      <c r="BA220" s="61"/>
      <c r="BB220" s="61"/>
      <c r="BC220" s="61"/>
      <c r="BD220" s="61"/>
      <c r="BE220" s="61"/>
      <c r="BF220" s="61"/>
      <c r="BG220" s="61"/>
      <c r="BH220" s="61"/>
      <c r="BI220" s="61"/>
      <c r="BJ220" s="61"/>
      <c r="BK220" s="61"/>
      <c r="BL220" s="61"/>
      <c r="BM220" s="61"/>
      <c r="BN220" s="61"/>
      <c r="BO220" s="61"/>
      <c r="BP220" s="61"/>
      <c r="BQ220" s="61"/>
      <c r="BR220" s="61"/>
      <c r="BS220" s="61"/>
      <c r="BT220" s="61"/>
      <c r="BU220" s="61"/>
      <c r="BV220" s="61"/>
      <c r="BW220" s="61"/>
      <c r="BX220" s="61"/>
      <c r="BY220" s="61"/>
      <c r="BZ220" s="61"/>
      <c r="CA220" s="61"/>
      <c r="CB220" s="61"/>
      <c r="CC220" s="61"/>
      <c r="CD220" s="61"/>
      <c r="CE220" s="61"/>
      <c r="CF220" s="61"/>
      <c r="CG220" s="61"/>
      <c r="CH220" s="61"/>
      <c r="CI220" s="61"/>
      <c r="CJ220" s="61"/>
      <c r="CK220" s="61"/>
      <c r="CL220" s="61"/>
      <c r="CM220" s="61"/>
      <c r="CN220" s="61"/>
      <c r="CO220" s="61"/>
      <c r="CP220" s="61"/>
      <c r="CQ220" s="61"/>
      <c r="CR220" s="61"/>
      <c r="CS220" s="61"/>
      <c r="CT220" s="61"/>
      <c r="CU220" s="61"/>
      <c r="CV220" s="61"/>
    </row>
    <row r="221" spans="1:100">
      <c r="A221" s="146">
        <v>79</v>
      </c>
      <c r="B221" s="141">
        <f ca="1">+RESUMEN!Y82</f>
        <v>0</v>
      </c>
      <c r="C221" s="141">
        <f ca="1">+RESUMEN!Z82</f>
        <v>0</v>
      </c>
      <c r="D221" s="142">
        <f t="shared" ca="1" si="172"/>
        <v>0</v>
      </c>
      <c r="E221" s="60"/>
      <c r="F221" s="60"/>
      <c r="G221" s="60"/>
      <c r="H221" s="60"/>
      <c r="I221" s="60"/>
      <c r="J221" s="60"/>
      <c r="K221" s="61"/>
      <c r="L221" s="61"/>
      <c r="M221" s="61"/>
      <c r="N221" s="61"/>
      <c r="O221" s="61"/>
      <c r="P221" s="61"/>
      <c r="Q221" s="61"/>
      <c r="R221" s="61"/>
      <c r="S221" s="61"/>
      <c r="T221" s="61"/>
      <c r="U221" s="61"/>
      <c r="V221" s="61"/>
      <c r="W221" s="61"/>
      <c r="X221" s="61"/>
      <c r="Y221" s="61"/>
      <c r="Z221" s="61"/>
      <c r="AA221" s="61"/>
      <c r="AB221" s="61"/>
      <c r="AC221" s="61"/>
      <c r="AD221" s="61"/>
      <c r="AE221" s="61"/>
      <c r="AF221" s="61"/>
      <c r="AG221" s="61"/>
      <c r="AH221" s="61"/>
      <c r="AI221" s="61"/>
      <c r="AJ221" s="61"/>
      <c r="AK221" s="61"/>
      <c r="AL221" s="61"/>
      <c r="AM221" s="61"/>
      <c r="AN221" s="61"/>
      <c r="AO221" s="61"/>
      <c r="AP221" s="61"/>
      <c r="AQ221" s="61"/>
      <c r="AR221" s="61"/>
      <c r="AS221" s="61"/>
      <c r="AT221" s="61"/>
      <c r="AU221" s="61"/>
      <c r="AV221" s="61"/>
      <c r="AW221" s="61"/>
      <c r="AX221" s="61"/>
      <c r="AY221" s="61"/>
      <c r="AZ221" s="61"/>
      <c r="BA221" s="61"/>
      <c r="BB221" s="61"/>
      <c r="BC221" s="61"/>
      <c r="BD221" s="61"/>
      <c r="BE221" s="61"/>
      <c r="BF221" s="61"/>
      <c r="BG221" s="61"/>
      <c r="BH221" s="61"/>
      <c r="BI221" s="61"/>
      <c r="BJ221" s="61"/>
      <c r="BK221" s="61"/>
      <c r="BL221" s="61"/>
      <c r="BM221" s="61"/>
      <c r="BN221" s="61"/>
      <c r="BO221" s="61"/>
      <c r="BP221" s="61"/>
      <c r="BQ221" s="61"/>
      <c r="BR221" s="61"/>
      <c r="BS221" s="61"/>
      <c r="BT221" s="61"/>
      <c r="BU221" s="61"/>
      <c r="BV221" s="61"/>
      <c r="BW221" s="61"/>
      <c r="BX221" s="61"/>
      <c r="BY221" s="61"/>
      <c r="BZ221" s="61"/>
      <c r="CA221" s="61"/>
      <c r="CB221" s="61"/>
      <c r="CC221" s="61"/>
      <c r="CD221" s="61"/>
      <c r="CE221" s="61"/>
      <c r="CF221" s="61"/>
      <c r="CG221" s="61"/>
      <c r="CH221" s="61"/>
      <c r="CI221" s="61"/>
      <c r="CJ221" s="61"/>
      <c r="CK221" s="61"/>
      <c r="CL221" s="61"/>
      <c r="CM221" s="61"/>
      <c r="CN221" s="61"/>
      <c r="CO221" s="61"/>
      <c r="CP221" s="61"/>
      <c r="CQ221" s="61"/>
      <c r="CR221" s="61"/>
      <c r="CS221" s="61"/>
      <c r="CT221" s="61"/>
      <c r="CU221" s="61"/>
      <c r="CV221" s="61"/>
    </row>
    <row r="222" spans="1:100">
      <c r="A222" s="146">
        <v>80</v>
      </c>
      <c r="B222" s="141">
        <f ca="1">+RESUMEN!Y83</f>
        <v>0</v>
      </c>
      <c r="C222" s="141">
        <f ca="1">+RESUMEN!Z83</f>
        <v>0</v>
      </c>
      <c r="D222" s="142">
        <f t="shared" ca="1" si="172"/>
        <v>0</v>
      </c>
      <c r="E222" s="60"/>
      <c r="F222" s="60"/>
      <c r="G222" s="60"/>
      <c r="H222" s="60"/>
      <c r="I222" s="60"/>
      <c r="J222" s="60"/>
      <c r="K222" s="61"/>
      <c r="L222" s="61"/>
      <c r="M222" s="61"/>
      <c r="N222" s="61"/>
      <c r="O222" s="61"/>
      <c r="P222" s="61"/>
      <c r="Q222" s="61"/>
      <c r="R222" s="61"/>
      <c r="S222" s="61"/>
      <c r="T222" s="61"/>
      <c r="U222" s="61"/>
      <c r="V222" s="61"/>
      <c r="W222" s="61"/>
      <c r="X222" s="61"/>
      <c r="Y222" s="61"/>
      <c r="Z222" s="61"/>
      <c r="AA222" s="61"/>
      <c r="AB222" s="61"/>
      <c r="AC222" s="61"/>
      <c r="AD222" s="61"/>
      <c r="AE222" s="61"/>
      <c r="AF222" s="61"/>
      <c r="AG222" s="61"/>
      <c r="AH222" s="61"/>
      <c r="AI222" s="61"/>
      <c r="AJ222" s="61"/>
      <c r="AK222" s="61"/>
      <c r="AL222" s="61"/>
      <c r="AM222" s="61"/>
      <c r="AN222" s="61"/>
      <c r="AO222" s="61"/>
      <c r="AP222" s="61"/>
      <c r="AQ222" s="61"/>
      <c r="AR222" s="61"/>
      <c r="AS222" s="61"/>
      <c r="AT222" s="61"/>
      <c r="AU222" s="61"/>
      <c r="AV222" s="61"/>
      <c r="AW222" s="61"/>
      <c r="AX222" s="61"/>
      <c r="AY222" s="61"/>
      <c r="AZ222" s="61"/>
      <c r="BA222" s="61"/>
      <c r="BB222" s="61"/>
      <c r="BC222" s="61"/>
      <c r="BD222" s="61"/>
      <c r="BE222" s="61"/>
      <c r="BF222" s="61"/>
      <c r="BG222" s="61"/>
      <c r="BH222" s="61"/>
      <c r="BI222" s="61"/>
      <c r="BJ222" s="61"/>
      <c r="BK222" s="61"/>
      <c r="BL222" s="61"/>
      <c r="BM222" s="61"/>
      <c r="BN222" s="61"/>
      <c r="BO222" s="61"/>
      <c r="BP222" s="61"/>
      <c r="BQ222" s="61"/>
      <c r="BR222" s="61"/>
      <c r="BS222" s="61"/>
      <c r="BT222" s="61"/>
      <c r="BU222" s="61"/>
      <c r="BV222" s="61"/>
      <c r="BW222" s="61"/>
      <c r="BX222" s="61"/>
      <c r="BY222" s="61"/>
      <c r="BZ222" s="61"/>
      <c r="CA222" s="61"/>
      <c r="CB222" s="61"/>
      <c r="CC222" s="61"/>
      <c r="CD222" s="61"/>
      <c r="CE222" s="61"/>
      <c r="CF222" s="61"/>
      <c r="CG222" s="61"/>
      <c r="CH222" s="61"/>
      <c r="CI222" s="61"/>
      <c r="CJ222" s="61"/>
      <c r="CK222" s="61"/>
      <c r="CL222" s="61"/>
      <c r="CM222" s="61"/>
      <c r="CN222" s="61"/>
      <c r="CO222" s="61"/>
      <c r="CP222" s="61"/>
      <c r="CQ222" s="61"/>
      <c r="CR222" s="61"/>
      <c r="CS222" s="61"/>
      <c r="CT222" s="61"/>
      <c r="CU222" s="61"/>
      <c r="CV222" s="61"/>
    </row>
    <row r="223" spans="1:100">
      <c r="A223" s="146">
        <v>81</v>
      </c>
      <c r="B223" s="141">
        <f ca="1">+RESUMEN!Y84</f>
        <v>0</v>
      </c>
      <c r="C223" s="141">
        <f ca="1">+RESUMEN!Z84</f>
        <v>0</v>
      </c>
      <c r="D223" s="142">
        <f t="shared" ca="1" si="172"/>
        <v>0</v>
      </c>
      <c r="E223" s="60"/>
      <c r="F223" s="60"/>
      <c r="G223" s="60"/>
      <c r="H223" s="60"/>
      <c r="I223" s="60"/>
      <c r="J223" s="60"/>
      <c r="K223" s="61"/>
      <c r="L223" s="61"/>
      <c r="M223" s="61"/>
      <c r="N223" s="61"/>
      <c r="O223" s="61"/>
      <c r="P223" s="61"/>
      <c r="Q223" s="61"/>
      <c r="R223" s="61"/>
      <c r="S223" s="61"/>
      <c r="T223" s="61"/>
      <c r="U223" s="61"/>
      <c r="V223" s="61"/>
      <c r="W223" s="61"/>
      <c r="X223" s="61"/>
      <c r="Y223" s="61"/>
      <c r="Z223" s="61"/>
      <c r="AA223" s="61"/>
      <c r="AB223" s="61"/>
      <c r="AC223" s="61"/>
      <c r="AD223" s="61"/>
      <c r="AE223" s="61"/>
      <c r="AF223" s="61"/>
      <c r="AG223" s="61"/>
      <c r="AH223" s="61"/>
      <c r="AI223" s="61"/>
      <c r="AJ223" s="61"/>
      <c r="AK223" s="61"/>
      <c r="AL223" s="61"/>
      <c r="AM223" s="61"/>
      <c r="AN223" s="61"/>
      <c r="AO223" s="61"/>
      <c r="AP223" s="61"/>
      <c r="AQ223" s="61"/>
      <c r="AR223" s="61"/>
      <c r="AS223" s="61"/>
      <c r="AT223" s="61"/>
      <c r="AU223" s="61"/>
      <c r="AV223" s="61"/>
      <c r="AW223" s="61"/>
      <c r="AX223" s="61"/>
      <c r="AY223" s="61"/>
      <c r="AZ223" s="61"/>
      <c r="BA223" s="61"/>
      <c r="BB223" s="61"/>
      <c r="BC223" s="61"/>
      <c r="BD223" s="61"/>
      <c r="BE223" s="61"/>
      <c r="BF223" s="61"/>
      <c r="BG223" s="61"/>
      <c r="BH223" s="61"/>
      <c r="BI223" s="61"/>
      <c r="BJ223" s="61"/>
      <c r="BK223" s="61"/>
      <c r="BL223" s="61"/>
      <c r="BM223" s="61"/>
      <c r="BN223" s="61"/>
      <c r="BO223" s="61"/>
      <c r="BP223" s="61"/>
      <c r="BQ223" s="61"/>
      <c r="BR223" s="61"/>
      <c r="BS223" s="61"/>
      <c r="BT223" s="61"/>
      <c r="BU223" s="61"/>
      <c r="BV223" s="61"/>
      <c r="BW223" s="61"/>
      <c r="BX223" s="61"/>
      <c r="BY223" s="61"/>
      <c r="BZ223" s="61"/>
      <c r="CA223" s="61"/>
      <c r="CB223" s="61"/>
      <c r="CC223" s="61"/>
      <c r="CD223" s="61"/>
      <c r="CE223" s="61"/>
      <c r="CF223" s="61"/>
      <c r="CG223" s="61"/>
      <c r="CH223" s="61"/>
      <c r="CI223" s="61"/>
      <c r="CJ223" s="61"/>
      <c r="CK223" s="61"/>
      <c r="CL223" s="61"/>
      <c r="CM223" s="61"/>
      <c r="CN223" s="61"/>
      <c r="CO223" s="61"/>
      <c r="CP223" s="61"/>
      <c r="CQ223" s="61"/>
      <c r="CR223" s="61"/>
      <c r="CS223" s="61"/>
      <c r="CT223" s="61"/>
      <c r="CU223" s="61"/>
      <c r="CV223" s="61"/>
    </row>
    <row r="224" spans="1:100">
      <c r="A224" s="146">
        <v>82</v>
      </c>
      <c r="B224" s="141">
        <f ca="1">+RESUMEN!Y85</f>
        <v>0</v>
      </c>
      <c r="C224" s="141">
        <f ca="1">+RESUMEN!Z85</f>
        <v>0</v>
      </c>
      <c r="D224" s="142">
        <f t="shared" ca="1" si="172"/>
        <v>0</v>
      </c>
      <c r="E224" s="60"/>
      <c r="F224" s="60"/>
      <c r="G224" s="60"/>
      <c r="H224" s="60"/>
      <c r="I224" s="60"/>
      <c r="J224" s="60"/>
      <c r="K224" s="61"/>
      <c r="L224" s="61"/>
      <c r="M224" s="61"/>
      <c r="N224" s="61"/>
      <c r="O224" s="61"/>
      <c r="P224" s="61"/>
      <c r="Q224" s="61"/>
      <c r="R224" s="61"/>
      <c r="S224" s="61"/>
      <c r="T224" s="61"/>
      <c r="U224" s="61"/>
      <c r="V224" s="61"/>
      <c r="W224" s="61"/>
      <c r="X224" s="61"/>
      <c r="Y224" s="61"/>
      <c r="Z224" s="61"/>
      <c r="AA224" s="61"/>
      <c r="AB224" s="61"/>
      <c r="AC224" s="61"/>
      <c r="AD224" s="61"/>
      <c r="AE224" s="61"/>
      <c r="AF224" s="61"/>
      <c r="AG224" s="61"/>
      <c r="AH224" s="61"/>
      <c r="AI224" s="61"/>
      <c r="AJ224" s="61"/>
      <c r="AK224" s="61"/>
      <c r="AL224" s="61"/>
      <c r="AM224" s="61"/>
      <c r="AN224" s="61"/>
      <c r="AO224" s="61"/>
      <c r="AP224" s="61"/>
      <c r="AQ224" s="61"/>
      <c r="AR224" s="61"/>
      <c r="AS224" s="61"/>
      <c r="AT224" s="61"/>
      <c r="AU224" s="61"/>
      <c r="AV224" s="61"/>
      <c r="AW224" s="61"/>
      <c r="AX224" s="61"/>
      <c r="AY224" s="61"/>
      <c r="AZ224" s="61"/>
      <c r="BA224" s="61"/>
      <c r="BB224" s="61"/>
      <c r="BC224" s="61"/>
      <c r="BD224" s="61"/>
      <c r="BE224" s="61"/>
      <c r="BF224" s="61"/>
      <c r="BG224" s="61"/>
      <c r="BH224" s="61"/>
      <c r="BI224" s="61"/>
      <c r="BJ224" s="61"/>
      <c r="BK224" s="61"/>
      <c r="BL224" s="61"/>
      <c r="BM224" s="61"/>
      <c r="BN224" s="61"/>
      <c r="BO224" s="61"/>
      <c r="BP224" s="61"/>
      <c r="BQ224" s="61"/>
      <c r="BR224" s="61"/>
      <c r="BS224" s="61"/>
      <c r="BT224" s="61"/>
      <c r="BU224" s="61"/>
      <c r="BV224" s="61"/>
      <c r="BW224" s="61"/>
      <c r="BX224" s="61"/>
      <c r="BY224" s="61"/>
      <c r="BZ224" s="61"/>
      <c r="CA224" s="61"/>
      <c r="CB224" s="61"/>
      <c r="CC224" s="61"/>
      <c r="CD224" s="61"/>
      <c r="CE224" s="61"/>
      <c r="CF224" s="61"/>
      <c r="CG224" s="61"/>
      <c r="CH224" s="61"/>
      <c r="CI224" s="61"/>
      <c r="CJ224" s="61"/>
      <c r="CK224" s="61"/>
      <c r="CL224" s="61"/>
      <c r="CM224" s="61"/>
      <c r="CN224" s="61"/>
      <c r="CO224" s="61"/>
      <c r="CP224" s="61"/>
      <c r="CQ224" s="61"/>
      <c r="CR224" s="61"/>
      <c r="CS224" s="61"/>
      <c r="CT224" s="61"/>
      <c r="CU224" s="61"/>
      <c r="CV224" s="61"/>
    </row>
    <row r="225" spans="1:100">
      <c r="A225" s="146">
        <v>83</v>
      </c>
      <c r="B225" s="141">
        <f ca="1">+RESUMEN!Y86</f>
        <v>0</v>
      </c>
      <c r="C225" s="141">
        <f ca="1">+RESUMEN!Z86</f>
        <v>0</v>
      </c>
      <c r="D225" s="142">
        <f t="shared" ca="1" si="172"/>
        <v>0</v>
      </c>
      <c r="E225" s="60"/>
      <c r="F225" s="60"/>
      <c r="G225" s="60"/>
      <c r="H225" s="60"/>
      <c r="I225" s="60"/>
      <c r="J225" s="60"/>
      <c r="K225" s="61"/>
      <c r="L225" s="61"/>
      <c r="M225" s="61"/>
      <c r="N225" s="61"/>
      <c r="O225" s="61"/>
      <c r="P225" s="61"/>
      <c r="Q225" s="61"/>
      <c r="R225" s="61"/>
      <c r="S225" s="61"/>
      <c r="T225" s="61"/>
      <c r="U225" s="61"/>
      <c r="V225" s="61"/>
      <c r="W225" s="61"/>
      <c r="X225" s="61"/>
      <c r="Y225" s="61"/>
      <c r="Z225" s="61"/>
      <c r="AA225" s="61"/>
      <c r="AB225" s="61"/>
      <c r="AC225" s="61"/>
      <c r="AD225" s="61"/>
      <c r="AE225" s="61"/>
      <c r="AF225" s="61"/>
      <c r="AG225" s="61"/>
      <c r="AH225" s="61"/>
      <c r="AI225" s="61"/>
      <c r="AJ225" s="61"/>
      <c r="AK225" s="61"/>
      <c r="AL225" s="61"/>
      <c r="AM225" s="61"/>
      <c r="AN225" s="61"/>
      <c r="AO225" s="61"/>
      <c r="AP225" s="61"/>
      <c r="AQ225" s="61"/>
      <c r="AR225" s="61"/>
      <c r="AS225" s="61"/>
      <c r="AT225" s="61"/>
      <c r="AU225" s="61"/>
      <c r="AV225" s="61"/>
      <c r="AW225" s="61"/>
      <c r="AX225" s="61"/>
      <c r="AY225" s="61"/>
      <c r="AZ225" s="61"/>
      <c r="BA225" s="61"/>
      <c r="BB225" s="61"/>
      <c r="BC225" s="61"/>
      <c r="BD225" s="61"/>
      <c r="BE225" s="61"/>
      <c r="BF225" s="61"/>
      <c r="BG225" s="61"/>
      <c r="BH225" s="61"/>
      <c r="BI225" s="61"/>
      <c r="BJ225" s="61"/>
      <c r="BK225" s="61"/>
      <c r="BL225" s="61"/>
      <c r="BM225" s="61"/>
      <c r="BN225" s="61"/>
      <c r="BO225" s="61"/>
      <c r="BP225" s="61"/>
      <c r="BQ225" s="61"/>
      <c r="BR225" s="61"/>
      <c r="BS225" s="61"/>
      <c r="BT225" s="61"/>
      <c r="BU225" s="61"/>
      <c r="BV225" s="61"/>
      <c r="BW225" s="61"/>
      <c r="BX225" s="61"/>
      <c r="BY225" s="61"/>
      <c r="BZ225" s="61"/>
      <c r="CA225" s="61"/>
      <c r="CB225" s="61"/>
      <c r="CC225" s="61"/>
      <c r="CD225" s="61"/>
      <c r="CE225" s="61"/>
      <c r="CF225" s="61"/>
      <c r="CG225" s="61"/>
      <c r="CH225" s="61"/>
      <c r="CI225" s="61"/>
      <c r="CJ225" s="61"/>
      <c r="CK225" s="61"/>
      <c r="CL225" s="61"/>
      <c r="CM225" s="61"/>
      <c r="CN225" s="61"/>
      <c r="CO225" s="61"/>
      <c r="CP225" s="61"/>
      <c r="CQ225" s="61"/>
      <c r="CR225" s="61"/>
      <c r="CS225" s="61"/>
      <c r="CT225" s="61"/>
      <c r="CU225" s="61"/>
      <c r="CV225" s="61"/>
    </row>
    <row r="226" spans="1:100">
      <c r="A226" s="146">
        <v>84</v>
      </c>
      <c r="B226" s="141">
        <f ca="1">+RESUMEN!Y87</f>
        <v>0</v>
      </c>
      <c r="C226" s="141">
        <f ca="1">+RESUMEN!Z87</f>
        <v>0</v>
      </c>
      <c r="D226" s="142">
        <f t="shared" ca="1" si="172"/>
        <v>0</v>
      </c>
      <c r="E226" s="60"/>
      <c r="F226" s="60"/>
      <c r="G226" s="60"/>
      <c r="H226" s="60"/>
      <c r="I226" s="60"/>
      <c r="J226" s="60"/>
      <c r="K226" s="61"/>
      <c r="L226" s="61"/>
      <c r="M226" s="61"/>
      <c r="N226" s="61"/>
      <c r="O226" s="61"/>
      <c r="P226" s="61"/>
      <c r="Q226" s="61"/>
      <c r="R226" s="61"/>
      <c r="S226" s="61"/>
      <c r="T226" s="61"/>
      <c r="U226" s="61"/>
      <c r="V226" s="61"/>
      <c r="W226" s="61"/>
      <c r="X226" s="61"/>
      <c r="Y226" s="61"/>
      <c r="Z226" s="61"/>
      <c r="AA226" s="61"/>
      <c r="AB226" s="61"/>
      <c r="AC226" s="61"/>
      <c r="AD226" s="61"/>
      <c r="AE226" s="61"/>
      <c r="AF226" s="61"/>
      <c r="AG226" s="61"/>
      <c r="AH226" s="61"/>
      <c r="AI226" s="61"/>
      <c r="AJ226" s="61"/>
      <c r="AK226" s="61"/>
      <c r="AL226" s="61"/>
      <c r="AM226" s="61"/>
      <c r="AN226" s="61"/>
      <c r="AO226" s="61"/>
      <c r="AP226" s="61"/>
      <c r="AQ226" s="61"/>
      <c r="AR226" s="61"/>
      <c r="AS226" s="61"/>
      <c r="AT226" s="61"/>
      <c r="AU226" s="61"/>
      <c r="AV226" s="61"/>
      <c r="AW226" s="61"/>
      <c r="AX226" s="61"/>
      <c r="AY226" s="61"/>
      <c r="AZ226" s="61"/>
      <c r="BA226" s="61"/>
      <c r="BB226" s="61"/>
      <c r="BC226" s="61"/>
      <c r="BD226" s="61"/>
      <c r="BE226" s="61"/>
      <c r="BF226" s="61"/>
      <c r="BG226" s="61"/>
      <c r="BH226" s="61"/>
      <c r="BI226" s="61"/>
      <c r="BJ226" s="61"/>
      <c r="BK226" s="61"/>
      <c r="BL226" s="61"/>
      <c r="BM226" s="61"/>
      <c r="BN226" s="61"/>
      <c r="BO226" s="61"/>
      <c r="BP226" s="61"/>
      <c r="BQ226" s="61"/>
      <c r="BR226" s="61"/>
      <c r="BS226" s="61"/>
      <c r="BT226" s="61"/>
      <c r="BU226" s="61"/>
      <c r="BV226" s="61"/>
      <c r="BW226" s="61"/>
      <c r="BX226" s="61"/>
      <c r="BY226" s="61"/>
      <c r="BZ226" s="61"/>
      <c r="CA226" s="61"/>
      <c r="CB226" s="61"/>
      <c r="CC226" s="61"/>
      <c r="CD226" s="61"/>
      <c r="CE226" s="61"/>
      <c r="CF226" s="61"/>
      <c r="CG226" s="61"/>
      <c r="CH226" s="61"/>
      <c r="CI226" s="61"/>
      <c r="CJ226" s="61"/>
      <c r="CK226" s="61"/>
      <c r="CL226" s="61"/>
      <c r="CM226" s="61"/>
      <c r="CN226" s="61"/>
      <c r="CO226" s="61"/>
      <c r="CP226" s="61"/>
      <c r="CQ226" s="61"/>
      <c r="CR226" s="61"/>
      <c r="CS226" s="61"/>
      <c r="CT226" s="61"/>
      <c r="CU226" s="61"/>
      <c r="CV226" s="61"/>
    </row>
    <row r="227" spans="1:100">
      <c r="A227" s="146">
        <v>85</v>
      </c>
      <c r="B227" s="141">
        <f ca="1">+RESUMEN!Y88</f>
        <v>0</v>
      </c>
      <c r="C227" s="141">
        <f ca="1">+RESUMEN!Z88</f>
        <v>0</v>
      </c>
      <c r="D227" s="142">
        <f t="shared" ca="1" si="172"/>
        <v>0</v>
      </c>
      <c r="E227" s="60"/>
      <c r="F227" s="60"/>
      <c r="G227" s="60"/>
      <c r="H227" s="60"/>
      <c r="I227" s="60"/>
      <c r="J227" s="60"/>
      <c r="K227" s="61"/>
      <c r="L227" s="61"/>
      <c r="M227" s="61"/>
      <c r="N227" s="61"/>
      <c r="O227" s="61"/>
      <c r="P227" s="61"/>
      <c r="Q227" s="61"/>
      <c r="R227" s="61"/>
      <c r="S227" s="61"/>
      <c r="T227" s="61"/>
      <c r="U227" s="61"/>
      <c r="V227" s="61"/>
      <c r="W227" s="61"/>
      <c r="X227" s="61"/>
      <c r="Y227" s="61"/>
      <c r="Z227" s="61"/>
      <c r="AA227" s="61"/>
      <c r="AB227" s="61"/>
      <c r="AC227" s="61"/>
      <c r="AD227" s="61"/>
      <c r="AE227" s="61"/>
      <c r="AF227" s="61"/>
      <c r="AG227" s="61"/>
      <c r="AH227" s="61"/>
      <c r="AI227" s="61"/>
      <c r="AJ227" s="61"/>
      <c r="AK227" s="61"/>
      <c r="AL227" s="61"/>
      <c r="AM227" s="61"/>
      <c r="AN227" s="61"/>
      <c r="AO227" s="61"/>
      <c r="AP227" s="61"/>
      <c r="AQ227" s="61"/>
      <c r="AR227" s="61"/>
      <c r="AS227" s="61"/>
      <c r="AT227" s="61"/>
      <c r="AU227" s="61"/>
      <c r="AV227" s="61"/>
      <c r="AW227" s="61"/>
      <c r="AX227" s="61"/>
      <c r="AY227" s="61"/>
      <c r="AZ227" s="61"/>
      <c r="BA227" s="61"/>
      <c r="BB227" s="61"/>
      <c r="BC227" s="61"/>
      <c r="BD227" s="61"/>
      <c r="BE227" s="61"/>
      <c r="BF227" s="61"/>
      <c r="BG227" s="61"/>
      <c r="BH227" s="61"/>
      <c r="BI227" s="61"/>
      <c r="BJ227" s="61"/>
      <c r="BK227" s="61"/>
      <c r="BL227" s="61"/>
      <c r="BM227" s="61"/>
      <c r="BN227" s="61"/>
      <c r="BO227" s="61"/>
      <c r="BP227" s="61"/>
      <c r="BQ227" s="61"/>
      <c r="BR227" s="61"/>
      <c r="BS227" s="61"/>
      <c r="BT227" s="61"/>
      <c r="BU227" s="61"/>
      <c r="BV227" s="61"/>
      <c r="BW227" s="61"/>
      <c r="BX227" s="61"/>
      <c r="BY227" s="61"/>
      <c r="BZ227" s="61"/>
      <c r="CA227" s="61"/>
      <c r="CB227" s="61"/>
      <c r="CC227" s="61"/>
      <c r="CD227" s="61"/>
      <c r="CE227" s="61"/>
      <c r="CF227" s="61"/>
      <c r="CG227" s="61"/>
      <c r="CH227" s="61"/>
      <c r="CI227" s="61"/>
      <c r="CJ227" s="61"/>
      <c r="CK227" s="61"/>
      <c r="CL227" s="61"/>
      <c r="CM227" s="61"/>
      <c r="CN227" s="61"/>
      <c r="CO227" s="61"/>
      <c r="CP227" s="61"/>
      <c r="CQ227" s="61"/>
      <c r="CR227" s="61"/>
      <c r="CS227" s="61"/>
      <c r="CT227" s="61"/>
      <c r="CU227" s="61"/>
      <c r="CV227" s="61"/>
    </row>
    <row r="228" spans="1:100">
      <c r="A228" s="146">
        <v>86</v>
      </c>
      <c r="B228" s="141">
        <f ca="1">+RESUMEN!Y89</f>
        <v>0</v>
      </c>
      <c r="C228" s="141">
        <f ca="1">+RESUMEN!Z89</f>
        <v>0</v>
      </c>
      <c r="D228" s="142">
        <f t="shared" ca="1" si="172"/>
        <v>0</v>
      </c>
      <c r="E228" s="60"/>
      <c r="F228" s="60"/>
      <c r="G228" s="60"/>
      <c r="H228" s="60"/>
      <c r="I228" s="60"/>
      <c r="J228" s="61"/>
      <c r="K228" s="61"/>
      <c r="L228" s="61"/>
      <c r="M228" s="61"/>
      <c r="N228" s="61"/>
      <c r="O228" s="61"/>
      <c r="P228" s="61"/>
      <c r="Q228" s="61"/>
      <c r="R228" s="61"/>
      <c r="S228" s="61"/>
      <c r="T228" s="61"/>
      <c r="U228" s="61"/>
      <c r="V228" s="61"/>
      <c r="W228" s="61"/>
      <c r="X228" s="61"/>
      <c r="Y228" s="61"/>
      <c r="Z228" s="61"/>
      <c r="AA228" s="61"/>
      <c r="AB228" s="61"/>
      <c r="AC228" s="61"/>
      <c r="AD228" s="61"/>
      <c r="AE228" s="61"/>
      <c r="AF228" s="61"/>
      <c r="AG228" s="61"/>
      <c r="AH228" s="61"/>
      <c r="AI228" s="61"/>
      <c r="AJ228" s="61"/>
      <c r="AK228" s="61"/>
      <c r="AL228" s="61"/>
      <c r="AM228" s="61"/>
      <c r="AN228" s="61"/>
      <c r="AO228" s="61"/>
      <c r="AP228" s="61"/>
      <c r="AQ228" s="61"/>
      <c r="AR228" s="61"/>
      <c r="AS228" s="61"/>
      <c r="AT228" s="61"/>
      <c r="AU228" s="61"/>
      <c r="AV228" s="61"/>
      <c r="AW228" s="61"/>
      <c r="AX228" s="61"/>
      <c r="AY228" s="61"/>
      <c r="AZ228" s="61"/>
      <c r="BA228" s="61"/>
      <c r="BB228" s="61"/>
      <c r="BC228" s="61"/>
      <c r="BD228" s="61"/>
      <c r="BE228" s="61"/>
      <c r="BF228" s="61"/>
      <c r="BG228" s="61"/>
      <c r="BH228" s="61"/>
      <c r="BI228" s="61"/>
      <c r="BJ228" s="61"/>
      <c r="BK228" s="61"/>
      <c r="BL228" s="61"/>
      <c r="BM228" s="61"/>
      <c r="BN228" s="61"/>
      <c r="BO228" s="61"/>
      <c r="BP228" s="61"/>
      <c r="BQ228" s="61"/>
      <c r="BR228" s="61"/>
      <c r="BS228" s="61"/>
      <c r="BT228" s="61"/>
      <c r="BU228" s="61"/>
      <c r="BV228" s="61"/>
      <c r="BW228" s="61"/>
      <c r="BX228" s="61"/>
      <c r="BY228" s="61"/>
      <c r="BZ228" s="61"/>
      <c r="CA228" s="61"/>
      <c r="CB228" s="61"/>
      <c r="CC228" s="61"/>
      <c r="CD228" s="61"/>
      <c r="CE228" s="61"/>
      <c r="CF228" s="61"/>
      <c r="CG228" s="61"/>
      <c r="CH228" s="61"/>
      <c r="CI228" s="61"/>
      <c r="CJ228" s="61"/>
      <c r="CK228" s="61"/>
      <c r="CL228" s="61"/>
      <c r="CM228" s="61"/>
      <c r="CN228" s="61"/>
      <c r="CO228" s="61"/>
      <c r="CP228" s="61"/>
      <c r="CQ228" s="61"/>
      <c r="CR228" s="61"/>
      <c r="CS228" s="61"/>
      <c r="CT228" s="61"/>
      <c r="CU228" s="61"/>
      <c r="CV228" s="61"/>
    </row>
    <row r="229" spans="1:100">
      <c r="A229" s="146">
        <v>87</v>
      </c>
      <c r="B229" s="141">
        <f ca="1">+RESUMEN!Y90</f>
        <v>0</v>
      </c>
      <c r="C229" s="141">
        <f ca="1">+RESUMEN!Z90</f>
        <v>0</v>
      </c>
      <c r="D229" s="142">
        <f t="shared" ca="1" si="172"/>
        <v>0</v>
      </c>
      <c r="E229" s="61"/>
      <c r="F229" s="61"/>
      <c r="G229" s="61"/>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c r="AE229" s="61"/>
      <c r="AF229" s="61"/>
      <c r="AG229" s="61"/>
      <c r="AH229" s="61"/>
      <c r="AI229" s="61"/>
      <c r="AJ229" s="61"/>
      <c r="AK229" s="61"/>
      <c r="AL229" s="61"/>
      <c r="AM229" s="61"/>
      <c r="AN229" s="61"/>
      <c r="AO229" s="61"/>
      <c r="AP229" s="61"/>
      <c r="AQ229" s="61"/>
      <c r="AR229" s="61"/>
      <c r="AS229" s="61"/>
      <c r="AT229" s="61"/>
      <c r="AU229" s="61"/>
      <c r="AV229" s="61"/>
      <c r="AW229" s="61"/>
      <c r="AX229" s="61"/>
      <c r="AY229" s="61"/>
      <c r="AZ229" s="61"/>
      <c r="BA229" s="61"/>
      <c r="BB229" s="61"/>
      <c r="BC229" s="61"/>
      <c r="BD229" s="61"/>
      <c r="BE229" s="61"/>
      <c r="BF229" s="61"/>
      <c r="BG229" s="61"/>
      <c r="BH229" s="61"/>
      <c r="BI229" s="61"/>
      <c r="BJ229" s="61"/>
      <c r="BK229" s="61"/>
      <c r="BL229" s="61"/>
      <c r="BM229" s="61"/>
      <c r="BN229" s="61"/>
      <c r="BO229" s="61"/>
      <c r="BP229" s="61"/>
      <c r="BQ229" s="61"/>
      <c r="BR229" s="61"/>
      <c r="BS229" s="61"/>
      <c r="BT229" s="61"/>
      <c r="BU229" s="61"/>
      <c r="BV229" s="61"/>
      <c r="BW229" s="61"/>
      <c r="BX229" s="61"/>
      <c r="BY229" s="61"/>
      <c r="BZ229" s="61"/>
      <c r="CA229" s="61"/>
      <c r="CB229" s="61"/>
      <c r="CC229" s="61"/>
      <c r="CD229" s="61"/>
      <c r="CE229" s="61"/>
      <c r="CF229" s="61"/>
      <c r="CG229" s="61"/>
      <c r="CH229" s="61"/>
      <c r="CI229" s="61"/>
      <c r="CJ229" s="61"/>
      <c r="CK229" s="61"/>
      <c r="CL229" s="61"/>
      <c r="CM229" s="61"/>
      <c r="CN229" s="61"/>
      <c r="CO229" s="61"/>
      <c r="CP229" s="61"/>
      <c r="CQ229" s="61"/>
      <c r="CR229" s="61"/>
      <c r="CS229" s="61"/>
      <c r="CT229" s="61"/>
      <c r="CU229" s="61"/>
      <c r="CV229" s="61"/>
    </row>
    <row r="230" spans="1:100">
      <c r="A230" s="146">
        <v>88</v>
      </c>
      <c r="B230" s="141">
        <f ca="1">+RESUMEN!Y91</f>
        <v>0</v>
      </c>
      <c r="C230" s="141">
        <f ca="1">+RESUMEN!Z91</f>
        <v>0</v>
      </c>
      <c r="D230" s="142">
        <f t="shared" ca="1" si="172"/>
        <v>0</v>
      </c>
      <c r="E230" s="61"/>
      <c r="F230" s="61"/>
      <c r="G230" s="61"/>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c r="AE230" s="61"/>
      <c r="AF230" s="61"/>
      <c r="AG230" s="61"/>
      <c r="AH230" s="61"/>
      <c r="AI230" s="61"/>
      <c r="AJ230" s="61"/>
      <c r="AK230" s="61"/>
      <c r="AL230" s="61"/>
      <c r="AM230" s="61"/>
      <c r="AN230" s="61"/>
      <c r="AO230" s="61"/>
      <c r="AP230" s="61"/>
      <c r="AQ230" s="61"/>
      <c r="AR230" s="61"/>
      <c r="AS230" s="61"/>
      <c r="AT230" s="61"/>
      <c r="AU230" s="61"/>
      <c r="AV230" s="61"/>
      <c r="AW230" s="61"/>
      <c r="AX230" s="61"/>
      <c r="AY230" s="61"/>
      <c r="AZ230" s="61"/>
      <c r="BA230" s="61"/>
      <c r="BB230" s="61"/>
      <c r="BC230" s="61"/>
      <c r="BD230" s="61"/>
      <c r="BE230" s="61"/>
      <c r="BF230" s="61"/>
      <c r="BG230" s="61"/>
      <c r="BH230" s="61"/>
      <c r="BI230" s="61"/>
      <c r="BJ230" s="61"/>
      <c r="BK230" s="61"/>
      <c r="BL230" s="61"/>
      <c r="BM230" s="61"/>
      <c r="BN230" s="61"/>
      <c r="BO230" s="61"/>
      <c r="BP230" s="61"/>
      <c r="BQ230" s="61"/>
      <c r="BR230" s="61"/>
      <c r="BS230" s="61"/>
      <c r="BT230" s="61"/>
      <c r="BU230" s="61"/>
      <c r="BV230" s="61"/>
      <c r="BW230" s="61"/>
      <c r="BX230" s="61"/>
      <c r="BY230" s="61"/>
      <c r="BZ230" s="61"/>
      <c r="CA230" s="61"/>
      <c r="CB230" s="61"/>
      <c r="CC230" s="61"/>
      <c r="CD230" s="61"/>
      <c r="CE230" s="61"/>
      <c r="CF230" s="61"/>
      <c r="CG230" s="61"/>
      <c r="CH230" s="61"/>
      <c r="CI230" s="61"/>
      <c r="CJ230" s="61"/>
      <c r="CK230" s="61"/>
      <c r="CL230" s="61"/>
      <c r="CM230" s="61"/>
      <c r="CN230" s="61"/>
      <c r="CO230" s="61"/>
      <c r="CP230" s="61"/>
      <c r="CQ230" s="61"/>
      <c r="CR230" s="61"/>
      <c r="CS230" s="61"/>
      <c r="CT230" s="61"/>
      <c r="CU230" s="61"/>
      <c r="CV230" s="61"/>
    </row>
    <row r="231" spans="1:100">
      <c r="A231" s="146">
        <v>89</v>
      </c>
      <c r="B231" s="141">
        <f ca="1">+RESUMEN!Y92</f>
        <v>0</v>
      </c>
      <c r="C231" s="141">
        <f ca="1">+RESUMEN!Z92</f>
        <v>0</v>
      </c>
      <c r="D231" s="142">
        <f t="shared" ca="1" si="172"/>
        <v>0</v>
      </c>
      <c r="E231" s="61"/>
      <c r="F231" s="61"/>
      <c r="G231" s="61"/>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c r="AE231" s="61"/>
      <c r="AF231" s="61"/>
      <c r="AG231" s="61"/>
      <c r="AH231" s="61"/>
      <c r="AI231" s="61"/>
      <c r="AJ231" s="61"/>
      <c r="AK231" s="61"/>
      <c r="AL231" s="61"/>
      <c r="AM231" s="61"/>
      <c r="AN231" s="61"/>
      <c r="AO231" s="61"/>
      <c r="AP231" s="61"/>
      <c r="AQ231" s="61"/>
      <c r="AR231" s="61"/>
      <c r="AS231" s="61"/>
      <c r="AT231" s="61"/>
      <c r="AU231" s="61"/>
      <c r="AV231" s="61"/>
      <c r="AW231" s="61"/>
      <c r="AX231" s="61"/>
      <c r="AY231" s="61"/>
      <c r="AZ231" s="61"/>
      <c r="BA231" s="61"/>
      <c r="BB231" s="61"/>
      <c r="BC231" s="61"/>
      <c r="BD231" s="61"/>
      <c r="BE231" s="61"/>
      <c r="BF231" s="61"/>
      <c r="BG231" s="61"/>
      <c r="BH231" s="61"/>
      <c r="BI231" s="61"/>
      <c r="BJ231" s="61"/>
      <c r="BK231" s="61"/>
      <c r="BL231" s="61"/>
      <c r="BM231" s="61"/>
      <c r="BN231" s="61"/>
      <c r="BO231" s="61"/>
      <c r="BP231" s="61"/>
      <c r="BQ231" s="61"/>
      <c r="BR231" s="61"/>
      <c r="BS231" s="61"/>
      <c r="BT231" s="61"/>
      <c r="BU231" s="61"/>
      <c r="BV231" s="61"/>
      <c r="BW231" s="61"/>
      <c r="BX231" s="61"/>
      <c r="BY231" s="61"/>
      <c r="BZ231" s="61"/>
      <c r="CA231" s="61"/>
      <c r="CB231" s="61"/>
      <c r="CC231" s="61"/>
      <c r="CD231" s="61"/>
      <c r="CE231" s="61"/>
      <c r="CF231" s="61"/>
      <c r="CG231" s="61"/>
      <c r="CH231" s="61"/>
      <c r="CI231" s="61"/>
      <c r="CJ231" s="61"/>
      <c r="CK231" s="61"/>
      <c r="CL231" s="61"/>
      <c r="CM231" s="61"/>
      <c r="CN231" s="61"/>
      <c r="CO231" s="61"/>
      <c r="CP231" s="61"/>
      <c r="CQ231" s="61"/>
      <c r="CR231" s="61"/>
      <c r="CS231" s="61"/>
      <c r="CT231" s="61"/>
      <c r="CU231" s="61"/>
      <c r="CV231" s="61"/>
    </row>
    <row r="232" spans="1:100">
      <c r="A232" s="146">
        <v>90</v>
      </c>
      <c r="B232" s="141">
        <f ca="1">+RESUMEN!Y93</f>
        <v>0</v>
      </c>
      <c r="C232" s="141">
        <f ca="1">+RESUMEN!Z93</f>
        <v>0</v>
      </c>
      <c r="D232" s="142">
        <f t="shared" ca="1" si="172"/>
        <v>0</v>
      </c>
      <c r="E232" s="61"/>
      <c r="F232" s="61"/>
      <c r="G232" s="61"/>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c r="AE232" s="61"/>
      <c r="AF232" s="61"/>
      <c r="AG232" s="61"/>
      <c r="AH232" s="61"/>
      <c r="AI232" s="61"/>
      <c r="AJ232" s="61"/>
      <c r="AK232" s="61"/>
      <c r="AL232" s="61"/>
      <c r="AM232" s="61"/>
      <c r="AN232" s="61"/>
      <c r="AO232" s="61"/>
      <c r="AP232" s="61"/>
      <c r="AQ232" s="61"/>
      <c r="AR232" s="61"/>
      <c r="AS232" s="61"/>
      <c r="AT232" s="61"/>
      <c r="AU232" s="61"/>
      <c r="AV232" s="61"/>
      <c r="AW232" s="61"/>
      <c r="AX232" s="61"/>
      <c r="AY232" s="61"/>
      <c r="AZ232" s="61"/>
      <c r="BA232" s="61"/>
      <c r="BB232" s="61"/>
      <c r="BC232" s="61"/>
      <c r="BD232" s="61"/>
      <c r="BE232" s="61"/>
      <c r="BF232" s="61"/>
      <c r="BG232" s="61"/>
      <c r="BH232" s="61"/>
      <c r="BI232" s="61"/>
      <c r="BJ232" s="61"/>
      <c r="BK232" s="61"/>
      <c r="BL232" s="61"/>
      <c r="BM232" s="61"/>
      <c r="BN232" s="61"/>
      <c r="BO232" s="61"/>
      <c r="BP232" s="61"/>
      <c r="BQ232" s="61"/>
      <c r="BR232" s="61"/>
      <c r="BS232" s="61"/>
      <c r="BT232" s="61"/>
      <c r="BU232" s="61"/>
      <c r="BV232" s="61"/>
      <c r="BW232" s="61"/>
      <c r="BX232" s="61"/>
      <c r="BY232" s="61"/>
      <c r="BZ232" s="61"/>
      <c r="CA232" s="61"/>
      <c r="CB232" s="61"/>
      <c r="CC232" s="61"/>
      <c r="CD232" s="61"/>
      <c r="CE232" s="61"/>
      <c r="CF232" s="61"/>
      <c r="CG232" s="61"/>
      <c r="CH232" s="61"/>
      <c r="CI232" s="61"/>
      <c r="CJ232" s="61"/>
      <c r="CK232" s="61"/>
      <c r="CL232" s="61"/>
      <c r="CM232" s="61"/>
      <c r="CN232" s="61"/>
      <c r="CO232" s="61"/>
      <c r="CP232" s="61"/>
      <c r="CQ232" s="61"/>
      <c r="CR232" s="61"/>
      <c r="CS232" s="61"/>
      <c r="CT232" s="61"/>
      <c r="CU232" s="61"/>
      <c r="CV232" s="61"/>
    </row>
    <row r="233" spans="1:100">
      <c r="A233" s="146">
        <v>91</v>
      </c>
      <c r="B233" s="141">
        <f ca="1">+RESUMEN!Y94</f>
        <v>0</v>
      </c>
      <c r="C233" s="141">
        <f ca="1">+RESUMEN!Z94</f>
        <v>0</v>
      </c>
      <c r="D233" s="142">
        <f t="shared" ca="1" si="172"/>
        <v>0</v>
      </c>
      <c r="E233" s="61"/>
      <c r="F233" s="61"/>
      <c r="G233" s="61"/>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c r="AE233" s="61"/>
      <c r="AF233" s="61"/>
      <c r="AG233" s="61"/>
      <c r="AH233" s="61"/>
      <c r="AI233" s="61"/>
      <c r="AJ233" s="61"/>
      <c r="AK233" s="61"/>
      <c r="AL233" s="61"/>
      <c r="AM233" s="61"/>
      <c r="AN233" s="61"/>
      <c r="AO233" s="61"/>
      <c r="AP233" s="61"/>
      <c r="AQ233" s="61"/>
      <c r="AR233" s="61"/>
      <c r="AS233" s="61"/>
      <c r="AT233" s="61"/>
      <c r="AU233" s="61"/>
      <c r="AV233" s="61"/>
      <c r="AW233" s="61"/>
      <c r="AX233" s="61"/>
      <c r="AY233" s="61"/>
      <c r="AZ233" s="61"/>
      <c r="BA233" s="61"/>
      <c r="BB233" s="61"/>
      <c r="BC233" s="61"/>
      <c r="BD233" s="61"/>
      <c r="BE233" s="61"/>
      <c r="BF233" s="61"/>
      <c r="BG233" s="61"/>
      <c r="BH233" s="61"/>
      <c r="BI233" s="61"/>
      <c r="BJ233" s="61"/>
      <c r="BK233" s="61"/>
      <c r="BL233" s="61"/>
      <c r="BM233" s="61"/>
      <c r="BN233" s="61"/>
      <c r="BO233" s="61"/>
      <c r="BP233" s="61"/>
      <c r="BQ233" s="61"/>
      <c r="BR233" s="61"/>
      <c r="BS233" s="61"/>
      <c r="BT233" s="61"/>
      <c r="BU233" s="61"/>
      <c r="BV233" s="61"/>
      <c r="BW233" s="61"/>
      <c r="BX233" s="61"/>
      <c r="BY233" s="61"/>
      <c r="BZ233" s="61"/>
      <c r="CA233" s="61"/>
      <c r="CB233" s="61"/>
      <c r="CC233" s="61"/>
      <c r="CD233" s="61"/>
      <c r="CE233" s="61"/>
      <c r="CF233" s="61"/>
      <c r="CG233" s="61"/>
      <c r="CH233" s="61"/>
      <c r="CI233" s="61"/>
      <c r="CJ233" s="61"/>
      <c r="CK233" s="61"/>
      <c r="CL233" s="61"/>
      <c r="CM233" s="61"/>
      <c r="CN233" s="61"/>
      <c r="CO233" s="61"/>
      <c r="CP233" s="61"/>
      <c r="CQ233" s="61"/>
      <c r="CR233" s="61"/>
      <c r="CS233" s="61"/>
      <c r="CT233" s="61"/>
      <c r="CU233" s="61"/>
      <c r="CV233" s="61"/>
    </row>
    <row r="234" spans="1:100">
      <c r="A234" s="146">
        <v>92</v>
      </c>
      <c r="B234" s="141">
        <f ca="1">+RESUMEN!Y95</f>
        <v>0</v>
      </c>
      <c r="C234" s="141">
        <f ca="1">+RESUMEN!Z95</f>
        <v>0</v>
      </c>
      <c r="D234" s="142">
        <f t="shared" ca="1" si="172"/>
        <v>0</v>
      </c>
      <c r="E234" s="61"/>
      <c r="F234" s="61"/>
      <c r="G234" s="61"/>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c r="AE234" s="61"/>
      <c r="AF234" s="61"/>
      <c r="AG234" s="61"/>
      <c r="AH234" s="61"/>
      <c r="AI234" s="61"/>
      <c r="AJ234" s="61"/>
      <c r="AK234" s="61"/>
      <c r="AL234" s="61"/>
      <c r="AM234" s="61"/>
      <c r="AN234" s="61"/>
      <c r="AO234" s="61"/>
      <c r="AP234" s="61"/>
      <c r="AQ234" s="61"/>
      <c r="AR234" s="61"/>
      <c r="AS234" s="61"/>
      <c r="AT234" s="61"/>
      <c r="AU234" s="61"/>
      <c r="AV234" s="61"/>
      <c r="AW234" s="61"/>
      <c r="AX234" s="61"/>
      <c r="AY234" s="61"/>
      <c r="AZ234" s="61"/>
      <c r="BA234" s="61"/>
      <c r="BB234" s="61"/>
      <c r="BC234" s="61"/>
      <c r="BD234" s="61"/>
      <c r="BE234" s="61"/>
      <c r="BF234" s="61"/>
      <c r="BG234" s="61"/>
      <c r="BH234" s="61"/>
      <c r="BI234" s="61"/>
      <c r="BJ234" s="61"/>
      <c r="BK234" s="61"/>
      <c r="BL234" s="61"/>
      <c r="BM234" s="61"/>
      <c r="BN234" s="61"/>
      <c r="BO234" s="61"/>
      <c r="BP234" s="61"/>
      <c r="BQ234" s="61"/>
      <c r="BR234" s="61"/>
      <c r="BS234" s="61"/>
      <c r="BT234" s="61"/>
      <c r="BU234" s="61"/>
      <c r="BV234" s="61"/>
      <c r="BW234" s="61"/>
      <c r="BX234" s="61"/>
      <c r="BY234" s="61"/>
      <c r="BZ234" s="61"/>
      <c r="CA234" s="61"/>
      <c r="CB234" s="61"/>
      <c r="CC234" s="61"/>
      <c r="CD234" s="61"/>
      <c r="CE234" s="61"/>
      <c r="CF234" s="61"/>
      <c r="CG234" s="61"/>
      <c r="CH234" s="61"/>
      <c r="CI234" s="61"/>
      <c r="CJ234" s="61"/>
      <c r="CK234" s="61"/>
      <c r="CL234" s="61"/>
      <c r="CM234" s="61"/>
      <c r="CN234" s="61"/>
      <c r="CO234" s="61"/>
      <c r="CP234" s="61"/>
      <c r="CQ234" s="61"/>
      <c r="CR234" s="61"/>
      <c r="CS234" s="61"/>
      <c r="CT234" s="61"/>
      <c r="CU234" s="61"/>
      <c r="CV234" s="61"/>
    </row>
    <row r="235" spans="1:100">
      <c r="A235" s="146">
        <v>93</v>
      </c>
      <c r="B235" s="141">
        <f ca="1">+RESUMEN!Y96</f>
        <v>0</v>
      </c>
      <c r="C235" s="141">
        <f ca="1">+RESUMEN!Z96</f>
        <v>0</v>
      </c>
      <c r="D235" s="142">
        <f t="shared" ca="1" si="172"/>
        <v>0</v>
      </c>
      <c r="E235" s="61"/>
      <c r="F235" s="61"/>
      <c r="G235" s="61"/>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c r="AE235" s="61"/>
      <c r="AF235" s="61"/>
      <c r="AG235" s="61"/>
      <c r="AH235" s="61"/>
      <c r="AI235" s="61"/>
      <c r="AJ235" s="61"/>
      <c r="AK235" s="61"/>
      <c r="AL235" s="61"/>
      <c r="AM235" s="61"/>
      <c r="AN235" s="61"/>
      <c r="AO235" s="61"/>
      <c r="AP235" s="61"/>
      <c r="AQ235" s="61"/>
      <c r="AR235" s="61"/>
      <c r="AS235" s="61"/>
      <c r="AT235" s="61"/>
      <c r="AU235" s="61"/>
      <c r="AV235" s="61"/>
      <c r="AW235" s="61"/>
      <c r="AX235" s="61"/>
      <c r="AY235" s="61"/>
      <c r="AZ235" s="61"/>
      <c r="BA235" s="61"/>
      <c r="BB235" s="61"/>
      <c r="BC235" s="61"/>
      <c r="BD235" s="61"/>
      <c r="BE235" s="61"/>
      <c r="BF235" s="61"/>
      <c r="BG235" s="61"/>
      <c r="BH235" s="61"/>
      <c r="BI235" s="61"/>
      <c r="BJ235" s="61"/>
      <c r="BK235" s="61"/>
      <c r="BL235" s="61"/>
      <c r="BM235" s="61"/>
      <c r="BN235" s="61"/>
      <c r="BO235" s="61"/>
      <c r="BP235" s="61"/>
      <c r="BQ235" s="61"/>
      <c r="BR235" s="61"/>
      <c r="BS235" s="61"/>
      <c r="BT235" s="61"/>
      <c r="BU235" s="61"/>
      <c r="BV235" s="61"/>
      <c r="BW235" s="61"/>
      <c r="BX235" s="61"/>
      <c r="BY235" s="61"/>
      <c r="BZ235" s="61"/>
      <c r="CA235" s="61"/>
      <c r="CB235" s="61"/>
      <c r="CC235" s="61"/>
      <c r="CD235" s="61"/>
      <c r="CE235" s="61"/>
      <c r="CF235" s="61"/>
      <c r="CG235" s="61"/>
      <c r="CH235" s="61"/>
      <c r="CI235" s="61"/>
      <c r="CJ235" s="61"/>
      <c r="CK235" s="61"/>
      <c r="CL235" s="61"/>
      <c r="CM235" s="61"/>
      <c r="CN235" s="61"/>
      <c r="CO235" s="61"/>
      <c r="CP235" s="61"/>
      <c r="CQ235" s="61"/>
      <c r="CR235" s="61"/>
      <c r="CS235" s="61"/>
      <c r="CT235" s="61"/>
      <c r="CU235" s="61"/>
      <c r="CV235" s="61"/>
    </row>
    <row r="236" spans="1:100">
      <c r="A236" s="146">
        <v>94</v>
      </c>
      <c r="B236" s="141">
        <f ca="1">+RESUMEN!Y97</f>
        <v>0</v>
      </c>
      <c r="C236" s="141">
        <f ca="1">+RESUMEN!Z97</f>
        <v>0</v>
      </c>
      <c r="D236" s="142">
        <f t="shared" ca="1" si="172"/>
        <v>0</v>
      </c>
      <c r="E236" s="61"/>
      <c r="F236" s="61"/>
      <c r="G236" s="61"/>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c r="AE236" s="61"/>
      <c r="AF236" s="61"/>
      <c r="AG236" s="61"/>
      <c r="AH236" s="61"/>
      <c r="AI236" s="61"/>
      <c r="AJ236" s="61"/>
      <c r="AK236" s="61"/>
      <c r="AL236" s="61"/>
      <c r="AM236" s="61"/>
      <c r="AN236" s="61"/>
      <c r="AO236" s="61"/>
      <c r="AP236" s="61"/>
      <c r="AQ236" s="61"/>
      <c r="AR236" s="61"/>
      <c r="AS236" s="61"/>
      <c r="AT236" s="61"/>
      <c r="AU236" s="61"/>
      <c r="AV236" s="61"/>
      <c r="AW236" s="61"/>
      <c r="AX236" s="61"/>
      <c r="AY236" s="61"/>
      <c r="AZ236" s="61"/>
      <c r="BA236" s="61"/>
      <c r="BB236" s="61"/>
      <c r="BC236" s="61"/>
      <c r="BD236" s="61"/>
      <c r="BE236" s="61"/>
      <c r="BF236" s="61"/>
      <c r="BG236" s="61"/>
      <c r="BH236" s="61"/>
      <c r="BI236" s="61"/>
      <c r="BJ236" s="61"/>
      <c r="BK236" s="61"/>
      <c r="BL236" s="61"/>
      <c r="BM236" s="61"/>
      <c r="BN236" s="61"/>
      <c r="BO236" s="61"/>
      <c r="BP236" s="61"/>
      <c r="BQ236" s="61"/>
      <c r="BR236" s="61"/>
      <c r="BS236" s="61"/>
      <c r="BT236" s="61"/>
      <c r="BU236" s="61"/>
      <c r="BV236" s="61"/>
      <c r="BW236" s="61"/>
      <c r="BX236" s="61"/>
      <c r="BY236" s="61"/>
      <c r="BZ236" s="61"/>
      <c r="CA236" s="61"/>
      <c r="CB236" s="61"/>
      <c r="CC236" s="61"/>
      <c r="CD236" s="61"/>
      <c r="CE236" s="61"/>
      <c r="CF236" s="61"/>
      <c r="CG236" s="61"/>
      <c r="CH236" s="61"/>
      <c r="CI236" s="61"/>
      <c r="CJ236" s="61"/>
      <c r="CK236" s="61"/>
      <c r="CL236" s="61"/>
      <c r="CM236" s="61"/>
      <c r="CN236" s="61"/>
      <c r="CO236" s="61"/>
      <c r="CP236" s="61"/>
      <c r="CQ236" s="61"/>
      <c r="CR236" s="61"/>
      <c r="CS236" s="61"/>
      <c r="CT236" s="61"/>
      <c r="CU236" s="61"/>
      <c r="CV236" s="61"/>
    </row>
    <row r="237" spans="1:100">
      <c r="A237" s="146">
        <v>95</v>
      </c>
      <c r="B237" s="141">
        <f ca="1">+RESUMEN!Y98</f>
        <v>0</v>
      </c>
      <c r="C237" s="141">
        <f ca="1">+RESUMEN!Z98</f>
        <v>0</v>
      </c>
      <c r="D237" s="142">
        <f t="shared" ca="1" si="172"/>
        <v>0</v>
      </c>
      <c r="E237" s="61"/>
      <c r="F237" s="61"/>
      <c r="G237" s="61"/>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c r="AE237" s="61"/>
      <c r="AF237" s="61"/>
      <c r="AG237" s="61"/>
      <c r="AH237" s="61"/>
      <c r="AI237" s="61"/>
      <c r="AJ237" s="61"/>
      <c r="AK237" s="61"/>
      <c r="AL237" s="61"/>
      <c r="AM237" s="61"/>
      <c r="AN237" s="61"/>
      <c r="AO237" s="61"/>
      <c r="AP237" s="61"/>
      <c r="AQ237" s="61"/>
      <c r="AR237" s="61"/>
      <c r="AS237" s="61"/>
      <c r="AT237" s="61"/>
      <c r="AU237" s="61"/>
      <c r="AV237" s="61"/>
      <c r="AW237" s="61"/>
      <c r="AX237" s="61"/>
      <c r="AY237" s="61"/>
      <c r="AZ237" s="61"/>
      <c r="BA237" s="61"/>
      <c r="BB237" s="61"/>
      <c r="BC237" s="61"/>
      <c r="BD237" s="61"/>
      <c r="BE237" s="61"/>
      <c r="BF237" s="61"/>
      <c r="BG237" s="61"/>
      <c r="BH237" s="61"/>
      <c r="BI237" s="61"/>
      <c r="BJ237" s="61"/>
      <c r="BK237" s="61"/>
      <c r="BL237" s="61"/>
      <c r="BM237" s="61"/>
      <c r="BN237" s="61"/>
      <c r="BO237" s="61"/>
      <c r="BP237" s="61"/>
      <c r="BQ237" s="61"/>
      <c r="BR237" s="61"/>
      <c r="BS237" s="61"/>
      <c r="BT237" s="61"/>
      <c r="BU237" s="61"/>
      <c r="BV237" s="61"/>
      <c r="BW237" s="61"/>
      <c r="BX237" s="61"/>
      <c r="BY237" s="61"/>
      <c r="BZ237" s="61"/>
      <c r="CA237" s="61"/>
      <c r="CB237" s="61"/>
      <c r="CC237" s="61"/>
      <c r="CD237" s="61"/>
      <c r="CE237" s="61"/>
      <c r="CF237" s="61"/>
      <c r="CG237" s="61"/>
      <c r="CH237" s="61"/>
      <c r="CI237" s="61"/>
      <c r="CJ237" s="61"/>
      <c r="CK237" s="61"/>
      <c r="CL237" s="61"/>
      <c r="CM237" s="61"/>
      <c r="CN237" s="61"/>
      <c r="CO237" s="61"/>
      <c r="CP237" s="61"/>
      <c r="CQ237" s="61"/>
      <c r="CR237" s="61"/>
      <c r="CS237" s="61"/>
      <c r="CT237" s="61"/>
      <c r="CU237" s="61"/>
      <c r="CV237" s="61"/>
    </row>
    <row r="238" spans="1:100">
      <c r="A238" s="146">
        <v>96</v>
      </c>
      <c r="B238" s="141">
        <f ca="1">+RESUMEN!Y99</f>
        <v>0</v>
      </c>
      <c r="C238" s="141">
        <f ca="1">+RESUMEN!Z99</f>
        <v>0</v>
      </c>
      <c r="D238" s="142">
        <f t="shared" ca="1" si="172"/>
        <v>0</v>
      </c>
      <c r="E238" s="61"/>
      <c r="F238" s="61"/>
      <c r="G238" s="61"/>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c r="AE238" s="61"/>
      <c r="AF238" s="61"/>
      <c r="AG238" s="61"/>
      <c r="AH238" s="61"/>
      <c r="AI238" s="61"/>
      <c r="AJ238" s="61"/>
      <c r="AK238" s="61"/>
      <c r="AL238" s="61"/>
      <c r="AM238" s="61"/>
      <c r="AN238" s="61"/>
      <c r="AO238" s="61"/>
      <c r="AP238" s="61"/>
      <c r="AQ238" s="61"/>
      <c r="AR238" s="61"/>
      <c r="AS238" s="61"/>
      <c r="AT238" s="61"/>
      <c r="AU238" s="61"/>
      <c r="AV238" s="61"/>
      <c r="AW238" s="61"/>
      <c r="AX238" s="61"/>
      <c r="AY238" s="61"/>
      <c r="AZ238" s="61"/>
      <c r="BA238" s="61"/>
      <c r="BB238" s="61"/>
      <c r="BC238" s="61"/>
      <c r="BD238" s="61"/>
      <c r="BE238" s="61"/>
      <c r="BF238" s="61"/>
      <c r="BG238" s="61"/>
      <c r="BH238" s="61"/>
      <c r="BI238" s="61"/>
      <c r="BJ238" s="61"/>
      <c r="BK238" s="61"/>
      <c r="BL238" s="61"/>
      <c r="BM238" s="61"/>
      <c r="BN238" s="61"/>
      <c r="BO238" s="61"/>
      <c r="BP238" s="61"/>
      <c r="BQ238" s="61"/>
      <c r="BR238" s="61"/>
      <c r="BS238" s="61"/>
      <c r="BT238" s="61"/>
      <c r="BU238" s="61"/>
      <c r="BV238" s="61"/>
      <c r="BW238" s="61"/>
      <c r="BX238" s="61"/>
      <c r="BY238" s="61"/>
      <c r="BZ238" s="61"/>
      <c r="CA238" s="61"/>
      <c r="CB238" s="61"/>
      <c r="CC238" s="61"/>
      <c r="CD238" s="61"/>
      <c r="CE238" s="61"/>
      <c r="CF238" s="61"/>
      <c r="CG238" s="61"/>
      <c r="CH238" s="61"/>
      <c r="CI238" s="61"/>
      <c r="CJ238" s="61"/>
      <c r="CK238" s="61"/>
      <c r="CL238" s="61"/>
      <c r="CM238" s="61"/>
      <c r="CN238" s="61"/>
      <c r="CO238" s="61"/>
      <c r="CP238" s="61"/>
      <c r="CQ238" s="61"/>
      <c r="CR238" s="61"/>
      <c r="CS238" s="61"/>
      <c r="CT238" s="61"/>
      <c r="CU238" s="61"/>
      <c r="CV238" s="61"/>
    </row>
    <row r="239" spans="1:100">
      <c r="A239" s="146">
        <v>97</v>
      </c>
      <c r="B239" s="141">
        <f ca="1">+RESUMEN!Y100</f>
        <v>0</v>
      </c>
      <c r="C239" s="141">
        <f ca="1">+RESUMEN!Z100</f>
        <v>0</v>
      </c>
      <c r="D239" s="142">
        <f t="shared" ca="1" si="172"/>
        <v>0</v>
      </c>
      <c r="E239" s="61"/>
      <c r="F239" s="61"/>
      <c r="G239" s="61"/>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c r="AE239" s="61"/>
      <c r="AF239" s="61"/>
      <c r="AG239" s="61"/>
      <c r="AH239" s="61"/>
      <c r="AI239" s="61"/>
      <c r="AJ239" s="61"/>
      <c r="AK239" s="61"/>
      <c r="AL239" s="61"/>
      <c r="AM239" s="61"/>
      <c r="AN239" s="61"/>
      <c r="AO239" s="61"/>
      <c r="AP239" s="61"/>
      <c r="AQ239" s="61"/>
      <c r="AR239" s="61"/>
      <c r="AS239" s="61"/>
      <c r="AT239" s="61"/>
      <c r="AU239" s="61"/>
      <c r="AV239" s="61"/>
      <c r="AW239" s="61"/>
      <c r="AX239" s="61"/>
      <c r="AY239" s="61"/>
      <c r="AZ239" s="61"/>
      <c r="BA239" s="61"/>
      <c r="BB239" s="61"/>
      <c r="BC239" s="61"/>
      <c r="BD239" s="61"/>
      <c r="BE239" s="61"/>
      <c r="BF239" s="61"/>
      <c r="BG239" s="61"/>
      <c r="BH239" s="61"/>
      <c r="BI239" s="61"/>
      <c r="BJ239" s="61"/>
      <c r="BK239" s="61"/>
      <c r="BL239" s="61"/>
      <c r="BM239" s="61"/>
      <c r="BN239" s="61"/>
      <c r="BO239" s="61"/>
      <c r="BP239" s="61"/>
      <c r="BQ239" s="61"/>
      <c r="BR239" s="61"/>
      <c r="BS239" s="61"/>
      <c r="BT239" s="61"/>
      <c r="BU239" s="61"/>
      <c r="BV239" s="61"/>
      <c r="BW239" s="61"/>
      <c r="BX239" s="61"/>
      <c r="BY239" s="61"/>
      <c r="BZ239" s="61"/>
      <c r="CA239" s="61"/>
      <c r="CB239" s="61"/>
      <c r="CC239" s="61"/>
      <c r="CD239" s="61"/>
      <c r="CE239" s="61"/>
      <c r="CF239" s="61"/>
      <c r="CG239" s="61"/>
      <c r="CH239" s="61"/>
      <c r="CI239" s="61"/>
      <c r="CJ239" s="61"/>
      <c r="CK239" s="61"/>
      <c r="CL239" s="61"/>
      <c r="CM239" s="61"/>
      <c r="CN239" s="61"/>
      <c r="CO239" s="61"/>
      <c r="CP239" s="61"/>
      <c r="CQ239" s="61"/>
      <c r="CR239" s="61"/>
      <c r="CS239" s="61"/>
      <c r="CT239" s="61"/>
      <c r="CU239" s="61"/>
      <c r="CV239" s="61"/>
    </row>
    <row r="240" spans="1:100">
      <c r="A240" s="146">
        <v>98</v>
      </c>
      <c r="B240" s="141">
        <f ca="1">+RESUMEN!Y101</f>
        <v>0</v>
      </c>
      <c r="C240" s="141">
        <f ca="1">+RESUMEN!Z101</f>
        <v>0</v>
      </c>
      <c r="D240" s="142">
        <f t="shared" ca="1" si="172"/>
        <v>0</v>
      </c>
      <c r="E240" s="61"/>
      <c r="F240" s="61"/>
      <c r="G240" s="61"/>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c r="AE240" s="61"/>
      <c r="AF240" s="61"/>
      <c r="AG240" s="61"/>
      <c r="AH240" s="61"/>
      <c r="AI240" s="61"/>
      <c r="AJ240" s="61"/>
      <c r="AK240" s="61"/>
      <c r="AL240" s="61"/>
      <c r="AM240" s="61"/>
      <c r="AN240" s="61"/>
      <c r="AO240" s="61"/>
      <c r="AP240" s="61"/>
      <c r="AQ240" s="61"/>
      <c r="AR240" s="61"/>
      <c r="AS240" s="61"/>
      <c r="AT240" s="61"/>
      <c r="AU240" s="61"/>
      <c r="AV240" s="61"/>
      <c r="AW240" s="61"/>
      <c r="AX240" s="61"/>
      <c r="AY240" s="61"/>
      <c r="AZ240" s="61"/>
      <c r="BA240" s="61"/>
      <c r="BB240" s="61"/>
      <c r="BC240" s="61"/>
      <c r="BD240" s="61"/>
      <c r="BE240" s="61"/>
      <c r="BF240" s="61"/>
      <c r="BG240" s="61"/>
      <c r="BH240" s="61"/>
      <c r="BI240" s="61"/>
      <c r="BJ240" s="61"/>
      <c r="BK240" s="61"/>
      <c r="BL240" s="61"/>
      <c r="BM240" s="61"/>
      <c r="BN240" s="61"/>
      <c r="BO240" s="61"/>
      <c r="BP240" s="61"/>
      <c r="BQ240" s="61"/>
      <c r="BR240" s="61"/>
      <c r="BS240" s="61"/>
      <c r="BT240" s="61"/>
      <c r="BU240" s="61"/>
      <c r="BV240" s="61"/>
      <c r="BW240" s="61"/>
      <c r="BX240" s="61"/>
      <c r="BY240" s="61"/>
      <c r="BZ240" s="61"/>
      <c r="CA240" s="61"/>
      <c r="CB240" s="61"/>
      <c r="CC240" s="61"/>
      <c r="CD240" s="61"/>
      <c r="CE240" s="61"/>
      <c r="CF240" s="61"/>
      <c r="CG240" s="61"/>
      <c r="CH240" s="61"/>
      <c r="CI240" s="61"/>
      <c r="CJ240" s="61"/>
      <c r="CK240" s="61"/>
      <c r="CL240" s="61"/>
      <c r="CM240" s="61"/>
      <c r="CN240" s="61"/>
      <c r="CO240" s="61"/>
      <c r="CP240" s="61"/>
      <c r="CQ240" s="61"/>
      <c r="CR240" s="61"/>
      <c r="CS240" s="61"/>
      <c r="CT240" s="61"/>
      <c r="CU240" s="61"/>
      <c r="CV240" s="61"/>
    </row>
    <row r="241" spans="1:100">
      <c r="A241" s="146">
        <v>99</v>
      </c>
      <c r="B241" s="141">
        <f ca="1">+RESUMEN!Y102</f>
        <v>0</v>
      </c>
      <c r="C241" s="141">
        <f ca="1">+RESUMEN!Z102</f>
        <v>0</v>
      </c>
      <c r="D241" s="142">
        <f t="shared" ca="1" si="172"/>
        <v>0</v>
      </c>
      <c r="E241" s="61"/>
      <c r="F241" s="61"/>
      <c r="G241" s="61"/>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c r="AE241" s="61"/>
      <c r="AF241" s="61"/>
      <c r="AG241" s="61"/>
      <c r="AH241" s="61"/>
      <c r="AI241" s="61"/>
      <c r="AJ241" s="61"/>
      <c r="AK241" s="61"/>
      <c r="AL241" s="61"/>
      <c r="AM241" s="61"/>
      <c r="AN241" s="61"/>
      <c r="AO241" s="61"/>
      <c r="AP241" s="61"/>
      <c r="AQ241" s="61"/>
      <c r="AR241" s="61"/>
      <c r="AS241" s="61"/>
      <c r="AT241" s="61"/>
      <c r="AU241" s="61"/>
      <c r="AV241" s="61"/>
      <c r="AW241" s="61"/>
      <c r="AX241" s="61"/>
      <c r="AY241" s="61"/>
      <c r="AZ241" s="61"/>
      <c r="BA241" s="61"/>
      <c r="BB241" s="61"/>
      <c r="BC241" s="61"/>
      <c r="BD241" s="61"/>
      <c r="BE241" s="61"/>
      <c r="BF241" s="61"/>
      <c r="BG241" s="61"/>
      <c r="BH241" s="61"/>
      <c r="BI241" s="61"/>
      <c r="BJ241" s="61"/>
      <c r="BK241" s="61"/>
      <c r="BL241" s="61"/>
      <c r="BM241" s="61"/>
      <c r="BN241" s="61"/>
      <c r="BO241" s="61"/>
      <c r="BP241" s="61"/>
      <c r="BQ241" s="61"/>
      <c r="BR241" s="61"/>
      <c r="BS241" s="61"/>
      <c r="BT241" s="61"/>
      <c r="BU241" s="61"/>
      <c r="BV241" s="61"/>
      <c r="BW241" s="61"/>
      <c r="BX241" s="61"/>
      <c r="BY241" s="61"/>
      <c r="BZ241" s="61"/>
      <c r="CA241" s="61"/>
      <c r="CB241" s="61"/>
      <c r="CC241" s="61"/>
      <c r="CD241" s="61"/>
      <c r="CE241" s="61"/>
      <c r="CF241" s="61"/>
      <c r="CG241" s="61"/>
      <c r="CH241" s="61"/>
      <c r="CI241" s="61"/>
      <c r="CJ241" s="61"/>
      <c r="CK241" s="61"/>
      <c r="CL241" s="61"/>
      <c r="CM241" s="61"/>
      <c r="CN241" s="61"/>
      <c r="CO241" s="61"/>
      <c r="CP241" s="61"/>
      <c r="CQ241" s="61"/>
      <c r="CR241" s="61"/>
      <c r="CS241" s="61"/>
      <c r="CT241" s="61"/>
      <c r="CU241" s="61"/>
      <c r="CV241" s="61"/>
    </row>
    <row r="242" spans="1:100" ht="16" thickBot="1">
      <c r="A242" s="174">
        <v>100</v>
      </c>
      <c r="B242" s="141">
        <f ca="1">+RESUMEN!Y103</f>
        <v>0</v>
      </c>
      <c r="C242" s="141">
        <f ca="1">+RESUMEN!Z103</f>
        <v>0</v>
      </c>
      <c r="D242" s="175">
        <f t="shared" ca="1" si="172"/>
        <v>0</v>
      </c>
      <c r="E242" s="61"/>
      <c r="F242" s="61"/>
      <c r="G242" s="61"/>
      <c r="H242" s="61"/>
      <c r="I242" s="61"/>
      <c r="J242" s="35"/>
    </row>
    <row r="243" spans="1:100" ht="16" thickBot="1">
      <c r="A243" s="176" t="s">
        <v>52</v>
      </c>
      <c r="B243" s="176">
        <f ca="1">SUM(B142:B242)</f>
        <v>0</v>
      </c>
      <c r="C243" s="176">
        <f ca="1">SUM(C142:C242)</f>
        <v>0</v>
      </c>
      <c r="D243" s="176">
        <f ca="1">SUM(D142:D242)</f>
        <v>0</v>
      </c>
      <c r="E243" s="35"/>
      <c r="F243" s="35"/>
      <c r="G243" s="35"/>
      <c r="H243" s="35"/>
      <c r="I243" s="35"/>
      <c r="J243" s="35"/>
    </row>
    <row r="244" spans="1:100">
      <c r="B244" s="35"/>
      <c r="C244" s="35"/>
      <c r="D244" s="35"/>
      <c r="E244" s="35"/>
      <c r="F244" s="35"/>
      <c r="G244" s="35"/>
      <c r="H244" s="35"/>
      <c r="I244" s="35"/>
      <c r="J244" s="35"/>
    </row>
    <row r="245" spans="1:100">
      <c r="B245" s="35"/>
      <c r="C245" s="35"/>
      <c r="D245" s="35"/>
      <c r="E245" s="35"/>
      <c r="F245" s="35"/>
      <c r="G245" s="35"/>
      <c r="H245" s="35"/>
      <c r="I245" s="35"/>
      <c r="J245" s="35"/>
    </row>
    <row r="246" spans="1:100">
      <c r="B246" s="35"/>
      <c r="C246" s="35"/>
      <c r="D246" s="35"/>
      <c r="E246" s="35"/>
      <c r="F246" s="35"/>
      <c r="G246" s="35"/>
      <c r="H246" s="35"/>
      <c r="I246" s="35"/>
      <c r="J246" s="35"/>
    </row>
    <row r="247" spans="1:100">
      <c r="B247" s="35"/>
      <c r="C247" s="35"/>
      <c r="D247" s="35"/>
      <c r="E247" s="35"/>
      <c r="F247" s="35"/>
      <c r="G247" s="35"/>
      <c r="H247" s="35"/>
      <c r="I247" s="35"/>
      <c r="J247" s="35"/>
    </row>
    <row r="248" spans="1:100">
      <c r="B248" s="35"/>
      <c r="C248" s="35"/>
      <c r="D248" s="35"/>
      <c r="E248" s="35"/>
      <c r="F248" s="35"/>
      <c r="G248" s="35"/>
      <c r="H248" s="35"/>
      <c r="I248" s="35"/>
      <c r="J248" s="35"/>
    </row>
    <row r="249" spans="1:100">
      <c r="B249" s="35"/>
      <c r="C249" s="35"/>
      <c r="D249" s="35"/>
      <c r="E249" s="35"/>
      <c r="F249" s="35"/>
      <c r="G249" s="35"/>
      <c r="H249" s="35"/>
      <c r="I249" s="35"/>
      <c r="J249" s="35"/>
    </row>
    <row r="250" spans="1:100">
      <c r="B250" s="35"/>
      <c r="C250" s="35"/>
      <c r="D250" s="35"/>
      <c r="E250" s="35"/>
      <c r="F250" s="35"/>
      <c r="G250" s="35"/>
      <c r="H250" s="35"/>
      <c r="I250" s="35"/>
      <c r="J250" s="35"/>
    </row>
    <row r="251" spans="1:100">
      <c r="B251" s="35"/>
      <c r="C251" s="35"/>
      <c r="D251" s="35"/>
      <c r="E251" s="35"/>
      <c r="F251" s="35"/>
      <c r="G251" s="35"/>
      <c r="H251" s="35"/>
      <c r="I251" s="35"/>
      <c r="J251" s="35"/>
    </row>
    <row r="252" spans="1:100">
      <c r="B252" s="35"/>
      <c r="C252" s="35"/>
      <c r="D252" s="35"/>
      <c r="E252" s="35"/>
      <c r="F252" s="35"/>
      <c r="G252" s="35"/>
      <c r="H252" s="35"/>
      <c r="I252" s="35"/>
      <c r="J252" s="35"/>
    </row>
    <row r="253" spans="1:100">
      <c r="B253" s="35"/>
      <c r="C253" s="35"/>
      <c r="D253" s="35"/>
      <c r="E253" s="35"/>
      <c r="F253" s="35"/>
      <c r="G253" s="35"/>
      <c r="H253" s="35"/>
      <c r="I253" s="35"/>
      <c r="J253" s="35"/>
    </row>
    <row r="254" spans="1:100">
      <c r="B254" s="35"/>
      <c r="C254" s="35"/>
      <c r="D254" s="35"/>
      <c r="E254" s="35"/>
      <c r="F254" s="35"/>
      <c r="G254" s="35"/>
      <c r="H254" s="35"/>
      <c r="I254" s="35"/>
      <c r="J254" s="35"/>
    </row>
    <row r="255" spans="1:100">
      <c r="B255" s="35"/>
      <c r="C255" s="35"/>
      <c r="D255" s="35"/>
      <c r="E255" s="35"/>
      <c r="F255" s="35"/>
      <c r="G255" s="35"/>
      <c r="H255" s="35"/>
      <c r="I255" s="35"/>
      <c r="J255" s="35"/>
    </row>
    <row r="256" spans="1:100">
      <c r="B256" s="35"/>
      <c r="C256" s="35"/>
      <c r="D256" s="35"/>
      <c r="E256" s="35"/>
      <c r="F256" s="35"/>
      <c r="G256" s="35"/>
      <c r="H256" s="35"/>
      <c r="I256" s="35"/>
      <c r="J256" s="35"/>
    </row>
    <row r="257" spans="2:10">
      <c r="B257" s="35"/>
      <c r="C257" s="35"/>
      <c r="D257" s="35"/>
      <c r="E257" s="35"/>
      <c r="F257" s="35"/>
      <c r="G257" s="35"/>
      <c r="H257" s="35"/>
      <c r="I257" s="35"/>
      <c r="J257" s="35"/>
    </row>
    <row r="258" spans="2:10">
      <c r="B258" s="35"/>
      <c r="C258" s="35"/>
      <c r="D258" s="35"/>
      <c r="E258" s="35"/>
      <c r="F258" s="35"/>
      <c r="G258" s="35"/>
      <c r="H258" s="35"/>
      <c r="I258" s="35"/>
      <c r="J258" s="35"/>
    </row>
    <row r="259" spans="2:10">
      <c r="B259" s="35"/>
      <c r="C259" s="35"/>
      <c r="D259" s="35"/>
      <c r="E259" s="35"/>
      <c r="F259" s="35"/>
      <c r="G259" s="35"/>
      <c r="H259" s="35"/>
      <c r="I259" s="35"/>
      <c r="J259" s="35"/>
    </row>
    <row r="260" spans="2:10">
      <c r="B260" s="35"/>
      <c r="C260" s="35"/>
      <c r="D260" s="35"/>
      <c r="E260" s="35"/>
      <c r="F260" s="35"/>
      <c r="G260" s="35"/>
      <c r="H260" s="35"/>
      <c r="I260" s="35"/>
      <c r="J260" s="35"/>
    </row>
    <row r="261" spans="2:10">
      <c r="B261" s="35"/>
      <c r="C261" s="35"/>
      <c r="D261" s="35"/>
      <c r="E261" s="35"/>
      <c r="F261" s="35"/>
      <c r="G261" s="35"/>
      <c r="H261" s="35"/>
      <c r="I261" s="35"/>
      <c r="J261" s="35"/>
    </row>
    <row r="262" spans="2:10">
      <c r="B262" s="35"/>
      <c r="C262" s="35"/>
      <c r="D262" s="35"/>
      <c r="E262" s="35"/>
      <c r="F262" s="35"/>
      <c r="G262" s="35"/>
      <c r="H262" s="35"/>
      <c r="I262" s="35"/>
      <c r="J262" s="35"/>
    </row>
    <row r="263" spans="2:10">
      <c r="B263" s="35"/>
      <c r="C263" s="35"/>
      <c r="D263" s="35"/>
      <c r="E263" s="35"/>
      <c r="F263" s="35"/>
      <c r="G263" s="35"/>
      <c r="H263" s="35"/>
      <c r="I263" s="35"/>
      <c r="J263" s="35"/>
    </row>
    <row r="264" spans="2:10">
      <c r="B264" s="35"/>
      <c r="C264" s="35"/>
      <c r="D264" s="35"/>
      <c r="E264" s="35"/>
      <c r="F264" s="35"/>
      <c r="G264" s="35"/>
      <c r="H264" s="35"/>
      <c r="I264" s="35"/>
      <c r="J264" s="35"/>
    </row>
    <row r="265" spans="2:10">
      <c r="B265" s="35"/>
      <c r="C265" s="35"/>
      <c r="D265" s="35"/>
      <c r="E265" s="35"/>
      <c r="F265" s="35"/>
      <c r="G265" s="35"/>
      <c r="H265" s="35"/>
      <c r="I265" s="35"/>
      <c r="J265" s="35"/>
    </row>
    <row r="266" spans="2:10">
      <c r="B266" s="35"/>
      <c r="C266" s="35"/>
      <c r="D266" s="35"/>
      <c r="E266" s="35"/>
      <c r="F266" s="35"/>
      <c r="G266" s="35"/>
      <c r="H266" s="35"/>
      <c r="I266" s="35"/>
      <c r="J266" s="35"/>
    </row>
    <row r="267" spans="2:10">
      <c r="B267" s="35"/>
      <c r="C267" s="35"/>
      <c r="D267" s="35"/>
      <c r="E267" s="35"/>
      <c r="F267" s="35"/>
      <c r="G267" s="35"/>
      <c r="H267" s="35"/>
      <c r="I267" s="35"/>
      <c r="J267" s="35"/>
    </row>
    <row r="268" spans="2:10">
      <c r="B268" s="35"/>
      <c r="C268" s="35"/>
      <c r="D268" s="35"/>
      <c r="E268" s="35"/>
      <c r="F268" s="35"/>
      <c r="G268" s="35"/>
      <c r="H268" s="35"/>
      <c r="I268" s="35"/>
      <c r="J268" s="35"/>
    </row>
    <row r="269" spans="2:10">
      <c r="B269" s="35"/>
      <c r="C269" s="35"/>
      <c r="D269" s="35"/>
      <c r="E269" s="35"/>
      <c r="F269" s="35"/>
      <c r="G269" s="35"/>
      <c r="H269" s="35"/>
      <c r="I269" s="35"/>
      <c r="J269" s="35"/>
    </row>
    <row r="270" spans="2:10">
      <c r="B270" s="35"/>
      <c r="C270" s="35"/>
      <c r="D270" s="35"/>
      <c r="E270" s="35"/>
      <c r="F270" s="35"/>
      <c r="G270" s="35"/>
      <c r="H270" s="35"/>
      <c r="I270" s="35"/>
      <c r="J270" s="35"/>
    </row>
    <row r="271" spans="2:10">
      <c r="B271" s="35"/>
      <c r="C271" s="35"/>
      <c r="D271" s="35"/>
      <c r="E271" s="35"/>
      <c r="F271" s="35"/>
      <c r="G271" s="35"/>
      <c r="H271" s="35"/>
      <c r="I271" s="35"/>
    </row>
  </sheetData>
  <sheetProtection selectLockedCells="1" selectUnlockedCells="1"/>
  <mergeCells count="11">
    <mergeCell ref="F105:H105"/>
    <mergeCell ref="J105:K105"/>
    <mergeCell ref="G93:H93"/>
    <mergeCell ref="AR1:AT1"/>
    <mergeCell ref="CC1:CD1"/>
    <mergeCell ref="BV125:BW125"/>
    <mergeCell ref="BY125:BZ125"/>
    <mergeCell ref="BA1:BB1"/>
    <mergeCell ref="BD1:BF1"/>
    <mergeCell ref="BH1:BI1"/>
    <mergeCell ref="BO1:BP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dimension ref="A1:R27"/>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5" zeroHeight="1"/>
  <cols>
    <col min="1" max="1" width="13.26953125" hidden="1" customWidth="1"/>
    <col min="2" max="3" width="21.7265625" style="25" customWidth="1"/>
    <col min="4" max="4" width="21.7265625" style="30" customWidth="1"/>
    <col min="5" max="5" width="32" style="23" bestFit="1" customWidth="1"/>
    <col min="6" max="7" width="5.453125" style="23" customWidth="1"/>
    <col min="8" max="8" width="11.26953125" style="23" hidden="1" customWidth="1"/>
    <col min="9" max="9" width="13.1796875" style="23" hidden="1" customWidth="1"/>
    <col min="10" max="13" width="11.453125" style="23" hidden="1" customWidth="1"/>
    <col min="14" max="15" width="9.453125" style="23" hidden="1" customWidth="1"/>
    <col min="16" max="16384" width="5.453125" style="23" hidden="1"/>
  </cols>
  <sheetData>
    <row r="1" spans="1:18" ht="31.15" customHeight="1">
      <c r="A1" s="179"/>
      <c r="B1" s="584" t="s">
        <v>90</v>
      </c>
      <c r="C1" s="585"/>
      <c r="D1" s="585"/>
      <c r="E1" s="585"/>
      <c r="F1" s="180"/>
      <c r="G1" s="180"/>
    </row>
    <row r="2" spans="1:18" ht="19" thickBot="1">
      <c r="A2" s="592" t="str">
        <f>+IF(p=1,"¿Qué rango de edades desea cotizar?","")</f>
        <v>¿Qué rango de edades desea cotizar?</v>
      </c>
      <c r="B2" s="592"/>
      <c r="C2" s="592"/>
      <c r="D2" s="592"/>
      <c r="E2" s="592"/>
      <c r="F2" s="180"/>
      <c r="G2" s="180"/>
    </row>
    <row r="3" spans="1:18" ht="13.15" hidden="1" customHeight="1" thickBot="1">
      <c r="A3" s="181"/>
      <c r="B3" s="182"/>
      <c r="F3" s="180"/>
      <c r="G3" s="180"/>
    </row>
    <row r="4" spans="1:18" s="24" customFormat="1" ht="14.25" customHeight="1">
      <c r="A4" s="185" t="s">
        <v>40</v>
      </c>
      <c r="B4" s="586" t="s">
        <v>42</v>
      </c>
      <c r="C4" s="593" t="s">
        <v>68</v>
      </c>
      <c r="D4" s="596" t="s">
        <v>69</v>
      </c>
      <c r="E4" s="589" t="s">
        <v>67</v>
      </c>
      <c r="F4" s="186"/>
      <c r="G4" s="186"/>
    </row>
    <row r="5" spans="1:18" ht="12" customHeight="1">
      <c r="A5" s="187" t="s">
        <v>41</v>
      </c>
      <c r="B5" s="587"/>
      <c r="C5" s="594"/>
      <c r="D5" s="597"/>
      <c r="E5" s="590"/>
      <c r="F5" s="180"/>
      <c r="G5" s="180"/>
    </row>
    <row r="6" spans="1:18" ht="13.15" customHeight="1" thickBot="1">
      <c r="A6" s="188" t="s">
        <v>66</v>
      </c>
      <c r="B6" s="588"/>
      <c r="C6" s="595"/>
      <c r="D6" s="598"/>
      <c r="E6" s="591"/>
      <c r="F6" s="180"/>
      <c r="G6" s="180"/>
      <c r="H6" s="214" t="s">
        <v>434</v>
      </c>
      <c r="I6" s="214" t="s">
        <v>435</v>
      </c>
      <c r="J6" s="214" t="s">
        <v>436</v>
      </c>
      <c r="K6" s="214" t="s">
        <v>36</v>
      </c>
      <c r="L6" s="23" t="s">
        <v>56</v>
      </c>
      <c r="M6" s="23" t="s">
        <v>53</v>
      </c>
      <c r="N6" s="545" t="s">
        <v>536</v>
      </c>
      <c r="O6" s="545" t="s">
        <v>533</v>
      </c>
    </row>
    <row r="7" spans="1:18" ht="24.75" customHeight="1">
      <c r="A7" s="209"/>
      <c r="B7" s="535"/>
      <c r="C7" s="536"/>
      <c r="D7" s="536"/>
      <c r="E7" s="537" t="str">
        <f>IF(COUNTIF(C7:C14,"T")=0,"Debe existir un titular",IF(COUNTIF(C7:C14,"T")&gt;1,"Solo debe existir un titular",""))</f>
        <v>Debe existir un titular</v>
      </c>
      <c r="F7" s="189"/>
      <c r="G7" s="180"/>
      <c r="H7" s="212">
        <f>+IF(AND('CAPTURA LISTADO'!B7&gt;max,b=1),1,0)</f>
        <v>0</v>
      </c>
      <c r="I7" s="212">
        <f>+IF(AND(p=2,'CAPTURA DP'!$B$6&gt;1,B7&gt;59,b=1),1,0)</f>
        <v>0</v>
      </c>
      <c r="J7" s="212">
        <f>+IF(AND(p=1,'CAPTURA DP'!$B$6&gt;61,B7&gt;59,b=1),1,0)</f>
        <v>0</v>
      </c>
      <c r="K7" s="212">
        <f>+IF(E7="",0,1)+I7+J7+H7</f>
        <v>1</v>
      </c>
      <c r="L7" s="23" t="s">
        <v>13</v>
      </c>
      <c r="M7" s="23" t="s">
        <v>55</v>
      </c>
      <c r="N7" s="545">
        <f>+IF(D7="F",IF(OR(B7&lt;15,B7&gt;55),0,1),0)</f>
        <v>0</v>
      </c>
      <c r="O7" s="546">
        <f>+IF(D7="m",1,0)</f>
        <v>0</v>
      </c>
    </row>
    <row r="8" spans="1:18" ht="24.75" customHeight="1">
      <c r="A8" s="210"/>
      <c r="B8" s="538"/>
      <c r="C8" s="539"/>
      <c r="D8" s="539"/>
      <c r="E8" s="540" t="str">
        <f t="shared" ref="E8:E14" ca="1" si="0">IF(A8&gt;TODAY(),"Error en la fecha de nacimiento.",IF(AND(OR(A8&lt;&gt;"",B8&lt;&gt;""),AND(C8&lt;&gt;"",D8&lt;&gt;"")),"",IF(AND(A8="",B8="",C8="",D8=""),"","FALTAN DATOS")))</f>
        <v/>
      </c>
      <c r="F8" s="189"/>
      <c r="G8" s="180"/>
      <c r="H8" s="212">
        <f>+IF(AND('CAPTURA LISTADO'!B8&gt;max,b=1),1,0)</f>
        <v>0</v>
      </c>
      <c r="I8" s="212">
        <f>+IF(AND(p=2,'CAPTURA DP'!$B$6&gt;1,B8&gt;59,b=1),1,0)</f>
        <v>0</v>
      </c>
      <c r="J8" s="212">
        <f>+IF(AND(p=1,'CAPTURA DP'!$B$6&gt;61,B8&gt;59,b=1),1,0)</f>
        <v>0</v>
      </c>
      <c r="K8" s="212">
        <f t="shared" ref="K8:K14" ca="1" si="1">+IF(E8="",0,1)+I8+J8+H8</f>
        <v>0</v>
      </c>
      <c r="L8" s="23" t="s">
        <v>64</v>
      </c>
      <c r="N8" s="212">
        <f t="shared" ref="N8:N14" si="2">+IF(D8="F",IF(OR(B8&lt;15,B8&gt;55),0,1),0)</f>
        <v>0</v>
      </c>
      <c r="O8" s="547">
        <f t="shared" ref="O8:O14" si="3">+IF(D8="m",1,0)</f>
        <v>0</v>
      </c>
    </row>
    <row r="9" spans="1:18" ht="24.75" customHeight="1">
      <c r="A9" s="210"/>
      <c r="B9" s="538"/>
      <c r="C9" s="539"/>
      <c r="D9" s="539"/>
      <c r="E9" s="540" t="str">
        <f t="shared" ca="1" si="0"/>
        <v/>
      </c>
      <c r="F9" s="189"/>
      <c r="G9" s="180"/>
      <c r="H9" s="212">
        <f>+IF(AND('CAPTURA LISTADO'!B9&gt;max,b=1),1,0)</f>
        <v>0</v>
      </c>
      <c r="I9" s="212">
        <f>+IF(AND(p=2,'CAPTURA DP'!$B$6&gt;1,B9&gt;59,b=1),1,0)</f>
        <v>0</v>
      </c>
      <c r="J9" s="212">
        <f>+IF(AND(p=1,'CAPTURA DP'!$B$6&gt;61,B9&gt;59,b=1),1,0)</f>
        <v>0</v>
      </c>
      <c r="K9" s="212">
        <f t="shared" ca="1" si="1"/>
        <v>0</v>
      </c>
      <c r="N9" s="212">
        <f t="shared" si="2"/>
        <v>0</v>
      </c>
      <c r="O9" s="547">
        <f t="shared" si="3"/>
        <v>0</v>
      </c>
    </row>
    <row r="10" spans="1:18" ht="24.75" customHeight="1">
      <c r="A10" s="210"/>
      <c r="B10" s="538"/>
      <c r="C10" s="539"/>
      <c r="D10" s="539"/>
      <c r="E10" s="540" t="str">
        <f t="shared" ca="1" si="0"/>
        <v/>
      </c>
      <c r="F10" s="189"/>
      <c r="G10" s="180"/>
      <c r="H10" s="212">
        <f>+IF(AND('CAPTURA LISTADO'!B10&gt;max,b=1),1,0)</f>
        <v>0</v>
      </c>
      <c r="I10" s="212">
        <f>+IF(AND(p=2,'CAPTURA DP'!$B$6&gt;1,B10&gt;59,b=1),1,0)</f>
        <v>0</v>
      </c>
      <c r="J10" s="212">
        <f>+IF(AND(p=1,'CAPTURA DP'!$B$6&gt;61,B10&gt;59,b=1),1,0)</f>
        <v>0</v>
      </c>
      <c r="K10" s="212">
        <f t="shared" ca="1" si="1"/>
        <v>0</v>
      </c>
      <c r="N10" s="212">
        <f t="shared" si="2"/>
        <v>0</v>
      </c>
      <c r="O10" s="547">
        <f t="shared" si="3"/>
        <v>0</v>
      </c>
    </row>
    <row r="11" spans="1:18" ht="24.75" customHeight="1">
      <c r="A11" s="210"/>
      <c r="B11" s="538"/>
      <c r="C11" s="539"/>
      <c r="D11" s="539"/>
      <c r="E11" s="540" t="str">
        <f t="shared" ca="1" si="0"/>
        <v/>
      </c>
      <c r="F11" s="189"/>
      <c r="G11" s="180"/>
      <c r="H11" s="212">
        <f>+IF(AND('CAPTURA LISTADO'!B11&gt;max,b=1),1,0)</f>
        <v>0</v>
      </c>
      <c r="I11" s="212">
        <f>+IF(AND(p=2,'CAPTURA DP'!$B$6&gt;1,B11&gt;59,b=1),1,0)</f>
        <v>0</v>
      </c>
      <c r="J11" s="212">
        <f>+IF(AND(p=1,'CAPTURA DP'!$B$6&gt;61,B11&gt;59,b=1),1,0)</f>
        <v>0</v>
      </c>
      <c r="K11" s="212">
        <f t="shared" ca="1" si="1"/>
        <v>0</v>
      </c>
      <c r="N11" s="212">
        <f t="shared" si="2"/>
        <v>0</v>
      </c>
      <c r="O11" s="547">
        <f t="shared" si="3"/>
        <v>0</v>
      </c>
    </row>
    <row r="12" spans="1:18" ht="24.75" customHeight="1">
      <c r="A12" s="210"/>
      <c r="B12" s="538"/>
      <c r="C12" s="539"/>
      <c r="D12" s="539"/>
      <c r="E12" s="540" t="str">
        <f t="shared" ca="1" si="0"/>
        <v/>
      </c>
      <c r="F12" s="189"/>
      <c r="G12" s="180"/>
      <c r="H12" s="212">
        <f>+IF(AND('CAPTURA LISTADO'!B12&gt;max,b=1),1,0)</f>
        <v>0</v>
      </c>
      <c r="I12" s="212">
        <f>+IF(AND(p=2,'CAPTURA DP'!$B$6&gt;1,B12&gt;59,b=1),1,0)</f>
        <v>0</v>
      </c>
      <c r="J12" s="212">
        <f>+IF(AND(p=1,'CAPTURA DP'!$B$6&gt;61,B12&gt;59,b=1),1,0)</f>
        <v>0</v>
      </c>
      <c r="K12" s="212">
        <f t="shared" ca="1" si="1"/>
        <v>0</v>
      </c>
      <c r="N12" s="212">
        <f t="shared" si="2"/>
        <v>0</v>
      </c>
      <c r="O12" s="547">
        <f t="shared" si="3"/>
        <v>0</v>
      </c>
    </row>
    <row r="13" spans="1:18" ht="24.75" customHeight="1">
      <c r="A13" s="210"/>
      <c r="B13" s="538"/>
      <c r="C13" s="539"/>
      <c r="D13" s="539"/>
      <c r="E13" s="540" t="str">
        <f t="shared" ca="1" si="0"/>
        <v/>
      </c>
      <c r="F13" s="189"/>
      <c r="G13" s="180"/>
      <c r="H13" s="212">
        <f>+IF(AND('CAPTURA LISTADO'!B13&gt;max,b=1),1,0)</f>
        <v>0</v>
      </c>
      <c r="I13" s="212">
        <f>+IF(AND(p=2,'CAPTURA DP'!$B$6&gt;1,B13&gt;59,b=1),1,0)</f>
        <v>0</v>
      </c>
      <c r="J13" s="212">
        <f>+IF(AND(p=1,'CAPTURA DP'!$B$6&gt;61,B13&gt;59,b=1),1,0)</f>
        <v>0</v>
      </c>
      <c r="K13" s="212">
        <f t="shared" ca="1" si="1"/>
        <v>0</v>
      </c>
      <c r="N13" s="212">
        <f t="shared" si="2"/>
        <v>0</v>
      </c>
      <c r="O13" s="547">
        <f t="shared" si="3"/>
        <v>0</v>
      </c>
    </row>
    <row r="14" spans="1:18" ht="24.75" customHeight="1" thickBot="1">
      <c r="A14" s="210"/>
      <c r="B14" s="541"/>
      <c r="C14" s="542"/>
      <c r="D14" s="542"/>
      <c r="E14" s="543" t="str">
        <f t="shared" ca="1" si="0"/>
        <v/>
      </c>
      <c r="F14" s="189"/>
      <c r="G14" s="180"/>
      <c r="H14" s="212">
        <f>+IF(AND('CAPTURA LISTADO'!B14&gt;max,b=1),1,0)</f>
        <v>0</v>
      </c>
      <c r="I14" s="212">
        <f>+IF(AND(p=2,'CAPTURA DP'!$B$6&gt;1,B14&gt;59,b=1),1,0)</f>
        <v>0</v>
      </c>
      <c r="J14" s="212">
        <f>+IF(AND(p=1,'CAPTURA DP'!$B$6&gt;61,B14&gt;59,b=1),1,0)</f>
        <v>0</v>
      </c>
      <c r="K14" s="212">
        <f t="shared" ca="1" si="1"/>
        <v>0</v>
      </c>
      <c r="N14" s="549">
        <f t="shared" si="2"/>
        <v>0</v>
      </c>
      <c r="O14" s="548">
        <f t="shared" si="3"/>
        <v>0</v>
      </c>
    </row>
    <row r="15" spans="1:18" ht="12">
      <c r="A15" s="211"/>
      <c r="B15" s="29"/>
      <c r="C15" s="208"/>
      <c r="D15" s="29"/>
      <c r="E15" s="29"/>
      <c r="F15" s="189"/>
      <c r="G15" s="180"/>
      <c r="Q15" s="213">
        <v>0</v>
      </c>
      <c r="R15" s="23" t="s">
        <v>534</v>
      </c>
    </row>
    <row r="16" spans="1:18" ht="12">
      <c r="A16" s="210"/>
      <c r="B16" s="29"/>
      <c r="C16" s="29"/>
      <c r="D16" s="29"/>
      <c r="E16" s="29"/>
      <c r="F16" s="189"/>
      <c r="G16" s="180"/>
      <c r="H16" s="213">
        <f>SUM(H7:H14)</f>
        <v>0</v>
      </c>
      <c r="I16" s="213">
        <f>SUM(I7:I14)</f>
        <v>0</v>
      </c>
      <c r="J16" s="213">
        <f>SUM(J7:J14)</f>
        <v>0</v>
      </c>
      <c r="K16" s="213">
        <f ca="1">SUM(K7:K14)</f>
        <v>1</v>
      </c>
      <c r="N16" s="213">
        <f>SUM(N7:N14)</f>
        <v>0</v>
      </c>
      <c r="O16" s="213">
        <f>SUM(O7:O14)</f>
        <v>0</v>
      </c>
      <c r="Q16" s="213">
        <v>1</v>
      </c>
      <c r="R16" s="23" t="s">
        <v>535</v>
      </c>
    </row>
    <row r="17" spans="1:11">
      <c r="A17" s="26"/>
      <c r="B17"/>
      <c r="C17"/>
      <c r="D17"/>
      <c r="E17" s="29"/>
      <c r="F17" s="189"/>
      <c r="G17" s="180"/>
    </row>
    <row r="18" spans="1:11" ht="12" customHeight="1">
      <c r="A18" s="26"/>
      <c r="B18"/>
      <c r="C18" s="27"/>
      <c r="D18" s="28"/>
      <c r="E18" s="29"/>
      <c r="F18" s="189"/>
      <c r="G18" s="180"/>
      <c r="I18" s="183">
        <f>COUNTA(C7:C14)</f>
        <v>0</v>
      </c>
      <c r="J18" s="183">
        <f>COUNTA(D7:D14)</f>
        <v>0</v>
      </c>
      <c r="K18" s="184">
        <f>IF(I18=J18,0,1)</f>
        <v>0</v>
      </c>
    </row>
    <row r="19" spans="1:11" ht="13.5" customHeight="1">
      <c r="B19"/>
    </row>
    <row r="20" spans="1:11"/>
    <row r="21" spans="1:11"/>
    <row r="22" spans="1:11"/>
    <row r="23" spans="1:11"/>
    <row r="24" spans="1:11"/>
    <row r="25" spans="1:11"/>
    <row r="26" spans="1:11"/>
    <row r="27" spans="1:11"/>
  </sheetData>
  <sheetProtection algorithmName="SHA-512" hashValue="h++9e8Esaepkr84Leyf7cAHL2/54CohCTkENHu028TgLSCml7heU4rqv1icQnBH0CGBUKQqPSvlQa+yJcfsr7w==" saltValue="ApJGJ1aebR4XDwhpgEY/Qg==" spinCount="100000" sheet="1" objects="1" scenarios="1"/>
  <dataConsolidate/>
  <mergeCells count="6">
    <mergeCell ref="B1:E1"/>
    <mergeCell ref="B4:B6"/>
    <mergeCell ref="E4:E6"/>
    <mergeCell ref="A2:E2"/>
    <mergeCell ref="C4:C6"/>
    <mergeCell ref="D4:D6"/>
  </mergeCells>
  <phoneticPr fontId="9" type="noConversion"/>
  <conditionalFormatting sqref="B15:E16 D18">
    <cfRule type="expression" dxfId="50" priority="38" stopIfTrue="1">
      <formula>AND(OR(XFC15&lt;&gt;"",XFD15&lt;&gt;""),A15&lt;&gt;"",B15="")</formula>
    </cfRule>
  </conditionalFormatting>
  <conditionalFormatting sqref="C15:C16 C18">
    <cfRule type="expression" dxfId="49" priority="39" stopIfTrue="1">
      <formula>AND(OR(A15&lt;&gt;"",B15&lt;&gt;""),D15&lt;&gt;"",C15="")</formula>
    </cfRule>
  </conditionalFormatting>
  <conditionalFormatting sqref="D9:D13">
    <cfRule type="expression" dxfId="48" priority="26" stopIfTrue="1">
      <formula>AND(OR(A9&lt;&gt;"",B9&lt;&gt;""),C9&lt;&gt;"",D9="")</formula>
    </cfRule>
  </conditionalFormatting>
  <conditionalFormatting sqref="D9:D13">
    <cfRule type="expression" dxfId="47" priority="25" stopIfTrue="1">
      <formula>AND(OR(A9&lt;&gt;"",B9&lt;&gt;""),C9&lt;&gt;"",D9="")</formula>
    </cfRule>
  </conditionalFormatting>
  <conditionalFormatting sqref="D9:D13">
    <cfRule type="expression" dxfId="46" priority="23" stopIfTrue="1">
      <formula>AND(OR(A9&lt;&gt;"",B9&lt;&gt;""),C9&lt;&gt;"",D9="")</formula>
    </cfRule>
  </conditionalFormatting>
  <conditionalFormatting sqref="D7:D8">
    <cfRule type="expression" dxfId="45" priority="20" stopIfTrue="1">
      <formula>AND(OR(A7&lt;&gt;"",B7&lt;&gt;""),C7&lt;&gt;"",D7="")</formula>
    </cfRule>
  </conditionalFormatting>
  <conditionalFormatting sqref="D7:D8">
    <cfRule type="expression" dxfId="44" priority="19" stopIfTrue="1">
      <formula>AND(OR(A7&lt;&gt;"",B7&lt;&gt;""),C7&lt;&gt;"",D7="")</formula>
    </cfRule>
  </conditionalFormatting>
  <conditionalFormatting sqref="D7:D8">
    <cfRule type="expression" dxfId="43" priority="17" stopIfTrue="1">
      <formula>AND(OR(A7&lt;&gt;"",B7&lt;&gt;""),C7&lt;&gt;"",D7="")</formula>
    </cfRule>
  </conditionalFormatting>
  <conditionalFormatting sqref="C7:C13">
    <cfRule type="expression" dxfId="42" priority="15" stopIfTrue="1">
      <formula>AND(OR(#REF!&lt;&gt;"",A7&lt;&gt;""),B7&lt;&gt;"",C7="")</formula>
    </cfRule>
  </conditionalFormatting>
  <conditionalFormatting sqref="C7:C13">
    <cfRule type="expression" dxfId="41" priority="14" stopIfTrue="1">
      <formula>AND(OR(#REF!&lt;&gt;"",A7&lt;&gt;""),B7&lt;&gt;"",C7="")</formula>
    </cfRule>
  </conditionalFormatting>
  <conditionalFormatting sqref="C7:C13">
    <cfRule type="expression" dxfId="40" priority="13" stopIfTrue="1">
      <formula>AND(OR(#REF!&lt;&gt;"",A7&lt;&gt;""),B7&lt;&gt;"",C7="")</formula>
    </cfRule>
  </conditionalFormatting>
  <conditionalFormatting sqref="D14">
    <cfRule type="expression" dxfId="39" priority="6" stopIfTrue="1">
      <formula>AND(OR(A14&lt;&gt;"",B14&lt;&gt;""),C14&lt;&gt;"",D14="")</formula>
    </cfRule>
  </conditionalFormatting>
  <conditionalFormatting sqref="D14">
    <cfRule type="expression" dxfId="38" priority="5" stopIfTrue="1">
      <formula>AND(OR(A14&lt;&gt;"",B14&lt;&gt;""),C14&lt;&gt;"",D14="")</formula>
    </cfRule>
  </conditionalFormatting>
  <conditionalFormatting sqref="D14">
    <cfRule type="expression" dxfId="37" priority="4" stopIfTrue="1">
      <formula>AND(OR(A14&lt;&gt;"",B14&lt;&gt;""),C14&lt;&gt;"",D14="")</formula>
    </cfRule>
  </conditionalFormatting>
  <conditionalFormatting sqref="C14">
    <cfRule type="expression" dxfId="36" priority="3" stopIfTrue="1">
      <formula>AND(OR(#REF!&lt;&gt;"",A14&lt;&gt;""),B14&lt;&gt;"",C14="")</formula>
    </cfRule>
  </conditionalFormatting>
  <conditionalFormatting sqref="C14">
    <cfRule type="expression" dxfId="35" priority="2" stopIfTrue="1">
      <formula>AND(OR(#REF!&lt;&gt;"",A14&lt;&gt;""),B14&lt;&gt;"",C14="")</formula>
    </cfRule>
  </conditionalFormatting>
  <conditionalFormatting sqref="C14">
    <cfRule type="expression" dxfId="34" priority="1" stopIfTrue="1">
      <formula>AND(OR(#REF!&lt;&gt;"",A14&lt;&gt;""),B14&lt;&gt;"",C14="")</formula>
    </cfRule>
  </conditionalFormatting>
  <dataValidations count="5">
    <dataValidation type="whole" operator="lessThanOrEqual" showInputMessage="1" showErrorMessage="1" error="SÓLO ACEPTA HASTA 69 AÑOS" sqref="B15:B16">
      <formula1>69</formula1>
    </dataValidation>
    <dataValidation type="custom" allowBlank="1" showInputMessage="1" showErrorMessage="1" error="Valores Permitidos: T,C o H_x000a__x000a_     Donde:_x000a_         T = Titular_x000a_         C = Cónyuge_x000a_         H = Hijo" sqref="C15:C16 C18">
      <formula1>OR(C15="T",C15="C",C15="H")</formula1>
    </dataValidation>
    <dataValidation type="custom" allowBlank="1" showInputMessage="1" showErrorMessage="1" error="Valores Permitidos: M o F_x000a__x000a_     Donde:_x000a_         M = Masculino_x000a_         F = Femenino" sqref="D15:D16 D18">
      <formula1>OR(D15="m",D15="f")</formula1>
    </dataValidation>
    <dataValidation type="list" allowBlank="1" showInputMessage="1" showErrorMessage="1" error="Valores permitidos: T, C, H_x000a__x000a_Donde:_x000a_T= Titular_x000a_C= Cónyuge_x000a_H= Hijo" sqref="C7:C14">
      <formula1>$L$6:$L$8</formula1>
    </dataValidation>
    <dataValidation type="list" allowBlank="1" showInputMessage="1" showErrorMessage="1" error="Datos permitidos: M o F_x000a__x000a_Donde:_x000a_M= Masculino_x000a_F= Femenino" sqref="D7:D14">
      <formula1>$M$6:$M$7</formula1>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drawing r:id="rId2"/>
  <legacyDrawing r:id="rId3"/>
  <picture r:id="rId4"/>
  <mc:AlternateContent xmlns:mc="http://schemas.openxmlformats.org/markup-compatibility/2006">
    <mc:Choice Requires="x14">
      <controls>
        <mc:AlternateContent xmlns:mc="http://schemas.openxmlformats.org/markup-compatibility/2006">
          <mc:Choice Requires="x14">
            <control shapeId="6147" r:id="rId5" name="Drop Down 3">
              <controlPr defaultSize="0" autoLine="0" autoPict="0" macro="[0]!Edad">
                <anchor moveWithCells="1">
                  <from>
                    <xdr:col>3</xdr:col>
                    <xdr:colOff>1441450</xdr:colOff>
                    <xdr:row>0</xdr:row>
                    <xdr:rowOff>381000</xdr:rowOff>
                  </from>
                  <to>
                    <xdr:col>5</xdr:col>
                    <xdr:colOff>12700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whole" allowBlank="1" showInputMessage="1" showErrorMessage="1" errorTitle="Edad no permitida" error="Elija el rango de edad que desea cotizar.">
          <x14:formula1>
            <xm:f>DATOS!$B$67</xm:f>
          </x14:formula1>
          <x14:formula2>
            <xm:f>DATOS!$B$68</xm:f>
          </x14:formula2>
          <xm:sqref>B11:B14</xm:sqref>
        </x14:dataValidation>
        <x14:dataValidation type="whole" allowBlank="1" showInputMessage="1" showErrorMessage="1" errorTitle="Edad no permitida" error="Elija el rango de edad que desea cotizar.">
          <x14:formula1>
            <xm:f>DATOS!B67</xm:f>
          </x14:formula1>
          <x14:formula2>
            <xm:f>DATOS!B68</xm:f>
          </x14:formula2>
          <xm:sqref>B10</xm:sqref>
        </x14:dataValidation>
        <x14:dataValidation type="whole" allowBlank="1" showInputMessage="1" showErrorMessage="1" errorTitle="Edad no permitida" error="Elija el rango de edad que desea cotizar._x000a_">
          <x14:formula1>
            <xm:f>DATOS!B67</xm:f>
          </x14:formula1>
          <x14:formula2>
            <xm:f>DATOS!B68</xm:f>
          </x14:formula2>
          <xm:sqref>B8</xm:sqref>
        </x14:dataValidation>
        <x14:dataValidation type="whole" allowBlank="1" showInputMessage="1" showErrorMessage="1" errorTitle="Edad no permitida" error="Elija el rango de edad que desea cotizar.">
          <x14:formula1>
            <xm:f>DATOS!B67</xm:f>
          </x14:formula1>
          <x14:formula2>
            <xm:f>DATOS!B68</xm:f>
          </x14:formula2>
          <xm:sqref>B9</xm:sqref>
        </x14:dataValidation>
        <x14:dataValidation type="whole" allowBlank="1" showInputMessage="1" showErrorMessage="1" errorTitle="Edad no permitida" error="Elija el rango de edad que desea cotizar.">
          <x14:formula1>
            <xm:f>DATOS!B67</xm:f>
          </x14:formula1>
          <x14:formula2>
            <xm:f>DATOS!B68</xm:f>
          </x14:formula2>
          <xm:sqref>B7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Y102"/>
  <sheetViews>
    <sheetView showGridLines="0" showRuler="0" zoomScale="90" zoomScaleNormal="90" zoomScalePageLayoutView="70" workbookViewId="0">
      <selection activeCell="B13" sqref="B13:D13"/>
    </sheetView>
  </sheetViews>
  <sheetFormatPr baseColWidth="10" defaultColWidth="8.54296875" defaultRowHeight="13"/>
  <cols>
    <col min="1" max="1" width="1.54296875" style="178" customWidth="1"/>
    <col min="2" max="4" width="14.54296875" style="178" customWidth="1"/>
    <col min="5" max="6" width="2.1796875" style="178" customWidth="1"/>
    <col min="7" max="7" width="37" style="178" customWidth="1"/>
    <col min="8" max="9" width="2.1796875" style="178" customWidth="1"/>
    <col min="10" max="10" width="36.81640625" style="178" customWidth="1"/>
    <col min="11" max="11" width="2.453125" style="178" customWidth="1"/>
    <col min="12" max="12" width="4.26953125" style="178" customWidth="1"/>
    <col min="13" max="13" width="38.1796875" style="178" customWidth="1"/>
    <col min="14" max="14" width="1.1796875" style="178" customWidth="1"/>
    <col min="15" max="15" width="2.26953125" style="178" customWidth="1"/>
    <col min="16" max="22" width="11.54296875" style="178" customWidth="1"/>
    <col min="23" max="23" width="10.453125" style="178" customWidth="1"/>
    <col min="24" max="24" width="13.26953125" style="178" customWidth="1"/>
    <col min="25" max="25" width="10.26953125" style="178" customWidth="1"/>
    <col min="26" max="16384" width="8.54296875" style="178"/>
  </cols>
  <sheetData>
    <row r="1" spans="1:18" ht="37.5" customHeight="1">
      <c r="A1" s="53"/>
      <c r="B1" s="676" t="str">
        <f>+IF(b=1,"COTIZACIÓN DE GASTOS MÉDICOS MAYORES INDIVIDUAL",CONCATENATE("COTIZACIÓN DE RENOVACIÓN DE LA PÓLIZA: ",IF('DATOS GENERALES'!C12=""," ",'DATOS GENERALES'!C12)))</f>
        <v>COTIZACIÓN DE GASTOS MÉDICOS MAYORES INDIVIDUAL</v>
      </c>
      <c r="C1" s="676"/>
      <c r="D1" s="676"/>
      <c r="E1" s="676"/>
      <c r="F1" s="676"/>
      <c r="G1" s="676"/>
      <c r="H1" s="676"/>
      <c r="I1" s="676"/>
      <c r="J1" s="676"/>
      <c r="K1" s="676"/>
      <c r="L1" s="676"/>
      <c r="M1" s="676"/>
      <c r="N1" s="676"/>
    </row>
    <row r="2" spans="1:18" ht="37.5" customHeight="1">
      <c r="A2" s="53"/>
      <c r="B2" s="352" t="str">
        <f>IF('DATOS GENERALES'!C4="","","Apreciable: "&amp;CONCATENATE('DATOS GENERALES'!C4))</f>
        <v/>
      </c>
      <c r="C2" s="202"/>
      <c r="D2" s="202"/>
      <c r="E2" s="202"/>
      <c r="F2" s="202"/>
      <c r="G2" s="202"/>
      <c r="H2" s="202"/>
      <c r="I2" s="202"/>
      <c r="J2" s="202"/>
      <c r="K2" s="202"/>
    </row>
    <row r="3" spans="1:18" ht="63.75" customHeight="1" thickBot="1">
      <c r="A3" s="53"/>
      <c r="B3" s="623" t="str">
        <f>"Seguros Atlas le proporciona una propuesta de Seguro de Gastos Médicos Mayores que cubra las necesidades de seguridad ante los imprevistos que atenten contra su salud, en el entendido de que lo no especificado operará bajo las condiciones vigentes "&amp;IF(b=2,"del "&amp;'CAPTURA DP'!D4&amp;" "&amp;'CAPTURA DP'!I4&amp;""&amp;".",IF(p&lt;=3,"de los Planes Nacionales.","del Plan Mundial."))</f>
        <v>Seguros Atlas le proporciona una propuesta de Seguro de Gastos Médicos Mayores que cubra las necesidades de seguridad ante los imprevistos que atenten contra su salud, en el entendido de que lo no especificado operará bajo las condiciones vigentes de los Planes Nacionales.</v>
      </c>
      <c r="C3" s="623"/>
      <c r="D3" s="623"/>
      <c r="E3" s="623"/>
      <c r="F3" s="623"/>
      <c r="G3" s="623"/>
      <c r="H3" s="623"/>
      <c r="I3" s="623"/>
      <c r="J3" s="623"/>
      <c r="K3" s="623"/>
      <c r="L3" s="623"/>
      <c r="M3" s="623"/>
      <c r="N3" s="623"/>
    </row>
    <row r="4" spans="1:18" ht="27" customHeight="1" thickTop="1">
      <c r="A4" s="53"/>
      <c r="B4" s="682" t="s">
        <v>373</v>
      </c>
      <c r="C4" s="683"/>
      <c r="D4" s="683"/>
      <c r="E4" s="386" t="str">
        <f ca="1">"Del "&amp;TEXT(DATOS!A27,"dd/mmmm/aaaa")&amp;" al "&amp;TEXT(DATOS!B27,"dd/mmmm/aaaa")</f>
        <v>Del 05/julio/2024 al 20/julio/2024</v>
      </c>
      <c r="F4" s="387"/>
      <c r="G4" s="387"/>
      <c r="H4" s="387"/>
      <c r="I4" s="387"/>
      <c r="J4" s="372"/>
      <c r="K4" s="388"/>
      <c r="L4" s="389" t="s">
        <v>446</v>
      </c>
      <c r="M4" s="390" t="str">
        <f ca="1">+TEXT(TODAY(),"dd/mmmm/aaaa")</f>
        <v>05/julio/2024</v>
      </c>
      <c r="N4" s="391"/>
      <c r="O4" s="339"/>
      <c r="P4" s="339"/>
      <c r="Q4" s="339"/>
      <c r="R4" s="339"/>
    </row>
    <row r="5" spans="1:18" ht="27" customHeight="1" thickBot="1">
      <c r="A5" s="53"/>
      <c r="B5" s="679" t="s">
        <v>372</v>
      </c>
      <c r="C5" s="680"/>
      <c r="D5" s="680"/>
      <c r="E5" s="685" t="str">
        <f>IF(b=1,"Anual","Del "&amp;TEXT(DATOS!A25,"dd/mmmm/aaaa")&amp;"  al  "&amp;TEXT(DATOS!B25,"dd/mmmm/aaaa"))</f>
        <v>Anual</v>
      </c>
      <c r="F5" s="685"/>
      <c r="G5" s="685"/>
      <c r="H5" s="685"/>
      <c r="I5" s="685"/>
      <c r="J5" s="392"/>
      <c r="K5" s="392"/>
      <c r="L5" s="392"/>
      <c r="M5" s="392"/>
      <c r="N5" s="393"/>
    </row>
    <row r="6" spans="1:18" ht="12" customHeight="1" thickTop="1">
      <c r="A6" s="53"/>
      <c r="B6" s="684"/>
      <c r="C6" s="684"/>
      <c r="D6" s="684"/>
      <c r="E6" s="681"/>
      <c r="F6" s="681"/>
      <c r="G6" s="681"/>
      <c r="H6" s="681"/>
      <c r="I6" s="681"/>
      <c r="J6" s="681"/>
      <c r="K6" s="681"/>
      <c r="L6" s="681"/>
      <c r="M6" s="681"/>
      <c r="N6" s="357"/>
    </row>
    <row r="7" spans="1:18" ht="25" customHeight="1">
      <c r="A7" s="53"/>
      <c r="B7" s="636" t="s">
        <v>485</v>
      </c>
      <c r="C7" s="636"/>
      <c r="D7" s="636"/>
      <c r="E7" s="636"/>
      <c r="F7" s="636"/>
      <c r="G7" s="636"/>
      <c r="H7" s="636"/>
      <c r="I7" s="636"/>
      <c r="J7" s="636"/>
      <c r="K7" s="636"/>
      <c r="L7" s="636"/>
      <c r="M7" s="636"/>
      <c r="N7" s="636"/>
    </row>
    <row r="8" spans="1:18" ht="30" customHeight="1" thickBot="1">
      <c r="A8" s="53"/>
      <c r="B8" s="263"/>
      <c r="C8" s="263"/>
      <c r="D8" s="263"/>
      <c r="E8" s="632" t="str">
        <f ca="1">IF(vo&gt;=1,"","Plan Óptimo")</f>
        <v/>
      </c>
      <c r="F8" s="632"/>
      <c r="G8" s="632"/>
      <c r="H8" s="632"/>
      <c r="I8" s="632" t="str">
        <f ca="1">IF(vp&gt;=1,"",IF(p=1,"Plan Plus","Plan Mundial"))</f>
        <v/>
      </c>
      <c r="J8" s="632"/>
      <c r="K8" s="632"/>
      <c r="L8" s="632" t="str">
        <f ca="1">IF(ve&gt;=1,"","Plan Elite")</f>
        <v/>
      </c>
      <c r="M8" s="632"/>
      <c r="N8" s="632"/>
    </row>
    <row r="9" spans="1:18" ht="25" customHeight="1" thickTop="1">
      <c r="A9" s="53"/>
      <c r="B9" s="686" t="s">
        <v>297</v>
      </c>
      <c r="C9" s="687"/>
      <c r="D9" s="687"/>
      <c r="E9" s="633" t="str">
        <f ca="1">IF(vo&gt;=1,"",IF(AND(b=1,'CAPTURA DP'!B6=97),"30,000 UMAM",VLOOKUP('CAPTURA DP'!B6,suma,3,0)))</f>
        <v/>
      </c>
      <c r="F9" s="633"/>
      <c r="G9" s="633"/>
      <c r="H9" s="633"/>
      <c r="I9" s="688" t="str">
        <f ca="1">IF(vp&gt;=1,"",VLOOKUP('CAPTURA DP'!B6,suma,3,0))</f>
        <v/>
      </c>
      <c r="J9" s="688"/>
      <c r="K9" s="688"/>
      <c r="L9" s="633" t="str">
        <f ca="1">IF(ve&gt;=1,"",VLOOKUP('CAPTURA DP'!B6,suma,3,0))</f>
        <v/>
      </c>
      <c r="M9" s="633"/>
      <c r="N9" s="634"/>
    </row>
    <row r="10" spans="1:18" ht="25" customHeight="1">
      <c r="A10" s="53"/>
      <c r="B10" s="643" t="s">
        <v>86</v>
      </c>
      <c r="C10" s="644"/>
      <c r="D10" s="644"/>
      <c r="E10" s="600" t="str">
        <f ca="1">IF(vo&gt;=1,"",CONCATENATE('CAPTURA DP'!C7,'CAPTURA DP'!D7))</f>
        <v/>
      </c>
      <c r="F10" s="600"/>
      <c r="G10" s="600"/>
      <c r="H10" s="600"/>
      <c r="I10" s="600" t="str">
        <f ca="1">IF(vp&gt;=1,"",IF(p=2,CONCATENATE("Nacional",TEXT('CAPTURA DP'!C7," 0,00")," Dlls."," Ext.",TEXT('CAPTURA DP'!E7," 0,00")," Dlls."),CONCATENATE('CAPTURA DP'!C7,'CAPTURA DP'!D7)))</f>
        <v/>
      </c>
      <c r="J10" s="600"/>
      <c r="K10" s="600"/>
      <c r="L10" s="600" t="str">
        <f ca="1">IF(ve&gt;=1,"",IF(p=2,"Nac.: 2,000 Dlls., Ext.:4,000 Dlls",CONCATENATE('CAPTURA DP'!C7,'CAPTURA DP'!D7)))</f>
        <v/>
      </c>
      <c r="M10" s="600"/>
      <c r="N10" s="601"/>
    </row>
    <row r="11" spans="1:18" ht="25" customHeight="1">
      <c r="A11" s="53"/>
      <c r="B11" s="643" t="s">
        <v>457</v>
      </c>
      <c r="C11" s="644"/>
      <c r="D11" s="644"/>
      <c r="E11" s="600" t="str">
        <f ca="1">IF(vo&gt;=1,"",IF(AND(p=1,'DATOS GENERALES'!C15="S",'CAPTURA DP'!C7&gt;=6),"Sí aplica Ded. en accidentes.","No aplica Ded. en accidentes"))</f>
        <v/>
      </c>
      <c r="F11" s="600"/>
      <c r="G11" s="600"/>
      <c r="H11" s="600"/>
      <c r="I11" s="600" t="str">
        <f ca="1">IF(vp&gt;=1,"",IF(AND(p=1,'DATOS GENERALES'!C15="S",'CAPTURA DP'!C7&gt;=6),"Sí aplica Ded. en accidentes.","No aplica Ded. en accidentes"))</f>
        <v/>
      </c>
      <c r="J11" s="600"/>
      <c r="K11" s="600"/>
      <c r="L11" s="600" t="str">
        <f ca="1">IF(ve&gt;=1,"",IF(AND(p=1,'DATOS GENERALES'!C15="S",'CAPTURA DP'!C7&gt;=6),"Sí aplica Ded. en accidentes.","No aplica Ded. en accidentes"))</f>
        <v/>
      </c>
      <c r="M11" s="600"/>
      <c r="N11" s="601"/>
    </row>
    <row r="12" spans="1:18" ht="25" customHeight="1">
      <c r="A12" s="53"/>
      <c r="B12" s="643" t="s">
        <v>439</v>
      </c>
      <c r="C12" s="644"/>
      <c r="D12" s="644"/>
      <c r="E12" s="600" t="str">
        <f ca="1">IF(vo&gt;=1,"",IF('DATOS GENERALES'!A20="",(IF(p=2,CONCATENATE('CAPTURA DP'!C8*100,"% con Tope de ",TEXT('CAPTURA DP'!C9,"###,##")," Dlls."),CONCATENATE('CAPTURA DP'!C8*100,"% con Tope de $ ",TEXT('CAPTURA DP'!C9,"###,##")," M.N."))),""))</f>
        <v/>
      </c>
      <c r="F12" s="600"/>
      <c r="G12" s="600"/>
      <c r="H12" s="600"/>
      <c r="I12" s="600" t="str">
        <f ca="1">IF(vp&gt;=1,"",IF('DATOS GENERALES'!A20="",(IF(p=2,CONCATENATE('CAPTURA DP'!C8*100,"% con Tope de ",TEXT('CAPTURA DP'!C9,"###,##")," Dlls."),CONCATENATE('CAPTURA DP'!C8*100,"% con Tope de $ ",TEXT('CAPTURA DP'!C9,"###,##")," M.N."))),""))</f>
        <v/>
      </c>
      <c r="J12" s="600"/>
      <c r="K12" s="600"/>
      <c r="L12" s="600" t="str">
        <f ca="1">IF(ve&gt;=1,"",IF('DATOS GENERALES'!A20="",(IF(p=2,CONCATENATE('CAPTURA DP'!C8*100,"% con Tope de ",TEXT('CAPTURA DP'!C9,"###,##")," Dlls."),CONCATENATE('CAPTURA DP'!C8*100,"% con Tope de $ ",TEXT('CAPTURA DP'!C9,"###,##")," M.N."))),""))</f>
        <v/>
      </c>
      <c r="M12" s="600"/>
      <c r="N12" s="601"/>
    </row>
    <row r="13" spans="1:18" ht="24.75" customHeight="1">
      <c r="A13" s="53"/>
      <c r="B13" s="622" t="s">
        <v>508</v>
      </c>
      <c r="C13" s="621"/>
      <c r="D13" s="621"/>
      <c r="E13" s="600" t="str">
        <f ca="1">IF(vo&gt;=1,"",VLOOKUP('CAPTURA DP'!B10,DATOS!$AV$4:$AX$7,3,0))</f>
        <v/>
      </c>
      <c r="F13" s="600"/>
      <c r="G13" s="600"/>
      <c r="H13" s="600"/>
      <c r="I13" s="600" t="str">
        <f ca="1">IF(vp&gt;=1,"",VLOOKUP('CAPTURA DP'!B10,DATOS!$AV$4:$AX$7,3,0))</f>
        <v/>
      </c>
      <c r="J13" s="600"/>
      <c r="K13" s="600"/>
      <c r="L13" s="600" t="str">
        <f ca="1">IF(ve&gt;=1,"",VLOOKUP('CAPTURA DP'!B10,DATOS!$AV$4:$AX$7,3,0))</f>
        <v/>
      </c>
      <c r="M13" s="600"/>
      <c r="N13" s="601"/>
    </row>
    <row r="14" spans="1:18" ht="25" customHeight="1">
      <c r="A14" s="53"/>
      <c r="B14" s="643" t="str">
        <f>+IF(p=2,"Cobertura en el extranjero","Emergencia en el extranjero")</f>
        <v>Emergencia en el extranjero</v>
      </c>
      <c r="C14" s="644"/>
      <c r="D14" s="644"/>
      <c r="E14" s="600" t="str">
        <f ca="1">IF(vo&gt;=1,"",(IF(p=2,"Amparada","SA 100,000 Dlls y Ded 100 Dlls")))</f>
        <v/>
      </c>
      <c r="F14" s="600"/>
      <c r="G14" s="600"/>
      <c r="H14" s="600"/>
      <c r="I14" s="600" t="str">
        <f ca="1">IF(vp&gt;=1,"",(IF(p=2,"Amparada","SA 100,000 Dlls y Ded 100 Dlls")))</f>
        <v/>
      </c>
      <c r="J14" s="600"/>
      <c r="K14" s="600"/>
      <c r="L14" s="600" t="str">
        <f ca="1">IF(ve&gt;=1,"",(IF(p=2,"Amparada","SA 100,000 Dlls y Ded 100 Dlls")))</f>
        <v/>
      </c>
      <c r="M14" s="600"/>
      <c r="N14" s="601"/>
    </row>
    <row r="15" spans="1:18" ht="24.75" customHeight="1">
      <c r="A15" s="53"/>
      <c r="B15" s="622" t="s">
        <v>458</v>
      </c>
      <c r="C15" s="621"/>
      <c r="D15" s="621"/>
      <c r="E15" s="600" t="str">
        <f ca="1">IF(vo&gt;=1,"",IF('CAPTURA DP'!F18="NO", "SA de 1,000,000 Dlls", "Excluida"))</f>
        <v/>
      </c>
      <c r="F15" s="600"/>
      <c r="G15" s="600"/>
      <c r="H15" s="600"/>
      <c r="I15" s="600" t="str">
        <f ca="1">IF(vp&gt;=1,"",IF('CAPTURA DP'!F18="NO", "SA de 1,000,000 Dlls", "Excluida"))</f>
        <v/>
      </c>
      <c r="J15" s="600"/>
      <c r="K15" s="600"/>
      <c r="L15" s="600" t="str">
        <f ca="1">IF(ve&gt;=1,"",IF('CAPTURA DP'!F18="NO", "SA de 1,000,000 Dlls", "Excluida"))</f>
        <v/>
      </c>
      <c r="M15" s="600"/>
      <c r="N15" s="601"/>
    </row>
    <row r="16" spans="1:18" ht="25" customHeight="1">
      <c r="A16" s="53"/>
      <c r="B16" s="622" t="str">
        <f>IF(M&gt;=1,"Ayuda por maternidad","")</f>
        <v/>
      </c>
      <c r="C16" s="621"/>
      <c r="D16" s="621"/>
      <c r="E16" s="600" t="str">
        <f>IF(M&gt;=1,IF(vo&gt;=1,"","SA de $ 18,000 MN"),"")</f>
        <v/>
      </c>
      <c r="F16" s="600"/>
      <c r="G16" s="600"/>
      <c r="H16" s="600"/>
      <c r="I16" s="600" t="str">
        <f>IF(M&gt;=1,IF(vp&gt;=1,"",(IF(b=1,IF(p=2,"SA de $25,000 MN","SA de $ 19,000 MN"),IF(p=2,CONCATENATE("Con SA de $ ",TEXT(VLOOKUP('CAPTURA DP'!F16,MATERNIDAD,9,0),"###,###")," MN. "),CONCATENATE("Con SA de $ ",TEXT(VLOOKUP('CAPTURA DP'!F16,MATERNIDAD,(5+p),0),"###,###")," MN. "))))),"")</f>
        <v/>
      </c>
      <c r="J16" s="600"/>
      <c r="K16" s="600"/>
      <c r="L16" s="600" t="str">
        <f>IF(M&gt;=1,IF(ve&gt;=1,"",IF(p=2,"SAde $25,000 MN","SA de $ 20,000 MN")),"")</f>
        <v/>
      </c>
      <c r="M16" s="600"/>
      <c r="N16" s="601"/>
    </row>
    <row r="17" spans="1:16" ht="25" customHeight="1">
      <c r="A17" s="53"/>
      <c r="B17" s="622" t="s">
        <v>462</v>
      </c>
      <c r="C17" s="621"/>
      <c r="D17" s="621"/>
      <c r="E17" s="600" t="str">
        <f ca="1">IF(vo&gt;=1,"",'CAPTURA DP'!D5)</f>
        <v/>
      </c>
      <c r="F17" s="600"/>
      <c r="G17" s="600"/>
      <c r="H17" s="600"/>
      <c r="I17" s="600" t="str">
        <f ca="1">IF(vp&gt;=1,"",'CAPTURA DP'!D5)</f>
        <v/>
      </c>
      <c r="J17" s="600"/>
      <c r="K17" s="600"/>
      <c r="L17" s="600" t="str">
        <f ca="1">IF(ve&gt;=1,"",'CAPTURA DP'!D5)</f>
        <v/>
      </c>
      <c r="M17" s="600"/>
      <c r="N17" s="601"/>
    </row>
    <row r="18" spans="1:16" ht="25" customHeight="1" thickBot="1">
      <c r="A18" s="53"/>
      <c r="B18" s="638"/>
      <c r="C18" s="639"/>
      <c r="D18" s="639"/>
      <c r="E18" s="602" t="str">
        <f ca="1">IF(vo&gt;=1,"",IF('CAPTURA DP'!$E$5=0,"","Aplica Endoso de Regionalización"))</f>
        <v/>
      </c>
      <c r="F18" s="602"/>
      <c r="G18" s="602"/>
      <c r="H18" s="602"/>
      <c r="I18" s="602" t="str">
        <f ca="1">IF(vp&gt;=1,"",IF('CAPTURA DP'!$E$5=0,"","Aplica Endoso de Regionalización"))</f>
        <v/>
      </c>
      <c r="J18" s="602"/>
      <c r="K18" s="602"/>
      <c r="L18" s="602" t="str">
        <f ca="1">IF(ve&gt;=1,"",IF('CAPTURA DP'!$E$5=0,"","Aplica Endoso de Regionalización"))</f>
        <v/>
      </c>
      <c r="M18" s="602"/>
      <c r="N18" s="603"/>
    </row>
    <row r="19" spans="1:16" ht="12" customHeight="1" thickTop="1">
      <c r="A19" s="53"/>
      <c r="B19" s="336"/>
      <c r="C19" s="336"/>
      <c r="D19" s="336"/>
      <c r="E19" s="205"/>
      <c r="F19" s="205"/>
      <c r="G19" s="205"/>
      <c r="H19" s="205"/>
      <c r="I19" s="205"/>
      <c r="J19" s="205"/>
      <c r="K19" s="205"/>
      <c r="L19" s="205"/>
      <c r="M19" s="205"/>
      <c r="N19" s="205"/>
    </row>
    <row r="20" spans="1:16" ht="25" customHeight="1">
      <c r="A20" s="53"/>
      <c r="B20" s="636" t="s">
        <v>486</v>
      </c>
      <c r="C20" s="636"/>
      <c r="D20" s="636"/>
      <c r="E20" s="636"/>
      <c r="F20" s="636"/>
      <c r="G20" s="636"/>
      <c r="H20" s="636"/>
      <c r="I20" s="636"/>
      <c r="J20" s="636"/>
      <c r="K20" s="636"/>
      <c r="L20" s="636"/>
      <c r="M20" s="636"/>
      <c r="N20" s="636"/>
    </row>
    <row r="21" spans="1:16" ht="12" customHeight="1" thickBot="1">
      <c r="A21" s="53"/>
      <c r="B21" s="336"/>
      <c r="C21" s="336"/>
      <c r="D21" s="336"/>
      <c r="E21" s="205"/>
      <c r="F21" s="205"/>
      <c r="G21" s="205"/>
      <c r="H21" s="205"/>
      <c r="I21" s="205"/>
      <c r="J21" s="205"/>
      <c r="K21" s="205"/>
      <c r="L21" s="205"/>
      <c r="M21" s="205"/>
      <c r="N21" s="205"/>
    </row>
    <row r="22" spans="1:16" ht="40" customHeight="1" thickTop="1">
      <c r="A22" s="53"/>
      <c r="B22" s="641" t="s">
        <v>319</v>
      </c>
      <c r="C22" s="616"/>
      <c r="D22" s="394" t="str">
        <f>IF('CAPTURA DP'!$G$9="si",CONCATENATE("Amparada Con Suma Asegurada de $ ",TEXT('CAPTURA DP'!G10,"###,###")," M.N."),"Excluida")</f>
        <v>Excluida</v>
      </c>
      <c r="E22" s="395"/>
      <c r="F22" s="396"/>
      <c r="G22" s="396"/>
      <c r="H22" s="372"/>
      <c r="I22" s="372"/>
      <c r="J22" s="397" t="s">
        <v>87</v>
      </c>
      <c r="K22" s="398" t="str">
        <f>IF('CAPTURA DP'!C13="SI","Amparada","Excluida")</f>
        <v>Excluida</v>
      </c>
      <c r="L22" s="398"/>
      <c r="M22" s="398"/>
      <c r="N22" s="399"/>
    </row>
    <row r="23" spans="1:16" ht="40" customHeight="1" thickBot="1">
      <c r="A23" s="53"/>
      <c r="B23" s="642" t="s">
        <v>351</v>
      </c>
      <c r="C23" s="635"/>
      <c r="D23" s="400" t="str">
        <f>IF('CAPTURA DP'!$G$12="si",CONCATENATE("Amparada Con Suma Asegurada de $ ",TEXT('CAPTURA DP'!G13,"###,###")," M.N."),"Excluida")</f>
        <v>Excluida</v>
      </c>
      <c r="E23" s="401"/>
      <c r="F23" s="402"/>
      <c r="G23" s="402"/>
      <c r="H23" s="392"/>
      <c r="I23" s="392"/>
      <c r="J23" s="403" t="str">
        <f>IF(p&gt;3,"","Recuperacion Activa")</f>
        <v>Recuperacion Activa</v>
      </c>
      <c r="K23" s="637" t="str">
        <f>IF(p&gt;3,"",IF('CAPTURA DP'!G26="SI","Amparada con SA de  $ "&amp;'CAPTURA DP'!G27,"Excluida"))</f>
        <v>Excluida</v>
      </c>
      <c r="L23" s="637"/>
      <c r="M23" s="637"/>
      <c r="N23" s="404"/>
    </row>
    <row r="24" spans="1:16" ht="12" customHeight="1" thickTop="1">
      <c r="A24" s="53"/>
      <c r="F24" s="340"/>
      <c r="G24" s="340"/>
      <c r="H24" s="340"/>
      <c r="I24" s="340"/>
      <c r="J24" s="340"/>
      <c r="K24" s="340"/>
      <c r="L24" s="340"/>
      <c r="M24" s="340"/>
      <c r="N24" s="340"/>
    </row>
    <row r="25" spans="1:16" ht="25" customHeight="1">
      <c r="A25" s="53"/>
      <c r="B25" s="636" t="s">
        <v>487</v>
      </c>
      <c r="C25" s="636"/>
      <c r="D25" s="636"/>
      <c r="E25" s="636"/>
      <c r="F25" s="636"/>
      <c r="G25" s="636"/>
      <c r="H25" s="636"/>
      <c r="I25" s="636"/>
      <c r="J25" s="636"/>
      <c r="K25" s="636"/>
      <c r="L25" s="636"/>
      <c r="M25" s="636"/>
      <c r="N25" s="636"/>
    </row>
    <row r="26" spans="1:16" ht="12" customHeight="1" thickBot="1">
      <c r="A26" s="53"/>
      <c r="B26" s="336"/>
      <c r="C26" s="336"/>
      <c r="D26" s="336"/>
      <c r="E26" s="205"/>
      <c r="F26" s="205"/>
      <c r="G26" s="205"/>
      <c r="H26" s="205"/>
      <c r="I26" s="205"/>
      <c r="J26" s="205"/>
      <c r="K26" s="205"/>
      <c r="L26" s="205"/>
      <c r="M26" s="205"/>
      <c r="N26" s="205"/>
    </row>
    <row r="27" spans="1:16" ht="43.5" customHeight="1" thickTop="1">
      <c r="A27" s="53"/>
      <c r="B27" s="630" t="s">
        <v>448</v>
      </c>
      <c r="C27" s="631"/>
      <c r="D27" s="624" t="s">
        <v>450</v>
      </c>
      <c r="E27" s="624"/>
      <c r="F27" s="624"/>
      <c r="G27" s="624"/>
      <c r="H27" s="624"/>
      <c r="I27" s="624"/>
      <c r="J27" s="624"/>
      <c r="K27" s="624"/>
      <c r="L27" s="624"/>
      <c r="M27" s="624"/>
      <c r="N27" s="625"/>
    </row>
    <row r="28" spans="1:16" ht="24" customHeight="1">
      <c r="A28" s="53"/>
      <c r="B28" s="619" t="s">
        <v>449</v>
      </c>
      <c r="C28" s="620"/>
      <c r="D28" s="626" t="s">
        <v>464</v>
      </c>
      <c r="E28" s="626"/>
      <c r="F28" s="626"/>
      <c r="G28" s="626"/>
      <c r="H28" s="626"/>
      <c r="I28" s="626"/>
      <c r="J28" s="626"/>
      <c r="K28" s="626"/>
      <c r="L28" s="626"/>
      <c r="M28" s="626"/>
      <c r="N28" s="627"/>
      <c r="P28" s="349"/>
    </row>
    <row r="29" spans="1:16" ht="59.25" customHeight="1">
      <c r="A29" s="53"/>
      <c r="B29" s="619" t="s">
        <v>480</v>
      </c>
      <c r="C29" s="620"/>
      <c r="D29" s="626" t="s">
        <v>451</v>
      </c>
      <c r="E29" s="626"/>
      <c r="F29" s="626"/>
      <c r="G29" s="626"/>
      <c r="H29" s="626"/>
      <c r="I29" s="626"/>
      <c r="J29" s="626"/>
      <c r="K29" s="626"/>
      <c r="L29" s="626"/>
      <c r="M29" s="626"/>
      <c r="N29" s="627"/>
    </row>
    <row r="30" spans="1:16" ht="59.25" customHeight="1" thickBot="1">
      <c r="A30" s="53"/>
      <c r="B30" s="608" t="s">
        <v>399</v>
      </c>
      <c r="C30" s="609"/>
      <c r="D30" s="628" t="s">
        <v>465</v>
      </c>
      <c r="E30" s="628"/>
      <c r="F30" s="628"/>
      <c r="G30" s="628"/>
      <c r="H30" s="628"/>
      <c r="I30" s="628"/>
      <c r="J30" s="628"/>
      <c r="K30" s="628"/>
      <c r="L30" s="628"/>
      <c r="M30" s="628"/>
      <c r="N30" s="629"/>
    </row>
    <row r="31" spans="1:16" ht="12" customHeight="1" thickTop="1">
      <c r="A31" s="53"/>
      <c r="B31" s="343"/>
      <c r="C31" s="343"/>
      <c r="D31" s="343"/>
      <c r="E31" s="340"/>
      <c r="F31" s="340"/>
      <c r="G31" s="340"/>
      <c r="H31" s="340"/>
      <c r="I31" s="340"/>
      <c r="J31" s="340"/>
      <c r="K31" s="340"/>
      <c r="L31" s="340"/>
      <c r="M31" s="340"/>
      <c r="N31" s="340"/>
    </row>
    <row r="32" spans="1:16" ht="25" customHeight="1">
      <c r="A32" s="53"/>
      <c r="B32" s="636" t="s">
        <v>488</v>
      </c>
      <c r="C32" s="636"/>
      <c r="D32" s="636"/>
      <c r="E32" s="636"/>
      <c r="F32" s="636"/>
      <c r="G32" s="636"/>
      <c r="H32" s="636"/>
      <c r="I32" s="636"/>
      <c r="J32" s="636"/>
      <c r="K32" s="636"/>
      <c r="L32" s="636"/>
      <c r="M32" s="636"/>
      <c r="N32" s="636"/>
    </row>
    <row r="33" spans="1:14" ht="12" customHeight="1" thickBot="1">
      <c r="A33" s="53"/>
      <c r="B33" s="341"/>
      <c r="C33" s="341"/>
      <c r="D33" s="341"/>
      <c r="E33" s="342"/>
      <c r="F33" s="342"/>
      <c r="G33" s="342"/>
      <c r="H33" s="342"/>
      <c r="I33" s="342"/>
      <c r="J33" s="342"/>
      <c r="K33" s="342"/>
      <c r="L33" s="342"/>
      <c r="M33" s="342"/>
      <c r="N33" s="342"/>
    </row>
    <row r="34" spans="1:14" ht="24" customHeight="1" thickTop="1">
      <c r="A34" s="53"/>
      <c r="B34" s="630" t="s">
        <v>466</v>
      </c>
      <c r="C34" s="631"/>
      <c r="D34" s="631"/>
      <c r="E34" s="616" t="s">
        <v>537</v>
      </c>
      <c r="F34" s="616"/>
      <c r="G34" s="616"/>
      <c r="H34" s="640" t="s">
        <v>452</v>
      </c>
      <c r="I34" s="640"/>
      <c r="J34" s="640"/>
      <c r="K34" s="640" t="s">
        <v>475</v>
      </c>
      <c r="L34" s="640"/>
      <c r="M34" s="640"/>
      <c r="N34" s="405"/>
    </row>
    <row r="35" spans="1:14" ht="24" customHeight="1">
      <c r="A35" s="53"/>
      <c r="B35" s="619" t="s">
        <v>467</v>
      </c>
      <c r="C35" s="620"/>
      <c r="D35" s="620"/>
      <c r="E35" s="621" t="s">
        <v>470</v>
      </c>
      <c r="F35" s="621"/>
      <c r="G35" s="621"/>
      <c r="H35" s="618" t="s">
        <v>473</v>
      </c>
      <c r="I35" s="618"/>
      <c r="J35" s="618"/>
      <c r="K35" s="618" t="s">
        <v>476</v>
      </c>
      <c r="L35" s="618"/>
      <c r="M35" s="618"/>
      <c r="N35" s="406"/>
    </row>
    <row r="36" spans="1:14" ht="24" customHeight="1">
      <c r="A36" s="53"/>
      <c r="B36" s="619" t="s">
        <v>468</v>
      </c>
      <c r="C36" s="620"/>
      <c r="D36" s="620"/>
      <c r="E36" s="621" t="s">
        <v>471</v>
      </c>
      <c r="F36" s="621"/>
      <c r="G36" s="621"/>
      <c r="H36" s="618" t="s">
        <v>474</v>
      </c>
      <c r="I36" s="618"/>
      <c r="J36" s="618"/>
      <c r="K36" s="618" t="s">
        <v>477</v>
      </c>
      <c r="L36" s="618"/>
      <c r="M36" s="618"/>
      <c r="N36" s="406"/>
    </row>
    <row r="37" spans="1:14" ht="48" customHeight="1" thickBot="1">
      <c r="A37" s="53"/>
      <c r="B37" s="608" t="s">
        <v>469</v>
      </c>
      <c r="C37" s="609"/>
      <c r="D37" s="609"/>
      <c r="E37" s="635" t="s">
        <v>472</v>
      </c>
      <c r="F37" s="635"/>
      <c r="G37" s="635"/>
      <c r="H37" s="617" t="s">
        <v>538</v>
      </c>
      <c r="I37" s="617"/>
      <c r="J37" s="617"/>
      <c r="K37" s="617" t="str">
        <f>+IF(H&gt;=1,"Circuncisión
","")</f>
        <v/>
      </c>
      <c r="L37" s="617"/>
      <c r="M37" s="617"/>
      <c r="N37" s="407"/>
    </row>
    <row r="38" spans="1:14" ht="12" customHeight="1" thickTop="1">
      <c r="A38" s="53"/>
      <c r="B38" s="354"/>
      <c r="C38" s="354"/>
      <c r="D38" s="354"/>
      <c r="E38" s="356"/>
      <c r="F38" s="356"/>
      <c r="G38" s="356"/>
      <c r="H38" s="353"/>
      <c r="I38" s="353"/>
      <c r="J38" s="353"/>
      <c r="K38" s="353"/>
      <c r="L38" s="353"/>
      <c r="M38" s="353"/>
      <c r="N38" s="353"/>
    </row>
    <row r="39" spans="1:14" ht="25" customHeight="1">
      <c r="A39" s="53"/>
      <c r="B39" s="636" t="s">
        <v>489</v>
      </c>
      <c r="C39" s="636"/>
      <c r="D39" s="636"/>
      <c r="E39" s="636"/>
      <c r="F39" s="636"/>
      <c r="G39" s="636"/>
      <c r="H39" s="636"/>
      <c r="I39" s="636"/>
      <c r="J39" s="636"/>
      <c r="K39" s="636"/>
      <c r="L39" s="636"/>
      <c r="M39" s="636"/>
      <c r="N39" s="636"/>
    </row>
    <row r="40" spans="1:14" ht="12" customHeight="1" thickBot="1">
      <c r="A40" s="53"/>
      <c r="B40" s="341"/>
      <c r="C40" s="341"/>
      <c r="D40" s="341"/>
      <c r="E40" s="342"/>
      <c r="F40" s="342"/>
      <c r="G40" s="342"/>
      <c r="H40" s="342"/>
      <c r="I40" s="342"/>
      <c r="J40" s="342"/>
      <c r="K40" s="342"/>
      <c r="L40" s="342"/>
      <c r="M40" s="342"/>
      <c r="N40" s="342"/>
    </row>
    <row r="41" spans="1:14" ht="21" customHeight="1" thickTop="1">
      <c r="A41" s="53"/>
      <c r="B41" s="672" t="s">
        <v>478</v>
      </c>
      <c r="C41" s="673"/>
      <c r="D41" s="673"/>
      <c r="E41" s="673"/>
      <c r="F41" s="673"/>
      <c r="G41" s="673"/>
      <c r="H41" s="673"/>
      <c r="I41" s="673"/>
      <c r="J41" s="673"/>
      <c r="K41" s="673"/>
      <c r="L41" s="673"/>
      <c r="M41" s="673"/>
      <c r="N41" s="674"/>
    </row>
    <row r="42" spans="1:14" ht="37.5" customHeight="1">
      <c r="A42" s="53"/>
      <c r="B42" s="612" t="s">
        <v>527</v>
      </c>
      <c r="C42" s="613"/>
      <c r="D42" s="613"/>
      <c r="E42" s="613"/>
      <c r="F42" s="613"/>
      <c r="G42" s="613"/>
      <c r="H42" s="613"/>
      <c r="I42" s="613"/>
      <c r="J42" s="613"/>
      <c r="K42" s="613"/>
      <c r="L42" s="613"/>
      <c r="M42" s="613"/>
      <c r="N42" s="675"/>
    </row>
    <row r="43" spans="1:14" ht="21" customHeight="1">
      <c r="A43" s="53"/>
      <c r="B43" s="612" t="s">
        <v>479</v>
      </c>
      <c r="C43" s="613"/>
      <c r="D43" s="613"/>
      <c r="E43" s="613"/>
      <c r="F43" s="613"/>
      <c r="G43" s="613"/>
      <c r="H43" s="613"/>
      <c r="I43" s="613"/>
      <c r="J43" s="613"/>
      <c r="K43" s="613"/>
      <c r="L43" s="613"/>
      <c r="M43" s="613"/>
      <c r="N43" s="675"/>
    </row>
    <row r="44" spans="1:14" ht="21" customHeight="1">
      <c r="A44" s="53"/>
      <c r="B44" s="612" t="s">
        <v>463</v>
      </c>
      <c r="C44" s="613"/>
      <c r="D44" s="613"/>
      <c r="E44" s="613"/>
      <c r="F44" s="613"/>
      <c r="G44" s="613"/>
      <c r="H44" s="613"/>
      <c r="I44" s="613"/>
      <c r="J44" s="613"/>
      <c r="K44" s="613"/>
      <c r="L44" s="613"/>
      <c r="M44" s="613"/>
      <c r="N44" s="408"/>
    </row>
    <row r="45" spans="1:14" ht="21" customHeight="1">
      <c r="A45" s="53"/>
      <c r="B45" s="612" t="s">
        <v>459</v>
      </c>
      <c r="C45" s="613"/>
      <c r="D45" s="613"/>
      <c r="E45" s="613"/>
      <c r="F45" s="613"/>
      <c r="G45" s="613"/>
      <c r="H45" s="613"/>
      <c r="I45" s="613"/>
      <c r="J45" s="613"/>
      <c r="K45" s="613"/>
      <c r="L45" s="613"/>
      <c r="M45" s="613"/>
      <c r="N45" s="408"/>
    </row>
    <row r="46" spans="1:14" ht="63" customHeight="1" thickBot="1">
      <c r="A46" s="53"/>
      <c r="B46" s="610" t="s">
        <v>460</v>
      </c>
      <c r="C46" s="611"/>
      <c r="D46" s="611"/>
      <c r="E46" s="611"/>
      <c r="F46" s="611"/>
      <c r="G46" s="611"/>
      <c r="H46" s="611"/>
      <c r="I46" s="611"/>
      <c r="J46" s="611"/>
      <c r="K46" s="611"/>
      <c r="L46" s="611"/>
      <c r="M46" s="611"/>
      <c r="N46" s="409"/>
    </row>
    <row r="47" spans="1:14" ht="12" customHeight="1" thickTop="1">
      <c r="A47" s="53"/>
      <c r="B47" s="343"/>
      <c r="C47" s="343"/>
      <c r="D47" s="343"/>
      <c r="E47" s="344"/>
      <c r="F47" s="344"/>
      <c r="G47" s="344"/>
      <c r="H47" s="344"/>
      <c r="I47" s="344"/>
      <c r="J47" s="344"/>
      <c r="K47" s="344"/>
      <c r="L47" s="344"/>
      <c r="M47" s="344"/>
      <c r="N47" s="344"/>
    </row>
    <row r="48" spans="1:14" ht="25" customHeight="1">
      <c r="A48" s="53"/>
      <c r="B48" s="636" t="s">
        <v>490</v>
      </c>
      <c r="C48" s="636"/>
      <c r="D48" s="636"/>
      <c r="E48" s="636"/>
      <c r="F48" s="636"/>
      <c r="G48" s="636"/>
      <c r="H48" s="636"/>
      <c r="I48" s="636"/>
      <c r="J48" s="636"/>
      <c r="K48" s="636"/>
      <c r="L48" s="636"/>
      <c r="M48" s="636"/>
      <c r="N48" s="636"/>
    </row>
    <row r="49" spans="1:25" ht="30" customHeight="1" thickBot="1">
      <c r="A49" s="53"/>
      <c r="B49" s="345"/>
      <c r="C49" s="199"/>
      <c r="D49" s="199"/>
      <c r="E49" s="203"/>
      <c r="F49" s="203"/>
      <c r="G49" s="358" t="str">
        <f ca="1">IF(vo&gt;=1,"","Plan Óptimo")</f>
        <v/>
      </c>
      <c r="H49" s="347"/>
      <c r="I49" s="347"/>
      <c r="J49" s="358" t="str">
        <f ca="1">IF(vp&gt;=1,"",IF(p=1,"Plan Plus","Plan Mundial"))</f>
        <v/>
      </c>
      <c r="K49" s="347"/>
      <c r="L49" s="347"/>
      <c r="M49" s="358" t="str">
        <f ca="1">IF(ve&gt;=1,"","Plan Elite")</f>
        <v/>
      </c>
      <c r="N49" s="358"/>
      <c r="O49" s="346"/>
      <c r="P49" s="345"/>
    </row>
    <row r="50" spans="1:25" ht="16" thickTop="1">
      <c r="A50" s="53"/>
      <c r="B50" s="370"/>
      <c r="C50" s="371" t="s">
        <v>17</v>
      </c>
      <c r="D50" s="371" t="s">
        <v>240</v>
      </c>
      <c r="E50" s="372"/>
      <c r="F50" s="373"/>
      <c r="G50" s="372"/>
      <c r="H50" s="373"/>
      <c r="I50" s="372"/>
      <c r="J50" s="372"/>
      <c r="K50" s="373"/>
      <c r="L50" s="372"/>
      <c r="M50" s="372"/>
      <c r="N50" s="374"/>
      <c r="T50" s="275"/>
      <c r="U50" s="275"/>
      <c r="V50" s="60"/>
      <c r="W50" s="60"/>
      <c r="X50" s="276"/>
      <c r="Y50" s="274"/>
    </row>
    <row r="51" spans="1:25" ht="17">
      <c r="A51" s="56"/>
      <c r="B51" s="375" t="str">
        <f>IF(AND('CAPTURA LISTADO'!B7&gt;max,OR(AND(p=1,'CAPTURA DP'!$B$6&gt;13),(p=2))),1,"")</f>
        <v/>
      </c>
      <c r="C51" s="362" t="str">
        <f>IF('CAPTURA LISTADO'!B7="","",(IF(B51="",'CAPTURA LISTADO'!B7,"")))</f>
        <v/>
      </c>
      <c r="D51" s="362" t="str">
        <f>UPPER(IF('CAPTURA LISTADO'!B7="","",(IF(B51="",'CAPTURA LISTADO'!D7,""))))</f>
        <v/>
      </c>
      <c r="E51" s="363"/>
      <c r="F51" s="363"/>
      <c r="G51" s="350" t="str">
        <f ca="1">(IF(OR('CAPTURA LISTADO'!B7="",B51=1,vo&gt;=1),"",VLOOKUP(C51,PRIMA_N,VLOOKUP(1,pcosto,IF(D51="m",2,3),0),0)/VLOOKUP(C51,PRIMA_N,IF(D51="m",2,3),0)))</f>
        <v/>
      </c>
      <c r="H51" s="363"/>
      <c r="I51" s="363"/>
      <c r="J51" s="350" t="str">
        <f ca="1">IF(b=1,(IF(OR('CAPTURA LISTADO'!B7="",B51=1,$I$9="no aplica SA",vp&gt;=1),"",VLOOKUP(C51,PRIMA_N,VLOOKUP(IF(p=1,2,6),pcosto,IF(D51="m",2,3),0),0)/VLOOKUP(C51,PRIMA_N,IF(D51="m",2,3),0))),(IF(OR('CAPTURA LISTADO'!B7="",B51=1),"",VLOOKUP(C51,PRIMA_N,VLOOKUP(p,pcosto,IF(D51="m",2,3),0),0)/VLOOKUP(C51,PRIMA_N,IF(D51="m",2,3),0))))</f>
        <v/>
      </c>
      <c r="K51" s="350"/>
      <c r="L51" s="350"/>
      <c r="M51" s="350" t="str">
        <f ca="1">(IF(OR('CAPTURA LISTADO'!B7="",B51=1,ve&gt;=1),"",VLOOKUP(C51,PRIMA_N,VLOOKUP(3,pcosto,IF(D51="m",2,3),0),0)/VLOOKUP(C51,PRIMA_N,IF(D51="m",2,3),0)))</f>
        <v/>
      </c>
      <c r="N51" s="376"/>
      <c r="T51" s="275"/>
      <c r="U51" s="60"/>
      <c r="V51" s="276"/>
      <c r="W51" s="277"/>
      <c r="X51" s="277"/>
      <c r="Y51" s="190"/>
    </row>
    <row r="52" spans="1:25" ht="17">
      <c r="A52" s="53"/>
      <c r="B52" s="375" t="str">
        <f>IF(AND('CAPTURA LISTADO'!B8&gt;max,OR(AND(p=1,'CAPTURA DP'!$B$6&gt;13),(p=2))),1,"")</f>
        <v/>
      </c>
      <c r="C52" s="362" t="str">
        <f>IF('CAPTURA LISTADO'!B8="","",(IF(B52="",'CAPTURA LISTADO'!B8,"")))</f>
        <v/>
      </c>
      <c r="D52" s="362" t="str">
        <f>UPPER(IF('CAPTURA LISTADO'!B8="","",(IF(B52="",'CAPTURA LISTADO'!D8,""))))</f>
        <v/>
      </c>
      <c r="E52" s="363"/>
      <c r="F52" s="363"/>
      <c r="G52" s="350" t="str">
        <f ca="1">(IF(OR('CAPTURA LISTADO'!B8="",B52=1,vo&gt;=1),"",VLOOKUP(C52,PRIMA_N,VLOOKUP(1,pcosto,IF(D52="m",2,3),0),0)/VLOOKUP(C52,PRIMA_N,IF(D52="m",2,3),0)))</f>
        <v/>
      </c>
      <c r="H52" s="363"/>
      <c r="I52" s="363"/>
      <c r="J52" s="350" t="str">
        <f ca="1">IF(b=1,(IF(OR('CAPTURA LISTADO'!B8="",B52=1,$I$9="no aplica SA",vp&gt;=1),"",VLOOKUP(C52,PRIMA_N,VLOOKUP(IF(p=1,2,6),pcosto,IF(D52="m",2,3),0),0)/VLOOKUP(C52,PRIMA_N,IF(D52="m",2,3),0))),(IF(OR('CAPTURA LISTADO'!B8="",B52=1),"",VLOOKUP(C52,PRIMA_N,VLOOKUP(p,pcosto,IF(D52="m",2,3),0),0)/VLOOKUP(C52,PRIMA_N,IF(D52="m",2,3),0))))</f>
        <v/>
      </c>
      <c r="K52" s="350"/>
      <c r="L52" s="350"/>
      <c r="M52" s="350" t="str">
        <f ca="1">(IF(OR('CAPTURA LISTADO'!B8="",B52=1,ve&gt;=1),"",VLOOKUP(C52,PRIMA_N,VLOOKUP(3,pcosto,IF(D52="m",2,3),0),0)/VLOOKUP(C52,PRIMA_N,IF(D52="m",2,3),0)))</f>
        <v/>
      </c>
      <c r="N52" s="376"/>
      <c r="T52" s="275"/>
      <c r="U52" s="60"/>
      <c r="V52" s="276"/>
      <c r="W52" s="277"/>
      <c r="X52" s="277"/>
      <c r="Y52" s="190"/>
    </row>
    <row r="53" spans="1:25" ht="17">
      <c r="A53" s="53"/>
      <c r="B53" s="375" t="str">
        <f>IF(AND('CAPTURA LISTADO'!B9&gt;max,OR(AND(p=1,'CAPTURA DP'!$B$6&gt;13),(p=2))),1,"")</f>
        <v/>
      </c>
      <c r="C53" s="362" t="str">
        <f>IF('CAPTURA LISTADO'!B9="","",(IF(B53="",'CAPTURA LISTADO'!B9,"")))</f>
        <v/>
      </c>
      <c r="D53" s="362" t="str">
        <f>UPPER(IF('CAPTURA LISTADO'!B9="","",(IF(B53="",'CAPTURA LISTADO'!D9,""))))</f>
        <v/>
      </c>
      <c r="E53" s="363"/>
      <c r="F53" s="363"/>
      <c r="G53" s="350" t="str">
        <f ca="1">(IF(OR('CAPTURA LISTADO'!B9="",B53=1,vo&gt;=1),"",VLOOKUP(C53,PRIMA_N,VLOOKUP(1,pcosto,IF(D53="m",2,3),0),0)/VLOOKUP(C53,PRIMA_N,IF(D53="m",2,3),0)))</f>
        <v/>
      </c>
      <c r="H53" s="363"/>
      <c r="I53" s="363"/>
      <c r="J53" s="350" t="str">
        <f ca="1">IF(b=1,(IF(OR('CAPTURA LISTADO'!B9="",B53=1,$I$9="no aplica SA",vp&gt;=1),"",VLOOKUP(C53,PRIMA_N,VLOOKUP(IF(p=1,2,6),pcosto,IF(D53="m",2,3),0),0)/VLOOKUP(C53,PRIMA_N,IF(D53="m",2,3),0))),(IF(OR('CAPTURA LISTADO'!B9="",B53=1),"",VLOOKUP(C53,PRIMA_N,VLOOKUP(p,pcosto,IF(D53="m",2,3),0),0)/VLOOKUP(C53,PRIMA_N,IF(D53="m",2,3),0))))</f>
        <v/>
      </c>
      <c r="K53" s="350"/>
      <c r="L53" s="350"/>
      <c r="M53" s="350" t="str">
        <f ca="1">(IF(OR('CAPTURA LISTADO'!B9="",B53=1,ve&gt;=1),"",VLOOKUP(C53,PRIMA_N,VLOOKUP(3,pcosto,IF(D53="m",2,3),0),0)/VLOOKUP(C53,PRIMA_N,IF(D53="m",2,3),0)))</f>
        <v/>
      </c>
      <c r="N53" s="376"/>
      <c r="T53" s="275"/>
      <c r="U53" s="60"/>
      <c r="V53" s="276"/>
      <c r="W53" s="277"/>
      <c r="X53" s="277"/>
      <c r="Y53" s="190"/>
    </row>
    <row r="54" spans="1:25" ht="17">
      <c r="A54" s="53"/>
      <c r="B54" s="375" t="str">
        <f>IF(AND('CAPTURA LISTADO'!B10&gt;max,OR(AND(p=1,'CAPTURA DP'!$B$6&gt;13),(p=2))),1,"")</f>
        <v/>
      </c>
      <c r="C54" s="362" t="str">
        <f>IF('CAPTURA LISTADO'!B10="","",(IF(B54="",'CAPTURA LISTADO'!B10,"")))</f>
        <v/>
      </c>
      <c r="D54" s="362" t="str">
        <f>UPPER(IF('CAPTURA LISTADO'!B10="","",(IF(B54="",'CAPTURA LISTADO'!D10,""))))</f>
        <v/>
      </c>
      <c r="E54" s="363"/>
      <c r="F54" s="363"/>
      <c r="G54" s="350" t="str">
        <f ca="1">(IF(OR('CAPTURA LISTADO'!B10="",B54=1,vo&gt;=1),"",VLOOKUP(C54,PRIMA_N,VLOOKUP(1,pcosto,IF(D54="m",2,3),0),0)/VLOOKUP(C54,PRIMA_N,IF(D54="m",2,3),0)))</f>
        <v/>
      </c>
      <c r="H54" s="363"/>
      <c r="I54" s="363"/>
      <c r="J54" s="350" t="str">
        <f ca="1">IF(b=1,(IF(OR('CAPTURA LISTADO'!B10="",B54=1,$I$9="no aplica SA",vp&gt;=1),"",VLOOKUP(C54,PRIMA_N,VLOOKUP(IF(p=1,2,6),pcosto,IF(D54="m",2,3),0),0)/VLOOKUP(C54,PRIMA_N,IF(D54="m",2,3),0))),(IF(OR('CAPTURA LISTADO'!B10="",B54=1),"",VLOOKUP(C54,PRIMA_N,VLOOKUP(p,pcosto,IF(D54="m",2,3),0),0)/VLOOKUP(C54,PRIMA_N,IF(D54="m",2,3),0))))</f>
        <v/>
      </c>
      <c r="K54" s="350"/>
      <c r="L54" s="350"/>
      <c r="M54" s="350" t="str">
        <f ca="1">(IF(OR('CAPTURA LISTADO'!B10="",B54=1,ve&gt;=1),"",VLOOKUP(C54,PRIMA_N,VLOOKUP(3,pcosto,IF(D54="m",2,3),0),0)/VLOOKUP(C54,PRIMA_N,IF(D54="m",2,3),0)))</f>
        <v/>
      </c>
      <c r="N54" s="376"/>
      <c r="T54" s="275"/>
      <c r="U54" s="60"/>
      <c r="V54" s="276"/>
      <c r="W54" s="277"/>
      <c r="X54" s="277"/>
      <c r="Y54" s="190"/>
    </row>
    <row r="55" spans="1:25" ht="17">
      <c r="A55" s="53"/>
      <c r="B55" s="375" t="str">
        <f>IF(AND('CAPTURA LISTADO'!B11&gt;max,OR(AND(p=1,'CAPTURA DP'!$B$6&gt;13),(p=2))),1,"")</f>
        <v/>
      </c>
      <c r="C55" s="362" t="str">
        <f>IF('CAPTURA LISTADO'!B11="","",(IF(B55="",'CAPTURA LISTADO'!B11,"")))</f>
        <v/>
      </c>
      <c r="D55" s="362" t="str">
        <f>UPPER(IF('CAPTURA LISTADO'!B11="","",(IF(B55="",'CAPTURA LISTADO'!D11,""))))</f>
        <v/>
      </c>
      <c r="E55" s="363"/>
      <c r="F55" s="363"/>
      <c r="G55" s="350" t="str">
        <f ca="1">(IF(OR('CAPTURA LISTADO'!B11="",B55=1,vo&gt;=1),"",VLOOKUP(C55,PRIMA_N,VLOOKUP(1,pcosto,IF(D55="m",2,3),0),0)/VLOOKUP(C55,PRIMA_N,IF(D55="m",2,3),0)))</f>
        <v/>
      </c>
      <c r="H55" s="363"/>
      <c r="I55" s="363"/>
      <c r="J55" s="350" t="str">
        <f ca="1">IF(b=1,(IF(OR('CAPTURA LISTADO'!B11="",B55=1,$I$9="no aplica SA",vp&gt;=1),"",VLOOKUP(C55,PRIMA_N,VLOOKUP(IF(p=1,2,6),pcosto,IF(D55="m",2,3),0),0)/VLOOKUP(C55,PRIMA_N,IF(D55="m",2,3),0))),(IF(OR('CAPTURA LISTADO'!B11="",B55=1),"",VLOOKUP(C55,PRIMA_N,VLOOKUP(p,pcosto,IF(D55="m",2,3),0),0)/VLOOKUP(C55,PRIMA_N,IF(D55="m",2,3),0))))</f>
        <v/>
      </c>
      <c r="K55" s="350"/>
      <c r="L55" s="350"/>
      <c r="M55" s="350" t="str">
        <f ca="1">(IF(OR('CAPTURA LISTADO'!B11="",B55=1,ve&gt;=1),"",VLOOKUP(C55,PRIMA_N,VLOOKUP(3,pcosto,IF(D55="m",2,3),0),0)/VLOOKUP(C55,PRIMA_N,IF(D55="m",2,3),0)))</f>
        <v/>
      </c>
      <c r="N55" s="376"/>
    </row>
    <row r="56" spans="1:25" ht="17">
      <c r="A56" s="53"/>
      <c r="B56" s="375" t="str">
        <f>IF(AND('CAPTURA LISTADO'!B12&gt;max,OR(AND(p=1,'CAPTURA DP'!$B$6&gt;13),(p=2))),1,"")</f>
        <v/>
      </c>
      <c r="C56" s="362" t="str">
        <f>IF('CAPTURA LISTADO'!B12="","",(IF(B56="",'CAPTURA LISTADO'!B12,"")))</f>
        <v/>
      </c>
      <c r="D56" s="362" t="str">
        <f>UPPER(IF('CAPTURA LISTADO'!B12="","",(IF(B56="",'CAPTURA LISTADO'!D12,""))))</f>
        <v/>
      </c>
      <c r="E56" s="363"/>
      <c r="F56" s="363"/>
      <c r="G56" s="350" t="str">
        <f ca="1">(IF(OR('CAPTURA LISTADO'!B12="",B56=1,vo&gt;=1),"",VLOOKUP(C56,PRIMA_N,VLOOKUP(1,pcosto,IF(D56="m",2,3),0),0)/VLOOKUP(C56,PRIMA_N,IF(D56="m",2,3),0)))</f>
        <v/>
      </c>
      <c r="H56" s="363"/>
      <c r="I56" s="363"/>
      <c r="J56" s="350" t="str">
        <f ca="1">IF(b=1,(IF(OR('CAPTURA LISTADO'!B12="",B56=1,$I$9="no aplica SA",vp&gt;=1),"",VLOOKUP(C56,PRIMA_N,VLOOKUP(IF(p=1,2,6),pcosto,IF(D56="m",2,3),0),0)/VLOOKUP(C56,PRIMA_N,IF(D56="m",2,3),0))),(IF(OR('CAPTURA LISTADO'!B12="",B56=1),"",VLOOKUP(C56,PRIMA_N,VLOOKUP(p,pcosto,IF(D56="m",2,3),0),0)/VLOOKUP(C56,PRIMA_N,IF(D56="m",2,3),0))))</f>
        <v/>
      </c>
      <c r="K56" s="350"/>
      <c r="L56" s="350"/>
      <c r="M56" s="350" t="str">
        <f ca="1">(IF(OR('CAPTURA LISTADO'!B12="",B56=1,ve&gt;=1),"",VLOOKUP(C56,PRIMA_N,VLOOKUP(3,pcosto,IF(D56="m",2,3),0),0)/VLOOKUP(C56,PRIMA_N,IF(D56="m",2,3),0)))</f>
        <v/>
      </c>
      <c r="N56" s="376"/>
      <c r="U56" s="190"/>
      <c r="W56" s="269"/>
      <c r="X56" s="190"/>
    </row>
    <row r="57" spans="1:25" ht="17">
      <c r="A57" s="53"/>
      <c r="B57" s="375" t="str">
        <f>IF(AND('CAPTURA LISTADO'!B13&gt;max,OR(AND(p=1,'CAPTURA DP'!$B$6&gt;13),(p=2))),1,"")</f>
        <v/>
      </c>
      <c r="C57" s="362" t="str">
        <f>IF('CAPTURA LISTADO'!B13="","",(IF(B57="",'CAPTURA LISTADO'!B13,"")))</f>
        <v/>
      </c>
      <c r="D57" s="362" t="str">
        <f>UPPER(IF('CAPTURA LISTADO'!B13="","",(IF(B57="",'CAPTURA LISTADO'!D13,""))))</f>
        <v/>
      </c>
      <c r="E57" s="363"/>
      <c r="F57" s="363"/>
      <c r="G57" s="350" t="str">
        <f ca="1">(IF(OR('CAPTURA LISTADO'!B13="",B57=1,vo&gt;=1),"",VLOOKUP(C57,PRIMA_N,VLOOKUP(1,pcosto,IF(D57="m",2,3),0),0)/VLOOKUP(C57,PRIMA_N,IF(D57="m",2,3),0)))</f>
        <v/>
      </c>
      <c r="H57" s="363"/>
      <c r="I57" s="363"/>
      <c r="J57" s="350" t="str">
        <f ca="1">IF(b=1,(IF(OR('CAPTURA LISTADO'!B13="",B57=1,$I$9="no aplica SA",vp&gt;=1),"",VLOOKUP(C57,PRIMA_N,VLOOKUP(IF(p=1,2,6),pcosto,IF(D57="m",2,3),0),0)/VLOOKUP(C57,PRIMA_N,IF(D57="m",2,3),0))),(IF(OR('CAPTURA LISTADO'!B13="",B57=1),"",VLOOKUP(C57,PRIMA_N,VLOOKUP(p,pcosto,IF(D57="m",2,3),0),0)/VLOOKUP(C57,PRIMA_N,IF(D57="m",2,3),0))))</f>
        <v/>
      </c>
      <c r="K57" s="350"/>
      <c r="L57" s="350"/>
      <c r="M57" s="350" t="str">
        <f ca="1">(IF(OR('CAPTURA LISTADO'!B13="",B57=1,ve&gt;=1),"",VLOOKUP(C57,PRIMA_N,VLOOKUP(3,pcosto,IF(D57="m",2,3),0),0)/VLOOKUP(C57,PRIMA_N,IF(D57="m",2,3),0)))</f>
        <v/>
      </c>
      <c r="N57" s="376"/>
      <c r="U57" s="190"/>
      <c r="V57" s="270"/>
      <c r="W57"/>
      <c r="X57"/>
      <c r="Y57"/>
    </row>
    <row r="58" spans="1:25" ht="18" customHeight="1">
      <c r="A58" s="53"/>
      <c r="B58" s="375" t="str">
        <f>IF(AND('CAPTURA LISTADO'!B14&gt;max,OR(AND(p=1,'CAPTURA DP'!$B$6&gt;13),(p=2))),1,"")</f>
        <v/>
      </c>
      <c r="C58" s="362" t="str">
        <f>IF('CAPTURA LISTADO'!B14="","",(IF(B58="",'CAPTURA LISTADO'!B14,"")))</f>
        <v/>
      </c>
      <c r="D58" s="362" t="str">
        <f>UPPER(IF('CAPTURA LISTADO'!B14="","",(IF(B58="",'CAPTURA LISTADO'!D14,""))))</f>
        <v/>
      </c>
      <c r="E58" s="363"/>
      <c r="F58" s="363"/>
      <c r="G58" s="350" t="str">
        <f ca="1">(IF(OR('CAPTURA LISTADO'!B14="",B58=1,vo&gt;=1),"",VLOOKUP(C58,PRIMA_N,VLOOKUP(1,pcosto,IF(D58="m",2,3),0),0)/VLOOKUP(C58,PRIMA_N,IF(D58="m",2,3),0)))</f>
        <v/>
      </c>
      <c r="H58" s="363"/>
      <c r="I58" s="363"/>
      <c r="J58" s="350" t="str">
        <f ca="1">IF(b=1,(IF(OR('CAPTURA LISTADO'!B14="",B58=1,$I$9="no aplica SA",vp&gt;=1),"",VLOOKUP(C58,PRIMA_N,VLOOKUP(IF(p=1,2,6),pcosto,IF(D58="m",2,3),0),0)/VLOOKUP(C58,PRIMA_N,IF(D58="m",2,3),0))),(IF(OR('CAPTURA LISTADO'!B14="",B58=1),"",VLOOKUP(C58,PRIMA_N,VLOOKUP(p,pcosto,IF(D58="m",2,3),0),0)/VLOOKUP(C58,PRIMA_N,IF(D58="m",2,3),0))))</f>
        <v/>
      </c>
      <c r="K58" s="350"/>
      <c r="L58" s="350"/>
      <c r="M58" s="350" t="str">
        <f ca="1">(IF(OR('CAPTURA LISTADO'!B14="",B58=1,ve&gt;=1),"",VLOOKUP(C58,PRIMA_N,VLOOKUP(3,pcosto,IF(D58="m",2,3),0),0)/VLOOKUP(C58,PRIMA_N,IF(D58="m",2,3),0)))</f>
        <v/>
      </c>
      <c r="N58" s="376"/>
      <c r="W58"/>
      <c r="X58"/>
      <c r="Y58"/>
    </row>
    <row r="59" spans="1:25" ht="32.25" customHeight="1">
      <c r="A59" s="53"/>
      <c r="B59" s="614" t="str">
        <f>+IF(b=2,"",IF('CAPTURA LISTADO'!E7="Debe existir un titular","",IF('CAPTURA LISTADO'!K16&gt;=1,"No es posible otorgar la Suma Asegurada solicitada para asegurados mayores a 59 años.","")))</f>
        <v/>
      </c>
      <c r="C59" s="615"/>
      <c r="D59" s="615"/>
      <c r="E59" s="615"/>
      <c r="F59" s="615"/>
      <c r="G59" s="615"/>
      <c r="H59" s="615"/>
      <c r="I59" s="615"/>
      <c r="J59" s="615"/>
      <c r="K59" s="615"/>
      <c r="L59" s="615"/>
      <c r="M59" s="615"/>
      <c r="N59" s="377"/>
      <c r="W59"/>
      <c r="X59"/>
      <c r="Y59"/>
    </row>
    <row r="60" spans="1:25" ht="17">
      <c r="A60" s="53"/>
      <c r="B60" s="369"/>
      <c r="C60" s="677" t="s">
        <v>285</v>
      </c>
      <c r="D60" s="678"/>
      <c r="E60" s="60"/>
      <c r="F60" s="60"/>
      <c r="G60" s="411">
        <f ca="1">IF('CAPTURA LISTADO'!K16&gt;=1,0,(IFERROR(VLOOKUP(1,DATOS!A28:B33,2,0),0)))</f>
        <v>0</v>
      </c>
      <c r="H60" s="363"/>
      <c r="I60" s="363"/>
      <c r="J60" s="411">
        <f ca="1">IF(b=1,IF('CAPTURA LISTADO'!K16&gt;=1,0,(IFERROR(VLOOKUP(IF(p=1,2,6),DATOS!A28:B33,2,0),0))),(IFERROR(VLOOKUP(2,DATOS!$A$28:$B$33,2,0),0)))</f>
        <v>0</v>
      </c>
      <c r="K60" s="364"/>
      <c r="L60" s="364"/>
      <c r="M60" s="411">
        <f ca="1">IF('CAPTURA LISTADO'!K16&gt;=1,0,(IFERROR(VLOOKUP(3,DATOS!A28:B33,2,0),0)))</f>
        <v>0</v>
      </c>
      <c r="N60" s="378"/>
      <c r="U60" s="191"/>
      <c r="W60"/>
      <c r="X60"/>
      <c r="Y60"/>
    </row>
    <row r="61" spans="1:25" ht="17">
      <c r="A61" s="53"/>
      <c r="B61" s="369"/>
      <c r="C61" s="604" t="s">
        <v>279</v>
      </c>
      <c r="D61" s="605"/>
      <c r="E61" s="60"/>
      <c r="F61" s="60"/>
      <c r="G61" s="412">
        <f ca="1">IF(G60=0,0,(VLOOKUP(G60,DATOS!AR6:AT14,3)))</f>
        <v>0</v>
      </c>
      <c r="H61" s="363"/>
      <c r="I61" s="363"/>
      <c r="J61" s="412">
        <f ca="1">IF(J60=0,0,(VLOOKUP(J60,DATOS!AR6:AT14,3)))</f>
        <v>0</v>
      </c>
      <c r="K61" s="360"/>
      <c r="L61" s="360"/>
      <c r="M61" s="412">
        <f ca="1">IF(M60=0,0,(VLOOKUP(M60,DATOS!AR6:AT14,3)))</f>
        <v>0</v>
      </c>
      <c r="N61" s="379"/>
      <c r="W61"/>
      <c r="X61"/>
      <c r="Y61"/>
    </row>
    <row r="62" spans="1:25" ht="17">
      <c r="A62" s="53"/>
      <c r="B62" s="380"/>
      <c r="C62" s="365"/>
      <c r="D62" s="365"/>
      <c r="E62" s="60"/>
      <c r="F62" s="60"/>
      <c r="G62" s="360"/>
      <c r="H62" s="363"/>
      <c r="I62" s="365"/>
      <c r="J62" s="360"/>
      <c r="K62" s="365"/>
      <c r="L62" s="365"/>
      <c r="M62" s="360"/>
      <c r="N62" s="381"/>
      <c r="O62" s="53"/>
      <c r="W62"/>
      <c r="X62"/>
      <c r="Y62"/>
    </row>
    <row r="63" spans="1:25" ht="17">
      <c r="A63" s="53"/>
      <c r="B63" s="368"/>
      <c r="C63" s="604" t="s">
        <v>280</v>
      </c>
      <c r="D63" s="605"/>
      <c r="E63" s="60"/>
      <c r="F63" s="60"/>
      <c r="G63" s="412">
        <f ca="1">+SUM(G60:G61)*IVA</f>
        <v>0</v>
      </c>
      <c r="H63" s="363"/>
      <c r="I63" s="363"/>
      <c r="J63" s="412">
        <f ca="1">+SUM(J60:J61)*IVA</f>
        <v>0</v>
      </c>
      <c r="K63" s="360"/>
      <c r="L63" s="360"/>
      <c r="M63" s="412">
        <f ca="1">+SUM(M60:M61)*IVA</f>
        <v>0</v>
      </c>
      <c r="N63" s="379"/>
      <c r="W63"/>
      <c r="X63"/>
      <c r="Y63"/>
    </row>
    <row r="64" spans="1:25" ht="17">
      <c r="A64" s="53"/>
      <c r="B64" s="413" t="s">
        <v>71</v>
      </c>
      <c r="C64" s="606" t="s">
        <v>282</v>
      </c>
      <c r="D64" s="607"/>
      <c r="E64" s="60"/>
      <c r="F64" s="60"/>
      <c r="G64" s="411">
        <f ca="1">+SUM(G60:G63)</f>
        <v>0</v>
      </c>
      <c r="H64" s="363"/>
      <c r="I64" s="363"/>
      <c r="J64" s="411">
        <f ca="1">+SUM(J60:J63)</f>
        <v>0</v>
      </c>
      <c r="K64" s="360"/>
      <c r="L64" s="360"/>
      <c r="M64" s="411">
        <f ca="1">+SUM(M60:M63)</f>
        <v>0</v>
      </c>
      <c r="N64" s="378"/>
    </row>
    <row r="65" spans="1:15" ht="17">
      <c r="A65" s="53"/>
      <c r="B65" s="367"/>
      <c r="C65" s="364"/>
      <c r="D65" s="364"/>
      <c r="E65" s="60"/>
      <c r="F65" s="60"/>
      <c r="G65" s="351"/>
      <c r="H65" s="363"/>
      <c r="I65" s="363"/>
      <c r="J65" s="351"/>
      <c r="K65" s="360"/>
      <c r="L65" s="360"/>
      <c r="M65" s="351"/>
      <c r="N65" s="382"/>
    </row>
    <row r="66" spans="1:15" ht="17">
      <c r="A66" s="53"/>
      <c r="B66" s="368"/>
      <c r="C66" s="604" t="s">
        <v>281</v>
      </c>
      <c r="D66" s="605"/>
      <c r="E66" s="60"/>
      <c r="F66" s="60"/>
      <c r="G66" s="412">
        <f ca="1">+IF(G60=0,0,G60*DATOS!$AP$5)</f>
        <v>0</v>
      </c>
      <c r="H66" s="363"/>
      <c r="I66" s="363"/>
      <c r="J66" s="412">
        <f ca="1">+IF(J60=0,0,J60*DATOS!$AP$5)</f>
        <v>0</v>
      </c>
      <c r="K66" s="360"/>
      <c r="L66" s="360"/>
      <c r="M66" s="412">
        <f ca="1">+IF(M60=0,0,M60*DATOS!$AP$5)</f>
        <v>0</v>
      </c>
      <c r="N66" s="379"/>
    </row>
    <row r="67" spans="1:15" ht="17">
      <c r="A67" s="53"/>
      <c r="B67" s="368"/>
      <c r="C67" s="604" t="s">
        <v>280</v>
      </c>
      <c r="D67" s="605"/>
      <c r="E67" s="60"/>
      <c r="F67" s="60"/>
      <c r="G67" s="412">
        <f ca="1">+SUM(G66,G60,G61)*IVA</f>
        <v>0</v>
      </c>
      <c r="H67" s="363"/>
      <c r="I67" s="363"/>
      <c r="J67" s="412">
        <f ca="1">+SUM(J66,J60,J61)*IVA</f>
        <v>0</v>
      </c>
      <c r="K67" s="360"/>
      <c r="L67" s="360"/>
      <c r="M67" s="412">
        <f ca="1">+SUM(M66,M60,M61)*IVA</f>
        <v>0</v>
      </c>
      <c r="N67" s="379"/>
    </row>
    <row r="68" spans="1:15" ht="17">
      <c r="A68" s="53"/>
      <c r="B68" s="413" t="s">
        <v>72</v>
      </c>
      <c r="C68" s="606" t="s">
        <v>282</v>
      </c>
      <c r="D68" s="607"/>
      <c r="E68" s="60"/>
      <c r="F68" s="60"/>
      <c r="G68" s="411">
        <f ca="1">+SUM(G60,G61,G66,G67)</f>
        <v>0</v>
      </c>
      <c r="H68" s="363"/>
      <c r="I68" s="363"/>
      <c r="J68" s="411">
        <f ca="1">+SUM(J60,J61,J66,J67)</f>
        <v>0</v>
      </c>
      <c r="K68" s="360"/>
      <c r="L68" s="360"/>
      <c r="M68" s="411">
        <f ca="1">+SUM(M60,M61,M66,M67)</f>
        <v>0</v>
      </c>
      <c r="N68" s="378"/>
    </row>
    <row r="69" spans="1:15" ht="17">
      <c r="A69" s="53"/>
      <c r="B69" s="369"/>
      <c r="C69" s="604" t="s">
        <v>277</v>
      </c>
      <c r="D69" s="605"/>
      <c r="E69" s="60"/>
      <c r="F69" s="60"/>
      <c r="G69" s="412">
        <f ca="1">+((($G$60+$G$66)/2)+G61)*(1+IVA)</f>
        <v>0</v>
      </c>
      <c r="H69" s="363"/>
      <c r="I69" s="363"/>
      <c r="J69" s="412">
        <f ca="1">+((($J$60+$J$66)/2)+J61)*(1+IVA)</f>
        <v>0</v>
      </c>
      <c r="K69" s="360"/>
      <c r="L69" s="360"/>
      <c r="M69" s="412">
        <f ca="1">+((($M$60+$M$66)/2)+M61)*(1+IVA)</f>
        <v>0</v>
      </c>
      <c r="N69" s="379"/>
      <c r="O69" s="190"/>
    </row>
    <row r="70" spans="1:15" ht="17">
      <c r="A70" s="53"/>
      <c r="B70" s="369"/>
      <c r="C70" s="604" t="s">
        <v>283</v>
      </c>
      <c r="D70" s="605"/>
      <c r="E70" s="60"/>
      <c r="F70" s="60"/>
      <c r="G70" s="412">
        <f ca="1">++((($G$60+$G$66)/2))*(1+IVA)</f>
        <v>0</v>
      </c>
      <c r="H70" s="363"/>
      <c r="I70" s="363"/>
      <c r="J70" s="412">
        <f ca="1">++((($J$60+$J$66)/2))*(1+IVA)</f>
        <v>0</v>
      </c>
      <c r="K70" s="360"/>
      <c r="L70" s="360"/>
      <c r="M70" s="412">
        <f ca="1">++((($M$60+$M$66)/2))*(1+IVA)</f>
        <v>0</v>
      </c>
      <c r="N70" s="379"/>
    </row>
    <row r="71" spans="1:15" ht="17">
      <c r="A71" s="53"/>
      <c r="B71" s="369"/>
      <c r="C71" s="366"/>
      <c r="D71" s="366"/>
      <c r="E71" s="60"/>
      <c r="F71" s="60"/>
      <c r="G71" s="361"/>
      <c r="H71" s="363"/>
      <c r="I71" s="363"/>
      <c r="J71" s="361"/>
      <c r="K71" s="361"/>
      <c r="L71" s="361"/>
      <c r="M71" s="361"/>
      <c r="N71" s="383"/>
    </row>
    <row r="72" spans="1:15" ht="17">
      <c r="A72" s="53"/>
      <c r="B72" s="369"/>
      <c r="C72" s="604" t="s">
        <v>281</v>
      </c>
      <c r="D72" s="605"/>
      <c r="E72" s="60"/>
      <c r="F72" s="60"/>
      <c r="G72" s="412">
        <f ca="1">+IF(G60=0,0,G60*DATOS!$AP$6)</f>
        <v>0</v>
      </c>
      <c r="H72" s="363"/>
      <c r="I72" s="363"/>
      <c r="J72" s="412">
        <f ca="1">+IF(J60=0,0,J60*DATOS!$AP$6)</f>
        <v>0</v>
      </c>
      <c r="K72" s="361"/>
      <c r="L72" s="361"/>
      <c r="M72" s="412">
        <f ca="1">+IF(M60=0,0,M60*DATOS!$AP$6)</f>
        <v>0</v>
      </c>
      <c r="N72" s="379"/>
    </row>
    <row r="73" spans="1:15" ht="17">
      <c r="A73" s="53"/>
      <c r="B73" s="369"/>
      <c r="C73" s="604" t="s">
        <v>280</v>
      </c>
      <c r="D73" s="605"/>
      <c r="E73" s="60"/>
      <c r="F73" s="60"/>
      <c r="G73" s="412">
        <f ca="1">+SUM(G72,G60,G61)*IVA</f>
        <v>0</v>
      </c>
      <c r="H73" s="363"/>
      <c r="I73" s="363"/>
      <c r="J73" s="412">
        <f ca="1">+SUM(J72,J60,J61)*IVA</f>
        <v>0</v>
      </c>
      <c r="K73" s="361"/>
      <c r="L73" s="361"/>
      <c r="M73" s="412">
        <f ca="1">+SUM(M72,M60,M61)*IVA</f>
        <v>0</v>
      </c>
      <c r="N73" s="379"/>
    </row>
    <row r="74" spans="1:15" ht="17">
      <c r="A74" s="53"/>
      <c r="B74" s="413" t="s">
        <v>75</v>
      </c>
      <c r="C74" s="606" t="s">
        <v>282</v>
      </c>
      <c r="D74" s="607"/>
      <c r="E74" s="60"/>
      <c r="F74" s="60"/>
      <c r="G74" s="411">
        <f ca="1">+SUM(G60,G61,G72,G73)</f>
        <v>0</v>
      </c>
      <c r="H74" s="363"/>
      <c r="I74" s="363"/>
      <c r="J74" s="411">
        <f ca="1">+SUM(J60,J61,J72,J73)</f>
        <v>0</v>
      </c>
      <c r="K74" s="361"/>
      <c r="L74" s="361"/>
      <c r="M74" s="411">
        <f ca="1">+SUM(M60,M61,M72,M73)</f>
        <v>0</v>
      </c>
      <c r="N74" s="378"/>
    </row>
    <row r="75" spans="1:15" ht="17">
      <c r="A75" s="53"/>
      <c r="B75" s="369"/>
      <c r="C75" s="604" t="s">
        <v>277</v>
      </c>
      <c r="D75" s="605"/>
      <c r="E75" s="60"/>
      <c r="F75" s="60"/>
      <c r="G75" s="412">
        <f ca="1">+((($G$60+$G$72)/4)+G61)*(1+IVA)</f>
        <v>0</v>
      </c>
      <c r="H75" s="363"/>
      <c r="I75" s="363"/>
      <c r="J75" s="412">
        <f ca="1">+((($J$60+$J$72)/4)+J61)*(1+IVA)</f>
        <v>0</v>
      </c>
      <c r="K75" s="361"/>
      <c r="L75" s="361"/>
      <c r="M75" s="412">
        <f ca="1">+((($M$60+$M$72)/4)+M61)*(1+IVA)</f>
        <v>0</v>
      </c>
      <c r="N75" s="379"/>
    </row>
    <row r="76" spans="1:15" ht="17">
      <c r="A76" s="53"/>
      <c r="B76" s="369"/>
      <c r="C76" s="604" t="s">
        <v>278</v>
      </c>
      <c r="D76" s="605"/>
      <c r="E76" s="60"/>
      <c r="F76" s="60"/>
      <c r="G76" s="412">
        <f ca="1">++((($G$60+$G$72)/4))*(1+IVA)</f>
        <v>0</v>
      </c>
      <c r="H76" s="363"/>
      <c r="I76" s="363"/>
      <c r="J76" s="412">
        <f ca="1">++((($J$60+$J$72)/4))*(1+IVA)</f>
        <v>0</v>
      </c>
      <c r="K76" s="361"/>
      <c r="L76" s="361"/>
      <c r="M76" s="412">
        <f ca="1">++((($M$60+$M$72)/4))*(1+IVA)</f>
        <v>0</v>
      </c>
      <c r="N76" s="379"/>
    </row>
    <row r="77" spans="1:15" ht="17">
      <c r="A77" s="53"/>
      <c r="B77" s="369"/>
      <c r="C77" s="361"/>
      <c r="D77" s="361"/>
      <c r="E77" s="60"/>
      <c r="F77" s="60"/>
      <c r="G77" s="361"/>
      <c r="H77" s="363"/>
      <c r="I77" s="363"/>
      <c r="J77" s="361"/>
      <c r="K77" s="361"/>
      <c r="L77" s="361"/>
      <c r="M77" s="361"/>
      <c r="N77" s="383"/>
    </row>
    <row r="78" spans="1:15" ht="17">
      <c r="A78" s="53"/>
      <c r="B78" s="369"/>
      <c r="C78" s="604" t="s">
        <v>281</v>
      </c>
      <c r="D78" s="605"/>
      <c r="E78" s="60"/>
      <c r="F78" s="60"/>
      <c r="G78" s="412">
        <f ca="1">+IF(G60=0,0,G60*DATOS!$AP$7)</f>
        <v>0</v>
      </c>
      <c r="H78" s="363"/>
      <c r="I78" s="363"/>
      <c r="J78" s="412">
        <f ca="1">+IF(J60=0,0,J60*DATOS!$AP$7)</f>
        <v>0</v>
      </c>
      <c r="K78" s="361"/>
      <c r="L78" s="361"/>
      <c r="M78" s="412">
        <f ca="1">+IF(M60=0,0,M60*DATOS!$AP$7)</f>
        <v>0</v>
      </c>
      <c r="N78" s="379"/>
    </row>
    <row r="79" spans="1:15" ht="17">
      <c r="A79" s="53"/>
      <c r="B79" s="369"/>
      <c r="C79" s="604" t="s">
        <v>280</v>
      </c>
      <c r="D79" s="605"/>
      <c r="E79" s="60"/>
      <c r="F79" s="60"/>
      <c r="G79" s="412">
        <f ca="1">+SUM(G78,G60,G61)*IVA</f>
        <v>0</v>
      </c>
      <c r="H79" s="363"/>
      <c r="I79" s="363"/>
      <c r="J79" s="412">
        <f ca="1">+SUM(J78,J60,J61)*IVA</f>
        <v>0</v>
      </c>
      <c r="K79" s="361"/>
      <c r="L79" s="361"/>
      <c r="M79" s="412">
        <f ca="1">+SUM(M78,M60,M61)*IVA</f>
        <v>0</v>
      </c>
      <c r="N79" s="379"/>
    </row>
    <row r="80" spans="1:15" ht="17">
      <c r="A80" s="53"/>
      <c r="B80" s="413" t="s">
        <v>73</v>
      </c>
      <c r="C80" s="606" t="s">
        <v>282</v>
      </c>
      <c r="D80" s="607"/>
      <c r="E80" s="60"/>
      <c r="F80" s="60"/>
      <c r="G80" s="411">
        <f ca="1">+SUM(G60,G61,G78,G79)</f>
        <v>0</v>
      </c>
      <c r="H80" s="363"/>
      <c r="I80" s="363"/>
      <c r="J80" s="411">
        <f ca="1">+SUM(J60,J61,J78,J79)</f>
        <v>0</v>
      </c>
      <c r="K80" s="361"/>
      <c r="L80" s="361"/>
      <c r="M80" s="411">
        <f ca="1">+SUM(M60,M61,M78,M79)</f>
        <v>0</v>
      </c>
      <c r="N80" s="378"/>
    </row>
    <row r="81" spans="1:15" ht="17">
      <c r="A81" s="53"/>
      <c r="B81" s="369"/>
      <c r="C81" s="604" t="s">
        <v>277</v>
      </c>
      <c r="D81" s="605"/>
      <c r="E81" s="60"/>
      <c r="F81" s="60"/>
      <c r="G81" s="412">
        <f ca="1">+((($G$60+$G$78)/12)+G61)*(1+IVA)</f>
        <v>0</v>
      </c>
      <c r="H81" s="363"/>
      <c r="I81" s="363"/>
      <c r="J81" s="412">
        <f ca="1">+((($J$60+$J$78)/12)+J61)*(1+IVA)</f>
        <v>0</v>
      </c>
      <c r="K81" s="361"/>
      <c r="L81" s="361"/>
      <c r="M81" s="412">
        <f ca="1">+((($M$60+$M$78)/12)+M61)*(1+IVA)</f>
        <v>0</v>
      </c>
      <c r="N81" s="379"/>
      <c r="O81" s="191"/>
    </row>
    <row r="82" spans="1:15" ht="17">
      <c r="A82" s="53"/>
      <c r="B82" s="369"/>
      <c r="C82" s="604" t="s">
        <v>278</v>
      </c>
      <c r="D82" s="605"/>
      <c r="E82" s="60"/>
      <c r="F82" s="60"/>
      <c r="G82" s="412">
        <f ca="1">++((($G$60+$G$78)/12))*(1+IVA)</f>
        <v>0</v>
      </c>
      <c r="H82" s="363"/>
      <c r="I82" s="363"/>
      <c r="J82" s="412">
        <f ca="1">++((($J$60+$J$78)/12))*(1+IVA)</f>
        <v>0</v>
      </c>
      <c r="K82" s="361"/>
      <c r="L82" s="361"/>
      <c r="M82" s="412">
        <f ca="1">++((($M$60+$M$78)/12))*(1+IVA)</f>
        <v>0</v>
      </c>
      <c r="N82" s="379"/>
    </row>
    <row r="83" spans="1:15" ht="70.75" customHeight="1">
      <c r="A83" s="53"/>
      <c r="B83" s="650" t="s">
        <v>491</v>
      </c>
      <c r="C83" s="651"/>
      <c r="D83" s="651"/>
      <c r="E83" s="651"/>
      <c r="F83" s="651"/>
      <c r="G83" s="651"/>
      <c r="H83" s="651"/>
      <c r="I83" s="651"/>
      <c r="J83" s="651"/>
      <c r="K83" s="651"/>
      <c r="L83" s="651"/>
      <c r="M83" s="651"/>
      <c r="N83" s="384"/>
      <c r="O83" s="54"/>
    </row>
    <row r="84" spans="1:15" ht="32.25" customHeight="1" thickBot="1">
      <c r="A84" s="53"/>
      <c r="B84" s="646" t="str">
        <f>+IF('CAPTURA DP'!$C$28="NO","","El impuesto de esta cotización contempla el 8% de IVA Fronterizo.")</f>
        <v/>
      </c>
      <c r="C84" s="647"/>
      <c r="D84" s="647"/>
      <c r="E84" s="647"/>
      <c r="F84" s="647"/>
      <c r="G84" s="647"/>
      <c r="H84" s="647"/>
      <c r="I84" s="647"/>
      <c r="J84" s="647"/>
      <c r="K84" s="647"/>
      <c r="L84" s="647"/>
      <c r="M84" s="647"/>
      <c r="N84" s="385"/>
      <c r="O84" s="54"/>
    </row>
    <row r="85" spans="1:15" ht="19.5" customHeight="1" thickTop="1" thickBot="1">
      <c r="A85" s="53"/>
      <c r="B85" s="204" t="str">
        <f>IF(DATOS!A71=1,"210-212","182-184")</f>
        <v>210-212</v>
      </c>
      <c r="C85" s="200"/>
      <c r="D85" s="200"/>
      <c r="E85" s="200"/>
      <c r="F85" s="200"/>
      <c r="G85" s="348" t="str">
        <f>"ec "&amp;'CAPTURA DP'!F20</f>
        <v>ec 1</v>
      </c>
      <c r="H85" s="200"/>
      <c r="I85" s="200"/>
      <c r="J85" s="204" t="str">
        <f>+"cc "&amp;ROUND('DATOS GENERALES'!I15,6)</f>
        <v>cc 0</v>
      </c>
      <c r="K85" s="200"/>
      <c r="L85" s="200"/>
      <c r="M85" s="200"/>
      <c r="N85" s="200"/>
      <c r="O85" s="54"/>
    </row>
    <row r="86" spans="1:15" ht="19.5" customHeight="1" thickTop="1">
      <c r="A86" s="53"/>
      <c r="B86" s="655" t="str">
        <f>IF(LEFT('CAPTURA DP'!B29)="F","",IF('CAPTURA DP'!F20=1,"Esquema de comisiones por rango de edad del asegurado","Esquema de comisiones"))</f>
        <v>Esquema de comisiones por rango de edad del asegurado</v>
      </c>
      <c r="C86" s="656"/>
      <c r="D86" s="656"/>
      <c r="E86" s="656"/>
      <c r="F86" s="656"/>
      <c r="G86" s="656"/>
      <c r="H86" s="656"/>
      <c r="I86" s="656"/>
      <c r="J86" s="656"/>
      <c r="K86" s="656"/>
      <c r="L86" s="656"/>
      <c r="M86" s="656"/>
      <c r="N86" s="657"/>
      <c r="O86" s="54"/>
    </row>
    <row r="87" spans="1:15" ht="27.75" customHeight="1" thickBot="1">
      <c r="A87" s="53"/>
      <c r="B87" s="652" t="str">
        <f>IF(LEFT('CAPTURA DP'!B29)="F","",IF('CAPTURA DP'!F20=1,(CONCATENATE("Edad de 0 a 49 años, comisión de : ",ROUND((DATOS!C36*100),2)," %.   ","Edad de 50 a 59 años, comisión de: ",ROUND((DATOS!C37*100),2)," %.   ","Edad de 60 años en adelante, comisión de: ",ROUND((DATOS!C38*100),2)," %.")),CONCATENATE("Comisión del ",ROUND(('CAPTURA DP'!C14*100),2)," % para todas las edades.")))</f>
        <v>Edad de 0 a 49 años, comisión de : 18 %.   Edad de 50 a 59 años, comisión de: 15 %.   Edad de 60 años en adelante, comisión de: 12 %.</v>
      </c>
      <c r="C87" s="653"/>
      <c r="D87" s="653"/>
      <c r="E87" s="653"/>
      <c r="F87" s="653"/>
      <c r="G87" s="653"/>
      <c r="H87" s="653"/>
      <c r="I87" s="653"/>
      <c r="J87" s="653"/>
      <c r="K87" s="653"/>
      <c r="L87" s="653"/>
      <c r="M87" s="653"/>
      <c r="N87" s="654"/>
      <c r="O87" s="54"/>
    </row>
    <row r="88" spans="1:15" ht="10" customHeight="1" thickTop="1">
      <c r="A88" s="53"/>
      <c r="B88" s="355"/>
      <c r="C88" s="355"/>
      <c r="D88" s="355"/>
      <c r="E88" s="355"/>
      <c r="F88" s="355"/>
      <c r="G88" s="355"/>
      <c r="H88" s="355"/>
      <c r="I88" s="355"/>
      <c r="J88" s="355"/>
      <c r="K88" s="355"/>
      <c r="L88" s="355"/>
      <c r="M88" s="355"/>
      <c r="N88" s="355"/>
      <c r="O88" s="54"/>
    </row>
    <row r="89" spans="1:15" ht="25" customHeight="1">
      <c r="A89" s="53"/>
      <c r="B89" s="636" t="s">
        <v>407</v>
      </c>
      <c r="C89" s="636"/>
      <c r="D89" s="636"/>
      <c r="E89" s="636"/>
      <c r="F89" s="636"/>
      <c r="G89" s="636"/>
      <c r="H89" s="636"/>
      <c r="I89" s="636"/>
      <c r="J89" s="636"/>
      <c r="K89" s="636"/>
      <c r="L89" s="636"/>
      <c r="M89" s="636"/>
      <c r="N89" s="636"/>
      <c r="O89" s="54"/>
    </row>
    <row r="90" spans="1:15" ht="10" customHeight="1" thickBot="1">
      <c r="A90" s="53"/>
      <c r="B90" s="354"/>
      <c r="C90" s="354"/>
      <c r="D90" s="354"/>
      <c r="E90" s="356"/>
      <c r="F90" s="356"/>
      <c r="G90" s="356"/>
      <c r="H90" s="353"/>
      <c r="I90" s="353"/>
      <c r="J90" s="353"/>
      <c r="K90" s="353"/>
      <c r="L90" s="353"/>
      <c r="M90" s="353"/>
      <c r="N90" s="353"/>
      <c r="O90" s="54"/>
    </row>
    <row r="91" spans="1:15" ht="42" customHeight="1" thickTop="1">
      <c r="A91" s="53"/>
      <c r="B91" s="669" t="s">
        <v>522</v>
      </c>
      <c r="C91" s="670"/>
      <c r="D91" s="670"/>
      <c r="E91" s="670"/>
      <c r="F91" s="670"/>
      <c r="G91" s="670"/>
      <c r="H91" s="670"/>
      <c r="I91" s="670"/>
      <c r="J91" s="670"/>
      <c r="K91" s="670"/>
      <c r="L91" s="670"/>
      <c r="M91" s="670"/>
      <c r="N91" s="671"/>
      <c r="O91" s="54"/>
    </row>
    <row r="92" spans="1:15" ht="17.5">
      <c r="A92" s="53"/>
      <c r="B92" s="648" t="s">
        <v>299</v>
      </c>
      <c r="C92" s="649"/>
      <c r="D92" s="649"/>
      <c r="E92" s="359"/>
      <c r="F92" s="359"/>
      <c r="G92" s="359" t="s">
        <v>483</v>
      </c>
      <c r="H92" s="649" t="s">
        <v>517</v>
      </c>
      <c r="I92" s="649"/>
      <c r="J92" s="649"/>
      <c r="K92" s="599" t="s">
        <v>531</v>
      </c>
      <c r="L92" s="599"/>
      <c r="M92" s="599"/>
      <c r="N92" s="410"/>
      <c r="O92" s="54"/>
    </row>
    <row r="93" spans="1:15" ht="17.5">
      <c r="A93" s="53"/>
      <c r="B93" s="648" t="s">
        <v>8</v>
      </c>
      <c r="C93" s="649"/>
      <c r="D93" s="649"/>
      <c r="F93" s="359"/>
      <c r="G93" s="359" t="s">
        <v>482</v>
      </c>
      <c r="H93" s="649" t="s">
        <v>519</v>
      </c>
      <c r="I93" s="649"/>
      <c r="J93" s="649"/>
      <c r="K93" s="599" t="s">
        <v>484</v>
      </c>
      <c r="L93" s="599"/>
      <c r="M93" s="599"/>
      <c r="N93" s="410"/>
      <c r="O93" s="54"/>
    </row>
    <row r="94" spans="1:15" ht="17.5">
      <c r="A94" s="53"/>
      <c r="B94" s="664" t="s">
        <v>108</v>
      </c>
      <c r="C94" s="665"/>
      <c r="D94" s="665"/>
      <c r="E94" s="355"/>
      <c r="F94" s="355"/>
      <c r="G94" s="531">
        <f ca="1">+'CAPTURA DP'!CH104</f>
        <v>0</v>
      </c>
      <c r="H94" s="649" t="s">
        <v>518</v>
      </c>
      <c r="I94" s="649"/>
      <c r="J94" s="649"/>
      <c r="K94" s="599" t="str">
        <f>+'CAPTURA DP'!D5</f>
        <v>CDMX</v>
      </c>
      <c r="L94" s="599"/>
      <c r="M94" s="599"/>
      <c r="N94" s="384"/>
      <c r="O94" s="54"/>
    </row>
    <row r="95" spans="1:15" ht="25.5" customHeight="1" thickBot="1">
      <c r="A95" s="53"/>
      <c r="B95" s="666" t="s">
        <v>523</v>
      </c>
      <c r="C95" s="667"/>
      <c r="D95" s="667"/>
      <c r="E95" s="667"/>
      <c r="F95" s="667"/>
      <c r="G95" s="667"/>
      <c r="H95" s="667"/>
      <c r="I95" s="667"/>
      <c r="J95" s="667"/>
      <c r="K95" s="667"/>
      <c r="L95" s="667"/>
      <c r="M95" s="667"/>
      <c r="N95" s="668"/>
      <c r="O95" s="54"/>
    </row>
    <row r="96" spans="1:15" ht="10" customHeight="1" thickTop="1" thickBot="1">
      <c r="A96" s="53"/>
      <c r="B96" s="204"/>
      <c r="C96" s="204"/>
      <c r="D96" s="204"/>
      <c r="E96" s="204"/>
      <c r="F96" s="204"/>
      <c r="G96" s="201"/>
      <c r="H96" s="198"/>
      <c r="I96" s="198"/>
      <c r="J96" s="198"/>
      <c r="K96" s="204"/>
      <c r="L96" s="204"/>
      <c r="M96" s="204"/>
      <c r="N96" s="204"/>
    </row>
    <row r="97" spans="1:14" ht="18.75" customHeight="1" thickTop="1">
      <c r="A97" s="53"/>
      <c r="B97" s="655" t="s">
        <v>453</v>
      </c>
      <c r="C97" s="656"/>
      <c r="D97" s="656"/>
      <c r="E97" s="656"/>
      <c r="F97" s="656"/>
      <c r="G97" s="656"/>
      <c r="H97" s="656"/>
      <c r="I97" s="656"/>
      <c r="J97" s="656"/>
      <c r="K97" s="656"/>
      <c r="L97" s="656"/>
      <c r="M97" s="656"/>
      <c r="N97" s="657"/>
    </row>
    <row r="98" spans="1:14" ht="23.25" customHeight="1">
      <c r="A98" s="53"/>
      <c r="B98" s="658" t="str">
        <f>IF('DATOS GENERALES'!B21="","",'DATOS GENERALES'!B21)</f>
        <v/>
      </c>
      <c r="C98" s="659"/>
      <c r="D98" s="659"/>
      <c r="E98" s="659"/>
      <c r="F98" s="659"/>
      <c r="G98" s="659"/>
      <c r="H98" s="659"/>
      <c r="I98" s="659"/>
      <c r="J98" s="659"/>
      <c r="K98" s="659"/>
      <c r="L98" s="659"/>
      <c r="M98" s="659"/>
      <c r="N98" s="660"/>
    </row>
    <row r="99" spans="1:14" ht="23.25" customHeight="1" thickBot="1">
      <c r="A99" s="53"/>
      <c r="B99" s="661" t="str">
        <f>IF('DATOS GENERALES'!F21="","","Celular para contacto:   "&amp;'DATOS GENERALES'!F21)&amp;IF('DATOS GENERALES'!H21="","","                                          E-mail:    "&amp;'DATOS GENERALES'!H21)</f>
        <v/>
      </c>
      <c r="C99" s="662"/>
      <c r="D99" s="662"/>
      <c r="E99" s="662"/>
      <c r="F99" s="662"/>
      <c r="G99" s="662"/>
      <c r="H99" s="662"/>
      <c r="I99" s="662"/>
      <c r="J99" s="662"/>
      <c r="K99" s="662"/>
      <c r="L99" s="662"/>
      <c r="M99" s="662"/>
      <c r="N99" s="663"/>
    </row>
    <row r="100" spans="1:14" ht="15" hidden="1" thickTop="1">
      <c r="B100" s="219" t="s">
        <v>322</v>
      </c>
      <c r="C100" s="199"/>
      <c r="D100" s="199"/>
      <c r="E100" s="199"/>
      <c r="F100" s="199"/>
      <c r="G100" s="199"/>
      <c r="H100" s="645" t="s">
        <v>318</v>
      </c>
      <c r="I100" s="645"/>
      <c r="J100" s="645"/>
      <c r="K100" s="645"/>
      <c r="L100" s="645"/>
      <c r="M100" s="199"/>
      <c r="N100" s="199"/>
    </row>
    <row r="101" spans="1:14" ht="15" thickTop="1">
      <c r="B101" s="220" t="s">
        <v>323</v>
      </c>
      <c r="C101" s="199"/>
      <c r="D101" s="199"/>
      <c r="E101" s="199"/>
      <c r="F101" s="199"/>
      <c r="G101" s="199"/>
      <c r="H101" s="219" t="s">
        <v>321</v>
      </c>
      <c r="I101" s="198"/>
      <c r="J101" s="198"/>
      <c r="K101" s="198"/>
      <c r="L101" s="198"/>
      <c r="M101" s="199"/>
      <c r="N101" s="199"/>
    </row>
    <row r="102" spans="1:14">
      <c r="H102" s="220" t="s">
        <v>408</v>
      </c>
      <c r="L102" s="204"/>
    </row>
  </sheetData>
  <sheetProtection algorithmName="SHA-512" hashValue="/5AM0IgVGmQLVkh1a7mpLTKM+hPwktbjXDIkAPwv1s4RS2d11pI9ttnh0xSdvYwUQEXz0c4AMTOO95eXutSmeA==" saltValue="l0SwDFdREiQ5ozOumCl8Ew==" spinCount="100000" sheet="1" objects="1" scenarios="1"/>
  <mergeCells count="129">
    <mergeCell ref="B41:N41"/>
    <mergeCell ref="B43:N43"/>
    <mergeCell ref="B42:N42"/>
    <mergeCell ref="B1:N1"/>
    <mergeCell ref="H92:J92"/>
    <mergeCell ref="K92:M92"/>
    <mergeCell ref="H93:J93"/>
    <mergeCell ref="K93:M93"/>
    <mergeCell ref="C60:D60"/>
    <mergeCell ref="C61:D61"/>
    <mergeCell ref="B39:N39"/>
    <mergeCell ref="B48:N48"/>
    <mergeCell ref="C64:D64"/>
    <mergeCell ref="B5:D5"/>
    <mergeCell ref="B10:D10"/>
    <mergeCell ref="E6:M6"/>
    <mergeCell ref="B4:D4"/>
    <mergeCell ref="B6:D6"/>
    <mergeCell ref="E8:H8"/>
    <mergeCell ref="I8:K8"/>
    <mergeCell ref="E5:I5"/>
    <mergeCell ref="B9:D9"/>
    <mergeCell ref="E9:H9"/>
    <mergeCell ref="I9:K9"/>
    <mergeCell ref="H100:L100"/>
    <mergeCell ref="B84:M84"/>
    <mergeCell ref="C75:D75"/>
    <mergeCell ref="C79:D79"/>
    <mergeCell ref="C76:D76"/>
    <mergeCell ref="C78:D78"/>
    <mergeCell ref="C70:D70"/>
    <mergeCell ref="C72:D72"/>
    <mergeCell ref="C73:D73"/>
    <mergeCell ref="B92:D92"/>
    <mergeCell ref="B93:D93"/>
    <mergeCell ref="B89:N89"/>
    <mergeCell ref="C80:D80"/>
    <mergeCell ref="B83:M83"/>
    <mergeCell ref="B87:N87"/>
    <mergeCell ref="B86:N86"/>
    <mergeCell ref="C81:D81"/>
    <mergeCell ref="B97:N97"/>
    <mergeCell ref="B98:N98"/>
    <mergeCell ref="B99:N99"/>
    <mergeCell ref="B94:D94"/>
    <mergeCell ref="B95:N95"/>
    <mergeCell ref="B91:N91"/>
    <mergeCell ref="H94:J94"/>
    <mergeCell ref="E10:H10"/>
    <mergeCell ref="I10:K10"/>
    <mergeCell ref="K35:M35"/>
    <mergeCell ref="E37:G37"/>
    <mergeCell ref="H37:J37"/>
    <mergeCell ref="B7:N7"/>
    <mergeCell ref="B20:N20"/>
    <mergeCell ref="B25:N25"/>
    <mergeCell ref="B32:N32"/>
    <mergeCell ref="K23:M23"/>
    <mergeCell ref="B18:D18"/>
    <mergeCell ref="B35:D35"/>
    <mergeCell ref="B27:C27"/>
    <mergeCell ref="B28:C28"/>
    <mergeCell ref="H34:J34"/>
    <mergeCell ref="K34:M34"/>
    <mergeCell ref="B22:C22"/>
    <mergeCell ref="B23:C23"/>
    <mergeCell ref="B29:C29"/>
    <mergeCell ref="B11:D11"/>
    <mergeCell ref="B12:D12"/>
    <mergeCell ref="B13:D13"/>
    <mergeCell ref="B14:D14"/>
    <mergeCell ref="B15:D15"/>
    <mergeCell ref="E15:H15"/>
    <mergeCell ref="I15:K15"/>
    <mergeCell ref="E11:H11"/>
    <mergeCell ref="E12:H12"/>
    <mergeCell ref="E13:H13"/>
    <mergeCell ref="I11:K11"/>
    <mergeCell ref="I12:K12"/>
    <mergeCell ref="I13:K13"/>
    <mergeCell ref="E35:G35"/>
    <mergeCell ref="B36:D36"/>
    <mergeCell ref="E36:G36"/>
    <mergeCell ref="B16:D16"/>
    <mergeCell ref="B17:D17"/>
    <mergeCell ref="H36:J36"/>
    <mergeCell ref="B3:N3"/>
    <mergeCell ref="D27:N27"/>
    <mergeCell ref="D28:N28"/>
    <mergeCell ref="D29:N29"/>
    <mergeCell ref="D30:N30"/>
    <mergeCell ref="E16:H16"/>
    <mergeCell ref="I16:K16"/>
    <mergeCell ref="B34:D34"/>
    <mergeCell ref="H35:J35"/>
    <mergeCell ref="L8:N8"/>
    <mergeCell ref="L9:N9"/>
    <mergeCell ref="L10:N10"/>
    <mergeCell ref="L11:N11"/>
    <mergeCell ref="L12:N12"/>
    <mergeCell ref="L13:N13"/>
    <mergeCell ref="L14:N14"/>
    <mergeCell ref="E14:H14"/>
    <mergeCell ref="I14:K14"/>
    <mergeCell ref="L15:N15"/>
    <mergeCell ref="K94:M94"/>
    <mergeCell ref="L16:N16"/>
    <mergeCell ref="L17:N17"/>
    <mergeCell ref="L18:N18"/>
    <mergeCell ref="C66:D66"/>
    <mergeCell ref="C74:D74"/>
    <mergeCell ref="B37:D37"/>
    <mergeCell ref="C82:D82"/>
    <mergeCell ref="E18:H18"/>
    <mergeCell ref="I18:K18"/>
    <mergeCell ref="E17:H17"/>
    <mergeCell ref="I17:K17"/>
    <mergeCell ref="B46:M46"/>
    <mergeCell ref="B44:M44"/>
    <mergeCell ref="B45:M45"/>
    <mergeCell ref="C67:D67"/>
    <mergeCell ref="C68:D68"/>
    <mergeCell ref="B59:M59"/>
    <mergeCell ref="C63:D63"/>
    <mergeCell ref="C69:D69"/>
    <mergeCell ref="E34:G34"/>
    <mergeCell ref="K37:M37"/>
    <mergeCell ref="K36:M36"/>
    <mergeCell ref="B30:C30"/>
  </mergeCells>
  <phoneticPr fontId="9" type="noConversion"/>
  <conditionalFormatting sqref="E12 F24:N24 K22 E40:N40 B91 D27:D30">
    <cfRule type="expression" dxfId="33" priority="130" stopIfTrue="1">
      <formula>"Indicar"</formula>
    </cfRule>
  </conditionalFormatting>
  <conditionalFormatting sqref="C61 C72:C76 C78:C82 C63:C64 C66:C70">
    <cfRule type="expression" dxfId="32" priority="157" stopIfTrue="1">
      <formula>#REF!&lt;&gt;""</formula>
    </cfRule>
  </conditionalFormatting>
  <conditionalFormatting sqref="L10:M10">
    <cfRule type="expression" dxfId="31" priority="49">
      <formula>$L$10="El deducible mínimo para Elite es 5 UMAM"</formula>
    </cfRule>
  </conditionalFormatting>
  <conditionalFormatting sqref="C51:D58">
    <cfRule type="cellIs" dxfId="30" priority="46" stopIfTrue="1" operator="notEqual">
      <formula>""</formula>
    </cfRule>
  </conditionalFormatting>
  <conditionalFormatting sqref="C51:C58">
    <cfRule type="expression" dxfId="29" priority="47" stopIfTrue="1">
      <formula>$D51&lt;&gt;""</formula>
    </cfRule>
  </conditionalFormatting>
  <conditionalFormatting sqref="G51:G58">
    <cfRule type="cellIs" dxfId="28" priority="45" stopIfTrue="1" operator="notEqual">
      <formula>""</formula>
    </cfRule>
  </conditionalFormatting>
  <conditionalFormatting sqref="J51:J58">
    <cfRule type="cellIs" dxfId="27" priority="43" stopIfTrue="1" operator="notEqual">
      <formula>""</formula>
    </cfRule>
  </conditionalFormatting>
  <conditionalFormatting sqref="M51:N58">
    <cfRule type="cellIs" dxfId="26" priority="41" stopIfTrue="1" operator="notEqual">
      <formula>""</formula>
    </cfRule>
  </conditionalFormatting>
  <conditionalFormatting sqref="I12">
    <cfRule type="expression" dxfId="25" priority="36" stopIfTrue="1">
      <formula>"Indicar"</formula>
    </cfRule>
  </conditionalFormatting>
  <conditionalFormatting sqref="L12">
    <cfRule type="expression" dxfId="24" priority="35" stopIfTrue="1">
      <formula>"Indicar"</formula>
    </cfRule>
  </conditionalFormatting>
  <conditionalFormatting sqref="E31:N31 E33:N33">
    <cfRule type="expression" dxfId="23" priority="28" stopIfTrue="1">
      <formula>"Indicar"</formula>
    </cfRule>
  </conditionalFormatting>
  <conditionalFormatting sqref="E47:N47">
    <cfRule type="expression" dxfId="22" priority="15" stopIfTrue="1">
      <formula>"Indicar"</formula>
    </cfRule>
  </conditionalFormatting>
  <conditionalFormatting sqref="G60:G61 G63:G64 G66:G70 G72:G76 G78:G82">
    <cfRule type="expression" dxfId="21" priority="159">
      <formula>$G$49=""</formula>
    </cfRule>
  </conditionalFormatting>
  <conditionalFormatting sqref="J60:J61 J63:J64 J66:J70 J72:J76 J78:J82">
    <cfRule type="expression" dxfId="20" priority="160">
      <formula>$J$49=""</formula>
    </cfRule>
  </conditionalFormatting>
  <conditionalFormatting sqref="M60:N61 M63:N64 M66:N70 M72:N76 M78:N82">
    <cfRule type="expression" dxfId="19" priority="161">
      <formula>$M$49=""</formula>
    </cfRule>
  </conditionalFormatting>
  <conditionalFormatting sqref="P28">
    <cfRule type="expression" dxfId="18" priority="6" stopIfTrue="1">
      <formula>"Indicar"</formula>
    </cfRule>
  </conditionalFormatting>
  <conditionalFormatting sqref="B95">
    <cfRule type="expression" dxfId="17" priority="3" stopIfTrue="1">
      <formula>"Indicar"</formula>
    </cfRule>
  </conditionalFormatting>
  <conditionalFormatting sqref="G94">
    <cfRule type="expression" dxfId="16" priority="1">
      <formula>$J$49=""</formula>
    </cfRule>
  </conditionalFormatting>
  <hyperlinks>
    <hyperlink ref="B101" r:id="rId1"/>
    <hyperlink ref="H102" r:id="rId2"/>
  </hyperlinks>
  <printOptions horizontalCentered="1"/>
  <pageMargins left="0.15748031496062992" right="0.15748031496062992" top="0.82677165354330717" bottom="0.43307086614173229" header="0.27559055118110237" footer="0.23622047244094491"/>
  <pageSetup paperSize="9" scale="59" fitToHeight="2" orientation="portrait" r:id="rId3"/>
  <headerFooter alignWithMargins="0">
    <oddFooter>&amp;L&amp;"Book Antiqua,Normal"&amp;7&amp;K000000&amp;F / &amp;A
Cotización elaborada el : &amp;D&amp;C&amp;P&amp;R&amp;"Book Antiqua,Normal"&amp;7Cotizador de G.M.M.I.
Versión: TARIFA JULIO 2024 V.1
PROMOCIÓN</oddFooter>
  </headerFooter>
  <rowBreaks count="1" manualBreakCount="1">
    <brk id="46" max="16383" man="1"/>
  </rowBreak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Y94"/>
  <sheetViews>
    <sheetView showGridLines="0" showRuler="0" zoomScale="90" zoomScaleNormal="90" zoomScalePageLayoutView="70" workbookViewId="0">
      <selection activeCell="B2" sqref="B2"/>
    </sheetView>
  </sheetViews>
  <sheetFormatPr baseColWidth="10" defaultColWidth="8.54296875" defaultRowHeight="13"/>
  <cols>
    <col min="1" max="1" width="1.54296875" style="178" customWidth="1"/>
    <col min="2" max="4" width="14.54296875" style="178" customWidth="1"/>
    <col min="5" max="6" width="2.1796875" style="178" customWidth="1"/>
    <col min="7" max="7" width="37" style="178" customWidth="1"/>
    <col min="8" max="9" width="2.1796875" style="178" customWidth="1"/>
    <col min="10" max="10" width="36.81640625" style="178" customWidth="1"/>
    <col min="11" max="11" width="2.453125" style="178" customWidth="1"/>
    <col min="12" max="12" width="4.26953125" style="178" customWidth="1"/>
    <col min="13" max="13" width="38.1796875" style="178" customWidth="1"/>
    <col min="14" max="14" width="1.1796875" style="178" customWidth="1"/>
    <col min="15" max="15" width="2.26953125" style="178" customWidth="1"/>
    <col min="16" max="22" width="11.54296875" style="178" customWidth="1"/>
    <col min="23" max="23" width="10.453125" style="178" customWidth="1"/>
    <col min="24" max="24" width="13.26953125" style="178" customWidth="1"/>
    <col min="25" max="25" width="10.26953125" style="178" customWidth="1"/>
    <col min="26" max="16384" width="8.54296875" style="178"/>
  </cols>
  <sheetData>
    <row r="1" spans="1:18" ht="37.5" customHeight="1">
      <c r="A1" s="53"/>
      <c r="B1" s="676" t="str">
        <f>+IF(b=1,"COTIZACIÓN DE GASTOS MÉDICOS MAYORES INDIVIDUAL",CONCATENATE("COTIZACIÓN DE RENOVACIÓN DE LA PÓLIZA: ",IF('DATOS GENERALES'!C12=""," ",'DATOS GENERALES'!C12)))</f>
        <v>COTIZACIÓN DE GASTOS MÉDICOS MAYORES INDIVIDUAL</v>
      </c>
      <c r="C1" s="676"/>
      <c r="D1" s="676"/>
      <c r="E1" s="676"/>
      <c r="F1" s="676"/>
      <c r="G1" s="676"/>
      <c r="H1" s="676"/>
      <c r="I1" s="676"/>
      <c r="J1" s="676"/>
      <c r="K1" s="676"/>
      <c r="L1" s="676"/>
      <c r="M1" s="676"/>
      <c r="N1" s="676"/>
    </row>
    <row r="2" spans="1:18" ht="37.5" customHeight="1">
      <c r="A2" s="53"/>
      <c r="B2" s="352" t="str">
        <f>IF('DATOS GENERALES'!C4="","","Apreciable: "&amp;CONCATENATE('DATOS GENERALES'!C4))</f>
        <v/>
      </c>
      <c r="C2" s="202"/>
      <c r="D2" s="202"/>
      <c r="E2" s="202"/>
      <c r="F2" s="202"/>
      <c r="G2" s="202"/>
      <c r="H2" s="202"/>
      <c r="I2" s="202"/>
      <c r="J2" s="202"/>
      <c r="K2" s="202"/>
    </row>
    <row r="3" spans="1:18" ht="63.75" customHeight="1" thickBot="1">
      <c r="A3" s="53"/>
      <c r="B3" s="623" t="str">
        <f>"Seguros Atlas le proporciona una propuesta de Seguro de Gastos Médicos Mayores que cubra las necesidades de seguridad ante los imprevistos que atenten contra su salud, en el entendido de que lo no especificado operará bajo las condiciones vigentes "&amp;IF(b=2,"del "&amp;'CAPTURA DP'!D4&amp;" "&amp;'CAPTURA DP'!I4&amp;""&amp;".",IF(p&lt;=3,"de los Planes Nacionales.","del Plan Mundial."))</f>
        <v>Seguros Atlas le proporciona una propuesta de Seguro de Gastos Médicos Mayores que cubra las necesidades de seguridad ante los imprevistos que atenten contra su salud, en el entendido de que lo no especificado operará bajo las condiciones vigentes de los Planes Nacionales.</v>
      </c>
      <c r="C3" s="623"/>
      <c r="D3" s="623"/>
      <c r="E3" s="623"/>
      <c r="F3" s="623"/>
      <c r="G3" s="623"/>
      <c r="H3" s="623"/>
      <c r="I3" s="623"/>
      <c r="J3" s="623"/>
      <c r="K3" s="623"/>
      <c r="L3" s="623"/>
      <c r="M3" s="623"/>
      <c r="N3" s="623"/>
    </row>
    <row r="4" spans="1:18" ht="27" customHeight="1" thickTop="1">
      <c r="A4" s="53"/>
      <c r="B4" s="682" t="s">
        <v>373</v>
      </c>
      <c r="C4" s="683"/>
      <c r="D4" s="683"/>
      <c r="E4" s="386" t="str">
        <f ca="1">"Del "&amp;TEXT(DATOS!A27,"dd/mmmm/aaaa")&amp;" al "&amp;TEXT(DATOS!B27,"dd/mmmm/aaaa")</f>
        <v>Del 05/julio/2024 al 20/julio/2024</v>
      </c>
      <c r="F4" s="387"/>
      <c r="G4" s="387"/>
      <c r="H4" s="387"/>
      <c r="I4" s="387"/>
      <c r="J4" s="372"/>
      <c r="K4" s="388"/>
      <c r="L4" s="389" t="s">
        <v>446</v>
      </c>
      <c r="M4" s="390" t="str">
        <f ca="1">+TEXT(TODAY(),"dd/mmmm/aaaa")</f>
        <v>05/julio/2024</v>
      </c>
      <c r="N4" s="391"/>
      <c r="O4" s="339"/>
      <c r="P4" s="339"/>
      <c r="Q4" s="339"/>
      <c r="R4" s="339"/>
    </row>
    <row r="5" spans="1:18" ht="27" customHeight="1" thickBot="1">
      <c r="A5" s="53"/>
      <c r="B5" s="679" t="s">
        <v>372</v>
      </c>
      <c r="C5" s="680"/>
      <c r="D5" s="680"/>
      <c r="E5" s="685" t="str">
        <f>IF(b=1,"Anual","Del "&amp;TEXT(DATOS!A25,"dd/mmmm/aaaa")&amp;"  al  "&amp;TEXT(DATOS!B25,"dd/mmmm/aaaa"))</f>
        <v>Anual</v>
      </c>
      <c r="F5" s="685"/>
      <c r="G5" s="685"/>
      <c r="H5" s="685"/>
      <c r="I5" s="685"/>
      <c r="J5" s="392"/>
      <c r="K5" s="392"/>
      <c r="L5" s="392"/>
      <c r="M5" s="392"/>
      <c r="N5" s="393"/>
    </row>
    <row r="6" spans="1:18" ht="12" customHeight="1" thickTop="1">
      <c r="A6" s="53"/>
      <c r="B6" s="684"/>
      <c r="C6" s="684"/>
      <c r="D6" s="684"/>
      <c r="E6" s="681"/>
      <c r="F6" s="681"/>
      <c r="G6" s="681"/>
      <c r="H6" s="681"/>
      <c r="I6" s="681"/>
      <c r="J6" s="681"/>
      <c r="K6" s="681"/>
      <c r="L6" s="681"/>
      <c r="M6" s="681"/>
      <c r="N6" s="357"/>
    </row>
    <row r="7" spans="1:18" ht="25" customHeight="1">
      <c r="A7" s="53"/>
      <c r="B7" s="636" t="s">
        <v>485</v>
      </c>
      <c r="C7" s="636"/>
      <c r="D7" s="636"/>
      <c r="E7" s="636"/>
      <c r="F7" s="636"/>
      <c r="G7" s="636"/>
      <c r="H7" s="636"/>
      <c r="I7" s="636"/>
      <c r="J7" s="636"/>
      <c r="K7" s="636"/>
      <c r="L7" s="636"/>
      <c r="M7" s="636"/>
      <c r="N7" s="636"/>
    </row>
    <row r="8" spans="1:18" ht="30" customHeight="1" thickBot="1">
      <c r="A8" s="53"/>
      <c r="B8" s="263"/>
      <c r="C8" s="263"/>
      <c r="D8" s="263"/>
      <c r="E8" s="632" t="str">
        <f ca="1">IF(vo&gt;=1,"","Plan Óptimo")</f>
        <v/>
      </c>
      <c r="F8" s="632"/>
      <c r="G8" s="632"/>
      <c r="H8" s="632"/>
      <c r="I8" s="632" t="str">
        <f ca="1">IF(vp&gt;=1,"",IF(p=1,"Plan Plus","Plan Mundial"))</f>
        <v/>
      </c>
      <c r="J8" s="632"/>
      <c r="K8" s="632"/>
      <c r="L8" s="632" t="str">
        <f ca="1">IF(ve&gt;=1,"","Plan Elite")</f>
        <v/>
      </c>
      <c r="M8" s="632"/>
      <c r="N8" s="632"/>
    </row>
    <row r="9" spans="1:18" ht="25" customHeight="1" thickTop="1">
      <c r="A9" s="53"/>
      <c r="B9" s="686" t="s">
        <v>297</v>
      </c>
      <c r="C9" s="687"/>
      <c r="D9" s="687"/>
      <c r="E9" s="633" t="str">
        <f ca="1">IF(vo&gt;=1,"",IF(AND(b=1,'CAPTURA DP'!B6=97),"30,000 UMAM",VLOOKUP('CAPTURA DP'!B6,suma,3,0)))</f>
        <v/>
      </c>
      <c r="F9" s="633"/>
      <c r="G9" s="633"/>
      <c r="H9" s="633"/>
      <c r="I9" s="688" t="str">
        <f ca="1">IF(vp&gt;=1,"",VLOOKUP('CAPTURA DP'!B6,suma,3,0))</f>
        <v/>
      </c>
      <c r="J9" s="688"/>
      <c r="K9" s="688"/>
      <c r="L9" s="633" t="str">
        <f ca="1">IF(ve&gt;=1,"",VLOOKUP('CAPTURA DP'!B6,suma,3,0))</f>
        <v/>
      </c>
      <c r="M9" s="633"/>
      <c r="N9" s="634"/>
    </row>
    <row r="10" spans="1:18" ht="25" customHeight="1">
      <c r="A10" s="53"/>
      <c r="B10" s="643" t="s">
        <v>86</v>
      </c>
      <c r="C10" s="644"/>
      <c r="D10" s="644"/>
      <c r="E10" s="600" t="str">
        <f ca="1">IF(vo&gt;=1,"",CONCATENATE('CAPTURA DP'!C7,'CAPTURA DP'!D7))</f>
        <v/>
      </c>
      <c r="F10" s="600"/>
      <c r="G10" s="600"/>
      <c r="H10" s="600"/>
      <c r="I10" s="600" t="str">
        <f ca="1">IF(vp&gt;=1,"",IF(p=2,CONCATENATE("Nacional",TEXT('CAPTURA DP'!C7," 0,00")," Dlls."," Ext.",TEXT('CAPTURA DP'!E7," 0,00")," Dlls."),CONCATENATE('CAPTURA DP'!C7,'CAPTURA DP'!D7)))</f>
        <v/>
      </c>
      <c r="J10" s="600"/>
      <c r="K10" s="600"/>
      <c r="L10" s="600" t="str">
        <f ca="1">IF(ve&gt;=1,"",IF(p=2,"Nac.: 2,000 Dlls., Ext.:4,000 Dlls",CONCATENATE('CAPTURA DP'!C7,'CAPTURA DP'!D7)))</f>
        <v/>
      </c>
      <c r="M10" s="600"/>
      <c r="N10" s="601"/>
    </row>
    <row r="11" spans="1:18" ht="25" customHeight="1">
      <c r="A11" s="53"/>
      <c r="B11" s="643" t="s">
        <v>457</v>
      </c>
      <c r="C11" s="644"/>
      <c r="D11" s="644"/>
      <c r="E11" s="600" t="str">
        <f ca="1">IF(vo&gt;=1,"",IF(AND(p=1,'DATOS GENERALES'!C15="S",'CAPTURA DP'!C7&gt;=6),"Sí aplica Ded. en accidentes.","No aplica Ded. en accidentes"))</f>
        <v/>
      </c>
      <c r="F11" s="600"/>
      <c r="G11" s="600"/>
      <c r="H11" s="600"/>
      <c r="I11" s="600" t="str">
        <f ca="1">IF(vp&gt;=1,"",IF(AND(p=1,'DATOS GENERALES'!C15="S",'CAPTURA DP'!C7&gt;=6),"Sí aplica Ded. en accidentes.","No aplica Ded. en accidentes"))</f>
        <v/>
      </c>
      <c r="J11" s="600"/>
      <c r="K11" s="600"/>
      <c r="L11" s="600" t="str">
        <f ca="1">IF(ve&gt;=1,"",IF(AND(p=1,'DATOS GENERALES'!C15="S",'CAPTURA DP'!C7&gt;=6),"Sí aplica Ded. en accidentes.","No aplica Ded. en accidentes"))</f>
        <v/>
      </c>
      <c r="M11" s="600"/>
      <c r="N11" s="601"/>
    </row>
    <row r="12" spans="1:18" ht="25" customHeight="1">
      <c r="A12" s="53"/>
      <c r="B12" s="643" t="s">
        <v>439</v>
      </c>
      <c r="C12" s="644"/>
      <c r="D12" s="644"/>
      <c r="E12" s="600" t="str">
        <f ca="1">IF(vo&gt;=1,"",IF('DATOS GENERALES'!A20="",(IF(p=2,CONCATENATE('CAPTURA DP'!C8*100,"% con Tope de ",TEXT('CAPTURA DP'!C9,"###,##")," Dlls."),CONCATENATE('CAPTURA DP'!C8*100,"% con Tope de $ ",TEXT('CAPTURA DP'!C9,"###,##")," M.N."))),""))</f>
        <v/>
      </c>
      <c r="F12" s="600"/>
      <c r="G12" s="600"/>
      <c r="H12" s="600"/>
      <c r="I12" s="600" t="str">
        <f ca="1">IF(vp&gt;=1,"",IF('DATOS GENERALES'!A20="",(IF(p=2,CONCATENATE('CAPTURA DP'!C8*100,"% con Tope de ",TEXT('CAPTURA DP'!C9,"###,##")," Dlls."),CONCATENATE('CAPTURA DP'!C8*100,"% con Tope de $ ",TEXT('CAPTURA DP'!C9,"###,##")," M.N."))),""))</f>
        <v/>
      </c>
      <c r="J12" s="600"/>
      <c r="K12" s="600"/>
      <c r="L12" s="600" t="str">
        <f ca="1">IF(ve&gt;=1,"",IF('DATOS GENERALES'!A20="",(IF(p=2,CONCATENATE('CAPTURA DP'!C8*100,"% con Tope de ",TEXT('CAPTURA DP'!C9,"###,##")," Dlls."),CONCATENATE('CAPTURA DP'!C8*100,"% con Tope de $ ",TEXT('CAPTURA DP'!C9,"###,##")," M.N."))),""))</f>
        <v/>
      </c>
      <c r="M12" s="600"/>
      <c r="N12" s="601"/>
    </row>
    <row r="13" spans="1:18" ht="24.75" customHeight="1">
      <c r="A13" s="53"/>
      <c r="B13" s="622" t="s">
        <v>508</v>
      </c>
      <c r="C13" s="621"/>
      <c r="D13" s="621"/>
      <c r="E13" s="600" t="str">
        <f ca="1">IF(vo&gt;=1,"",VLOOKUP('CAPTURA DP'!B10,DATOS!$AV$4:$AX$7,3,0))</f>
        <v/>
      </c>
      <c r="F13" s="600"/>
      <c r="G13" s="600"/>
      <c r="H13" s="600"/>
      <c r="I13" s="600" t="str">
        <f ca="1">IF(vp&gt;=1,"",VLOOKUP('CAPTURA DP'!B10,DATOS!$AV$4:$AX$7,3,0))</f>
        <v/>
      </c>
      <c r="J13" s="600"/>
      <c r="K13" s="600"/>
      <c r="L13" s="600" t="str">
        <f ca="1">IF(ve&gt;=1,"",VLOOKUP('CAPTURA DP'!B10,DATOS!$AV$4:$AX$7,3,0))</f>
        <v/>
      </c>
      <c r="M13" s="600"/>
      <c r="N13" s="601"/>
    </row>
    <row r="14" spans="1:18" ht="25" customHeight="1">
      <c r="A14" s="53"/>
      <c r="B14" s="643" t="str">
        <f>+IF(p=2,"Cobertura en el extranjero","Emergencia en el extranjero")</f>
        <v>Emergencia en el extranjero</v>
      </c>
      <c r="C14" s="644"/>
      <c r="D14" s="644"/>
      <c r="E14" s="600" t="str">
        <f ca="1">IF(vo&gt;=1,"",(IF(p=2,"Amparada","SA 100,000 Dlls y Ded 100 Dlls")))</f>
        <v/>
      </c>
      <c r="F14" s="600"/>
      <c r="G14" s="600"/>
      <c r="H14" s="600"/>
      <c r="I14" s="600" t="str">
        <f ca="1">IF(vp&gt;=1,"",(IF(p=2,"Amparada","SA 100,000 Dlls y Ded 100 Dlls")))</f>
        <v/>
      </c>
      <c r="J14" s="600"/>
      <c r="K14" s="600"/>
      <c r="L14" s="600" t="str">
        <f ca="1">IF(ve&gt;=1,"",(IF(p=2,"Amparada","SA 100,000 Dlls y Ded 100 Dlls")))</f>
        <v/>
      </c>
      <c r="M14" s="600"/>
      <c r="N14" s="601"/>
    </row>
    <row r="15" spans="1:18" ht="24.75" customHeight="1">
      <c r="A15" s="53"/>
      <c r="B15" s="622" t="s">
        <v>458</v>
      </c>
      <c r="C15" s="621"/>
      <c r="D15" s="621"/>
      <c r="E15" s="600" t="str">
        <f ca="1">IF(vo&gt;=1,"",IF('CAPTURA DP'!F18="NO", "SA de 1,000,000 Dlls", "Excluida"))</f>
        <v/>
      </c>
      <c r="F15" s="600"/>
      <c r="G15" s="600"/>
      <c r="H15" s="600"/>
      <c r="I15" s="600" t="str">
        <f ca="1">IF(vp&gt;=1,"",IF('CAPTURA DP'!F18="NO", "SA de 1,000,000 Dlls", "Excluida"))</f>
        <v/>
      </c>
      <c r="J15" s="600"/>
      <c r="K15" s="600"/>
      <c r="L15" s="600" t="str">
        <f ca="1">IF(ve&gt;=1,"",IF('CAPTURA DP'!F18="NO", "SA de 1,000,000 Dlls", "Excluida"))</f>
        <v/>
      </c>
      <c r="M15" s="600"/>
      <c r="N15" s="601"/>
    </row>
    <row r="16" spans="1:18" ht="25" customHeight="1">
      <c r="A16" s="53"/>
      <c r="B16" s="622" t="str">
        <f>+IF(M&gt;=1,"Ayuda por maternidad","")</f>
        <v/>
      </c>
      <c r="C16" s="621"/>
      <c r="D16" s="621"/>
      <c r="E16" s="600" t="str">
        <f>+IF(M&gt;=1,IF(vo&gt;=1,"","SA de $ 18,000 MN"),"")</f>
        <v/>
      </c>
      <c r="F16" s="600"/>
      <c r="G16" s="600"/>
      <c r="H16" s="600"/>
      <c r="I16" s="600" t="str">
        <f>+IF(M&gt;=1,IF(vp&gt;=1,"",(IF(b=1,IF(p=2,"SA de $25,000 MN","SA de $ 19,000 MN"),IF(p=2,CONCATENATE("Con SA de $ ",TEXT(VLOOKUP('CAPTURA DP'!F16,MATERNIDAD,9,0),"###,###")," MN. "),CONCATENATE("Con SA de $ ",TEXT(VLOOKUP('CAPTURA DP'!F16,MATERNIDAD,(5+p),0),"###,###")," MN. "))))),"")</f>
        <v/>
      </c>
      <c r="J16" s="600"/>
      <c r="K16" s="600"/>
      <c r="L16" s="600" t="str">
        <f>+IF(M&gt;=1,IF(ve&gt;=1,"",IF(p=2,"SAde $25,000 MN","SA de $ 20,000 MN")),"")</f>
        <v/>
      </c>
      <c r="M16" s="600"/>
      <c r="N16" s="601"/>
    </row>
    <row r="17" spans="1:16" ht="25" customHeight="1">
      <c r="A17" s="53"/>
      <c r="B17" s="622" t="s">
        <v>462</v>
      </c>
      <c r="C17" s="621"/>
      <c r="D17" s="621"/>
      <c r="E17" s="600" t="str">
        <f ca="1">IF(vo&gt;=1,"",'CAPTURA DP'!D5)</f>
        <v/>
      </c>
      <c r="F17" s="600"/>
      <c r="G17" s="600"/>
      <c r="H17" s="600"/>
      <c r="I17" s="600" t="str">
        <f ca="1">IF(vp&gt;=1,"",'CAPTURA DP'!D5)</f>
        <v/>
      </c>
      <c r="J17" s="600"/>
      <c r="K17" s="600"/>
      <c r="L17" s="600" t="str">
        <f ca="1">IF(ve&gt;=1,"",'CAPTURA DP'!D5)</f>
        <v/>
      </c>
      <c r="M17" s="600"/>
      <c r="N17" s="601"/>
    </row>
    <row r="18" spans="1:16" ht="25" customHeight="1" thickBot="1">
      <c r="A18" s="53"/>
      <c r="B18" s="638"/>
      <c r="C18" s="639"/>
      <c r="D18" s="639"/>
      <c r="E18" s="602" t="str">
        <f ca="1">IF(vo&gt;=1,"",IF('CAPTURA DP'!$E$5=0,"","Aplica Endoso de Regionalización"))</f>
        <v/>
      </c>
      <c r="F18" s="602"/>
      <c r="G18" s="602"/>
      <c r="H18" s="602"/>
      <c r="I18" s="602" t="str">
        <f ca="1">IF(vp&gt;=1,"",IF('CAPTURA DP'!$E$5=0,"","Aplica Endoso de Regionalización"))</f>
        <v/>
      </c>
      <c r="J18" s="602"/>
      <c r="K18" s="602"/>
      <c r="L18" s="602" t="str">
        <f ca="1">IF(ve&gt;=1,"",IF('CAPTURA DP'!$E$5=0,"","Aplica Endoso de Regionalización"))</f>
        <v/>
      </c>
      <c r="M18" s="602"/>
      <c r="N18" s="603"/>
    </row>
    <row r="19" spans="1:16" ht="12" customHeight="1" thickTop="1">
      <c r="A19" s="53"/>
      <c r="B19" s="336"/>
      <c r="C19" s="336"/>
      <c r="D19" s="336"/>
      <c r="E19" s="205"/>
      <c r="F19" s="205"/>
      <c r="G19" s="205"/>
      <c r="H19" s="205"/>
      <c r="I19" s="205"/>
      <c r="J19" s="205"/>
      <c r="K19" s="205"/>
      <c r="L19" s="205"/>
      <c r="M19" s="205"/>
      <c r="N19" s="205"/>
    </row>
    <row r="20" spans="1:16" ht="25" customHeight="1">
      <c r="A20" s="53"/>
      <c r="B20" s="636" t="s">
        <v>486</v>
      </c>
      <c r="C20" s="636"/>
      <c r="D20" s="636"/>
      <c r="E20" s="636"/>
      <c r="F20" s="636"/>
      <c r="G20" s="636"/>
      <c r="H20" s="636"/>
      <c r="I20" s="636"/>
      <c r="J20" s="636"/>
      <c r="K20" s="636"/>
      <c r="L20" s="636"/>
      <c r="M20" s="636"/>
      <c r="N20" s="636"/>
    </row>
    <row r="21" spans="1:16" ht="12" customHeight="1" thickBot="1">
      <c r="A21" s="53"/>
      <c r="B21" s="336"/>
      <c r="C21" s="336"/>
      <c r="D21" s="336"/>
      <c r="E21" s="205"/>
      <c r="F21" s="205"/>
      <c r="G21" s="205"/>
      <c r="H21" s="205"/>
      <c r="I21" s="205"/>
      <c r="J21" s="205"/>
      <c r="K21" s="205"/>
      <c r="L21" s="205"/>
      <c r="M21" s="205"/>
      <c r="N21" s="205"/>
    </row>
    <row r="22" spans="1:16" ht="40" customHeight="1" thickTop="1">
      <c r="A22" s="53"/>
      <c r="B22" s="641" t="s">
        <v>319</v>
      </c>
      <c r="C22" s="616"/>
      <c r="D22" s="394" t="str">
        <f>IF('CAPTURA DP'!$G$9="si",CONCATENATE("Amparada Con Suma Asegurada de $ ",TEXT('CAPTURA DP'!G10,"###,###")," M.N."),"Excluida")</f>
        <v>Excluida</v>
      </c>
      <c r="E22" s="395"/>
      <c r="F22" s="396"/>
      <c r="G22" s="396"/>
      <c r="H22" s="372"/>
      <c r="I22" s="372"/>
      <c r="J22" s="397" t="s">
        <v>87</v>
      </c>
      <c r="K22" s="398" t="str">
        <f>IF('CAPTURA DP'!C13="SI","Amparada","Excluida")</f>
        <v>Excluida</v>
      </c>
      <c r="L22" s="398"/>
      <c r="M22" s="398"/>
      <c r="N22" s="399"/>
    </row>
    <row r="23" spans="1:16" ht="40" customHeight="1" thickBot="1">
      <c r="A23" s="53"/>
      <c r="B23" s="642" t="s">
        <v>351</v>
      </c>
      <c r="C23" s="635"/>
      <c r="D23" s="400" t="str">
        <f>IF('CAPTURA DP'!$G$12="si",CONCATENATE("Amparada Con Suma Asegurada de $ ",TEXT('CAPTURA DP'!G13,"###,###")," M.N."),"Excluida")</f>
        <v>Excluida</v>
      </c>
      <c r="E23" s="401"/>
      <c r="F23" s="402"/>
      <c r="G23" s="402"/>
      <c r="H23" s="392"/>
      <c r="I23" s="392"/>
      <c r="J23" s="403" t="str">
        <f>IF(p=2,"","Recuperacion Activa")</f>
        <v>Recuperacion Activa</v>
      </c>
      <c r="K23" s="637" t="str">
        <f>IF(p=2,"",IF('CAPTURA DP'!G26="SI","Amparada con SA de  $ "&amp;'CAPTURA DP'!G27,"Excluida"))</f>
        <v>Excluida</v>
      </c>
      <c r="L23" s="637"/>
      <c r="M23" s="637"/>
      <c r="N23" s="404"/>
    </row>
    <row r="24" spans="1:16" ht="12" customHeight="1" thickTop="1">
      <c r="A24" s="53"/>
      <c r="F24" s="340"/>
      <c r="G24" s="340"/>
      <c r="H24" s="340"/>
      <c r="I24" s="340"/>
      <c r="J24" s="340"/>
      <c r="K24" s="340"/>
      <c r="L24" s="340"/>
      <c r="M24" s="340"/>
      <c r="N24" s="340"/>
    </row>
    <row r="25" spans="1:16" ht="25" customHeight="1">
      <c r="A25" s="53"/>
      <c r="B25" s="636" t="s">
        <v>487</v>
      </c>
      <c r="C25" s="636"/>
      <c r="D25" s="636"/>
      <c r="E25" s="636"/>
      <c r="F25" s="636"/>
      <c r="G25" s="636"/>
      <c r="H25" s="636"/>
      <c r="I25" s="636"/>
      <c r="J25" s="636"/>
      <c r="K25" s="636"/>
      <c r="L25" s="636"/>
      <c r="M25" s="636"/>
      <c r="N25" s="636"/>
    </row>
    <row r="26" spans="1:16" ht="12" customHeight="1" thickBot="1">
      <c r="A26" s="53"/>
      <c r="B26" s="336"/>
      <c r="C26" s="336"/>
      <c r="D26" s="336"/>
      <c r="E26" s="205"/>
      <c r="F26" s="205"/>
      <c r="G26" s="205"/>
      <c r="H26" s="205"/>
      <c r="I26" s="205"/>
      <c r="J26" s="205"/>
      <c r="K26" s="205"/>
      <c r="L26" s="205"/>
      <c r="M26" s="205"/>
      <c r="N26" s="205"/>
    </row>
    <row r="27" spans="1:16" ht="43.5" customHeight="1" thickTop="1">
      <c r="A27" s="53"/>
      <c r="B27" s="630" t="s">
        <v>448</v>
      </c>
      <c r="C27" s="631"/>
      <c r="D27" s="624" t="s">
        <v>450</v>
      </c>
      <c r="E27" s="624"/>
      <c r="F27" s="624"/>
      <c r="G27" s="624"/>
      <c r="H27" s="624"/>
      <c r="I27" s="624"/>
      <c r="J27" s="624"/>
      <c r="K27" s="624"/>
      <c r="L27" s="624"/>
      <c r="M27" s="624"/>
      <c r="N27" s="625"/>
    </row>
    <row r="28" spans="1:16" ht="24" customHeight="1">
      <c r="A28" s="53"/>
      <c r="B28" s="619" t="s">
        <v>449</v>
      </c>
      <c r="C28" s="620"/>
      <c r="D28" s="626" t="s">
        <v>464</v>
      </c>
      <c r="E28" s="626"/>
      <c r="F28" s="626"/>
      <c r="G28" s="626"/>
      <c r="H28" s="626"/>
      <c r="I28" s="626"/>
      <c r="J28" s="626"/>
      <c r="K28" s="626"/>
      <c r="L28" s="626"/>
      <c r="M28" s="626"/>
      <c r="N28" s="627"/>
      <c r="P28" s="349"/>
    </row>
    <row r="29" spans="1:16" ht="59.25" customHeight="1">
      <c r="A29" s="53"/>
      <c r="B29" s="619" t="s">
        <v>480</v>
      </c>
      <c r="C29" s="620"/>
      <c r="D29" s="626" t="s">
        <v>451</v>
      </c>
      <c r="E29" s="626"/>
      <c r="F29" s="626"/>
      <c r="G29" s="626"/>
      <c r="H29" s="626"/>
      <c r="I29" s="626"/>
      <c r="J29" s="626"/>
      <c r="K29" s="626"/>
      <c r="L29" s="626"/>
      <c r="M29" s="626"/>
      <c r="N29" s="627"/>
    </row>
    <row r="30" spans="1:16" ht="59.25" customHeight="1" thickBot="1">
      <c r="A30" s="53"/>
      <c r="B30" s="608" t="s">
        <v>399</v>
      </c>
      <c r="C30" s="609"/>
      <c r="D30" s="628" t="s">
        <v>465</v>
      </c>
      <c r="E30" s="628"/>
      <c r="F30" s="628"/>
      <c r="G30" s="628"/>
      <c r="H30" s="628"/>
      <c r="I30" s="628"/>
      <c r="J30" s="628"/>
      <c r="K30" s="628"/>
      <c r="L30" s="628"/>
      <c r="M30" s="628"/>
      <c r="N30" s="629"/>
    </row>
    <row r="31" spans="1:16" ht="12" customHeight="1" thickTop="1">
      <c r="A31" s="53"/>
      <c r="B31" s="343"/>
      <c r="C31" s="343"/>
      <c r="D31" s="343"/>
      <c r="E31" s="340"/>
      <c r="F31" s="340"/>
      <c r="G31" s="340"/>
      <c r="H31" s="340"/>
      <c r="I31" s="340"/>
      <c r="J31" s="340"/>
      <c r="K31" s="340"/>
      <c r="L31" s="340"/>
      <c r="M31" s="340"/>
      <c r="N31" s="340"/>
    </row>
    <row r="32" spans="1:16" ht="25" customHeight="1">
      <c r="A32" s="53"/>
      <c r="B32" s="636" t="s">
        <v>488</v>
      </c>
      <c r="C32" s="636"/>
      <c r="D32" s="636"/>
      <c r="E32" s="636"/>
      <c r="F32" s="636"/>
      <c r="G32" s="636"/>
      <c r="H32" s="636"/>
      <c r="I32" s="636"/>
      <c r="J32" s="636"/>
      <c r="K32" s="636"/>
      <c r="L32" s="636"/>
      <c r="M32" s="636"/>
      <c r="N32" s="636"/>
    </row>
    <row r="33" spans="1:14" ht="12" customHeight="1" thickBot="1">
      <c r="A33" s="53"/>
      <c r="B33" s="341"/>
      <c r="C33" s="341"/>
      <c r="D33" s="341"/>
      <c r="E33" s="342"/>
      <c r="F33" s="342"/>
      <c r="G33" s="342"/>
      <c r="H33" s="342"/>
      <c r="I33" s="342"/>
      <c r="J33" s="342"/>
      <c r="K33" s="342"/>
      <c r="L33" s="342"/>
      <c r="M33" s="342"/>
      <c r="N33" s="342"/>
    </row>
    <row r="34" spans="1:14" ht="24" customHeight="1" thickTop="1">
      <c r="A34" s="53"/>
      <c r="B34" s="630" t="s">
        <v>466</v>
      </c>
      <c r="C34" s="631"/>
      <c r="D34" s="631"/>
      <c r="E34" s="616" t="s">
        <v>537</v>
      </c>
      <c r="F34" s="616"/>
      <c r="G34" s="616"/>
      <c r="H34" s="640" t="s">
        <v>452</v>
      </c>
      <c r="I34" s="640"/>
      <c r="J34" s="640"/>
      <c r="K34" s="640" t="s">
        <v>475</v>
      </c>
      <c r="L34" s="640"/>
      <c r="M34" s="640"/>
      <c r="N34" s="405"/>
    </row>
    <row r="35" spans="1:14" ht="24" customHeight="1">
      <c r="A35" s="53"/>
      <c r="B35" s="619" t="s">
        <v>467</v>
      </c>
      <c r="C35" s="620"/>
      <c r="D35" s="620"/>
      <c r="E35" s="621" t="s">
        <v>470</v>
      </c>
      <c r="F35" s="621"/>
      <c r="G35" s="621"/>
      <c r="H35" s="618" t="s">
        <v>473</v>
      </c>
      <c r="I35" s="618"/>
      <c r="J35" s="618"/>
      <c r="K35" s="618" t="s">
        <v>476</v>
      </c>
      <c r="L35" s="618"/>
      <c r="M35" s="618"/>
      <c r="N35" s="406"/>
    </row>
    <row r="36" spans="1:14" ht="24" customHeight="1">
      <c r="A36" s="53"/>
      <c r="B36" s="619" t="s">
        <v>468</v>
      </c>
      <c r="C36" s="620"/>
      <c r="D36" s="620"/>
      <c r="E36" s="621" t="s">
        <v>471</v>
      </c>
      <c r="F36" s="621"/>
      <c r="G36" s="621"/>
      <c r="H36" s="618" t="s">
        <v>474</v>
      </c>
      <c r="I36" s="618"/>
      <c r="J36" s="618"/>
      <c r="K36" s="618" t="s">
        <v>477</v>
      </c>
      <c r="L36" s="618"/>
      <c r="M36" s="618"/>
      <c r="N36" s="406"/>
    </row>
    <row r="37" spans="1:14" ht="48" customHeight="1" thickBot="1">
      <c r="A37" s="53"/>
      <c r="B37" s="608" t="s">
        <v>469</v>
      </c>
      <c r="C37" s="609"/>
      <c r="D37" s="609"/>
      <c r="E37" s="635" t="s">
        <v>472</v>
      </c>
      <c r="F37" s="635"/>
      <c r="G37" s="635"/>
      <c r="H37" s="617" t="s">
        <v>481</v>
      </c>
      <c r="I37" s="617"/>
      <c r="J37" s="617"/>
      <c r="K37" s="617" t="str">
        <f>+IF(H&gt;=1,"Circuncisión
","")</f>
        <v/>
      </c>
      <c r="L37" s="617"/>
      <c r="M37" s="617"/>
      <c r="N37" s="407"/>
    </row>
    <row r="38" spans="1:14" ht="12" customHeight="1" thickTop="1">
      <c r="A38" s="53"/>
      <c r="B38" s="354"/>
      <c r="C38" s="354"/>
      <c r="D38" s="354"/>
      <c r="E38" s="356"/>
      <c r="F38" s="356"/>
      <c r="G38" s="356"/>
      <c r="H38" s="353"/>
      <c r="I38" s="353"/>
      <c r="J38" s="353"/>
      <c r="K38" s="353"/>
      <c r="L38" s="353"/>
      <c r="M38" s="353"/>
      <c r="N38" s="353"/>
    </row>
    <row r="39" spans="1:14" ht="25" customHeight="1">
      <c r="A39" s="53"/>
      <c r="B39" s="636" t="s">
        <v>489</v>
      </c>
      <c r="C39" s="636"/>
      <c r="D39" s="636"/>
      <c r="E39" s="636"/>
      <c r="F39" s="636"/>
      <c r="G39" s="636"/>
      <c r="H39" s="636"/>
      <c r="I39" s="636"/>
      <c r="J39" s="636"/>
      <c r="K39" s="636"/>
      <c r="L39" s="636"/>
      <c r="M39" s="636"/>
      <c r="N39" s="636"/>
    </row>
    <row r="40" spans="1:14" ht="12" customHeight="1" thickBot="1">
      <c r="A40" s="53"/>
      <c r="B40" s="341"/>
      <c r="C40" s="341"/>
      <c r="D40" s="341"/>
      <c r="E40" s="342"/>
      <c r="F40" s="342"/>
      <c r="G40" s="342"/>
      <c r="H40" s="342"/>
      <c r="I40" s="342"/>
      <c r="J40" s="342"/>
      <c r="K40" s="342"/>
      <c r="L40" s="342"/>
      <c r="M40" s="342"/>
      <c r="N40" s="342"/>
    </row>
    <row r="41" spans="1:14" ht="21" customHeight="1" thickTop="1">
      <c r="A41" s="53"/>
      <c r="B41" s="672" t="s">
        <v>478</v>
      </c>
      <c r="C41" s="673"/>
      <c r="D41" s="673"/>
      <c r="E41" s="673"/>
      <c r="F41" s="673"/>
      <c r="G41" s="673"/>
      <c r="H41" s="673"/>
      <c r="I41" s="673"/>
      <c r="J41" s="673"/>
      <c r="K41" s="673"/>
      <c r="L41" s="673"/>
      <c r="M41" s="673"/>
      <c r="N41" s="674"/>
    </row>
    <row r="42" spans="1:14" ht="39.75" customHeight="1">
      <c r="A42" s="53"/>
      <c r="B42" s="612" t="s">
        <v>528</v>
      </c>
      <c r="C42" s="613"/>
      <c r="D42" s="613"/>
      <c r="E42" s="613"/>
      <c r="F42" s="613"/>
      <c r="G42" s="613"/>
      <c r="H42" s="613"/>
      <c r="I42" s="613"/>
      <c r="J42" s="613"/>
      <c r="K42" s="613"/>
      <c r="L42" s="613"/>
      <c r="M42" s="613"/>
      <c r="N42" s="675"/>
    </row>
    <row r="43" spans="1:14" ht="21" customHeight="1">
      <c r="A43" s="53"/>
      <c r="B43" s="612" t="s">
        <v>479</v>
      </c>
      <c r="C43" s="613"/>
      <c r="D43" s="613"/>
      <c r="E43" s="613"/>
      <c r="F43" s="613"/>
      <c r="G43" s="613"/>
      <c r="H43" s="613"/>
      <c r="I43" s="613"/>
      <c r="J43" s="613"/>
      <c r="K43" s="613"/>
      <c r="L43" s="613"/>
      <c r="M43" s="613"/>
      <c r="N43" s="675"/>
    </row>
    <row r="44" spans="1:14" ht="21" customHeight="1">
      <c r="A44" s="53"/>
      <c r="B44" s="612" t="s">
        <v>463</v>
      </c>
      <c r="C44" s="613"/>
      <c r="D44" s="613"/>
      <c r="E44" s="613"/>
      <c r="F44" s="613"/>
      <c r="G44" s="613"/>
      <c r="H44" s="613"/>
      <c r="I44" s="613"/>
      <c r="J44" s="613"/>
      <c r="K44" s="613"/>
      <c r="L44" s="613"/>
      <c r="M44" s="613"/>
      <c r="N44" s="408"/>
    </row>
    <row r="45" spans="1:14" ht="21" customHeight="1">
      <c r="A45" s="53"/>
      <c r="B45" s="612" t="s">
        <v>459</v>
      </c>
      <c r="C45" s="613"/>
      <c r="D45" s="613"/>
      <c r="E45" s="613"/>
      <c r="F45" s="613"/>
      <c r="G45" s="613"/>
      <c r="H45" s="613"/>
      <c r="I45" s="613"/>
      <c r="J45" s="613"/>
      <c r="K45" s="613"/>
      <c r="L45" s="613"/>
      <c r="M45" s="613"/>
      <c r="N45" s="408"/>
    </row>
    <row r="46" spans="1:14" ht="63" customHeight="1" thickBot="1">
      <c r="A46" s="53"/>
      <c r="B46" s="610" t="s">
        <v>460</v>
      </c>
      <c r="C46" s="611"/>
      <c r="D46" s="611"/>
      <c r="E46" s="611"/>
      <c r="F46" s="611"/>
      <c r="G46" s="611"/>
      <c r="H46" s="611"/>
      <c r="I46" s="611"/>
      <c r="J46" s="611"/>
      <c r="K46" s="611"/>
      <c r="L46" s="611"/>
      <c r="M46" s="611"/>
      <c r="N46" s="409"/>
    </row>
    <row r="47" spans="1:14" ht="12" customHeight="1" thickTop="1">
      <c r="A47" s="53"/>
      <c r="B47" s="343"/>
      <c r="C47" s="343"/>
      <c r="D47" s="343"/>
      <c r="E47" s="344"/>
      <c r="F47" s="344"/>
      <c r="G47" s="344"/>
      <c r="H47" s="344"/>
      <c r="I47" s="344"/>
      <c r="J47" s="344"/>
      <c r="K47" s="344"/>
      <c r="L47" s="344"/>
      <c r="M47" s="344"/>
      <c r="N47" s="344"/>
    </row>
    <row r="48" spans="1:14" ht="25" customHeight="1">
      <c r="A48" s="53"/>
      <c r="B48" s="636" t="s">
        <v>490</v>
      </c>
      <c r="C48" s="636"/>
      <c r="D48" s="636"/>
      <c r="E48" s="636"/>
      <c r="F48" s="636"/>
      <c r="G48" s="636"/>
      <c r="H48" s="636"/>
      <c r="I48" s="636"/>
      <c r="J48" s="636"/>
      <c r="K48" s="636"/>
      <c r="L48" s="636"/>
      <c r="M48" s="636"/>
      <c r="N48" s="636"/>
    </row>
    <row r="49" spans="1:25" ht="30" customHeight="1" thickBot="1">
      <c r="A49" s="53"/>
      <c r="B49" s="345"/>
      <c r="C49" s="199"/>
      <c r="D49" s="199"/>
      <c r="E49" s="203"/>
      <c r="F49" s="203"/>
      <c r="G49" s="358" t="str">
        <f ca="1">IF(vo&gt;=1,"","Plan Óptimo")</f>
        <v/>
      </c>
      <c r="H49" s="347"/>
      <c r="I49" s="347"/>
      <c r="J49" s="358" t="str">
        <f ca="1">IF(vp&gt;=1,"",IF(p=1,"Plan Plus","Plan Mundial"))</f>
        <v/>
      </c>
      <c r="K49" s="347"/>
      <c r="L49" s="347"/>
      <c r="M49" s="358" t="str">
        <f ca="1">IF(ve&gt;=1,"","Plan Elite")</f>
        <v/>
      </c>
      <c r="N49" s="358"/>
      <c r="O49" s="346"/>
      <c r="P49" s="345"/>
    </row>
    <row r="50" spans="1:25" ht="16" thickTop="1">
      <c r="A50" s="53"/>
      <c r="B50" s="370"/>
      <c r="C50" s="371" t="s">
        <v>17</v>
      </c>
      <c r="D50" s="371" t="s">
        <v>240</v>
      </c>
      <c r="E50" s="372"/>
      <c r="F50" s="373"/>
      <c r="G50" s="372"/>
      <c r="H50" s="373"/>
      <c r="I50" s="372"/>
      <c r="J50" s="372"/>
      <c r="K50" s="373"/>
      <c r="L50" s="372"/>
      <c r="M50" s="372"/>
      <c r="N50" s="374"/>
      <c r="T50" s="275"/>
      <c r="U50" s="275"/>
      <c r="V50" s="60"/>
      <c r="W50" s="60"/>
      <c r="X50" s="276"/>
      <c r="Y50" s="274"/>
    </row>
    <row r="51" spans="1:25" ht="17">
      <c r="A51" s="56"/>
      <c r="B51" s="375" t="str">
        <f>IF(AND('CAPTURA LISTADO'!B7&gt;max,OR(AND(p=1,'CAPTURA DP'!$B$6&gt;13),(p=2))),1,"")</f>
        <v/>
      </c>
      <c r="C51" s="362" t="str">
        <f>IF('CAPTURA LISTADO'!B7="","",(IF(B51="",'CAPTURA LISTADO'!B7,"")))</f>
        <v/>
      </c>
      <c r="D51" s="362" t="str">
        <f>UPPER(IF('CAPTURA LISTADO'!B7="","",(IF(B51="",'CAPTURA LISTADO'!D7,""))))</f>
        <v/>
      </c>
      <c r="E51" s="363"/>
      <c r="F51" s="363"/>
      <c r="G51" s="350" t="str">
        <f ca="1">(IF(OR('CAPTURA LISTADO'!B7="",B51=1,vo&gt;=1),"",VLOOKUP(C51,PRIMA_N,VLOOKUP(1,pcosto,IF(D51="m",2,3),0),0)/VLOOKUP(C51,PRIMA_N,IF(D51="m",2,3),0)))</f>
        <v/>
      </c>
      <c r="H51" s="363"/>
      <c r="I51" s="363"/>
      <c r="J51" s="350" t="str">
        <f ca="1">IF(b=1,(IF(OR('CAPTURA LISTADO'!B7="",B51=1,$I$9="no aplica SA",vp&gt;=1),"",VLOOKUP(C51,PRIMA_N,VLOOKUP(IF(p=1,2,6),pcosto,IF(D51="m",2,3),0),0)/VLOOKUP(C51,PRIMA_N,IF(D51="m",2,3),0))),(IF(OR('CAPTURA LISTADO'!B7="",B51=1),"",VLOOKUP(C51,PRIMA_N,VLOOKUP(p,pcosto,IF(D51="m",2,3),0),0)/VLOOKUP(C51,PRIMA_N,IF(D51="m",2,3),0))))</f>
        <v/>
      </c>
      <c r="K51" s="350"/>
      <c r="L51" s="350"/>
      <c r="M51" s="350" t="str">
        <f ca="1">(IF(OR('CAPTURA LISTADO'!B7="",B51=1,ve&gt;=1),"",VLOOKUP(C51,PRIMA_N,VLOOKUP(3,pcosto,IF(D51="m",2,3),0),0)/VLOOKUP(C51,PRIMA_N,IF(D51="m",2,3),0)))</f>
        <v/>
      </c>
      <c r="N51" s="376"/>
      <c r="T51" s="275"/>
      <c r="U51" s="60"/>
      <c r="V51" s="276"/>
      <c r="W51" s="277"/>
      <c r="X51" s="277"/>
      <c r="Y51" s="190"/>
    </row>
    <row r="52" spans="1:25" ht="17">
      <c r="A52" s="53"/>
      <c r="B52" s="375" t="str">
        <f>IF(AND('CAPTURA LISTADO'!B8&gt;max,OR(AND(p=1,'CAPTURA DP'!$B$6&gt;13),(p=2))),1,"")</f>
        <v/>
      </c>
      <c r="C52" s="362" t="str">
        <f>IF('CAPTURA LISTADO'!B8="","",(IF(B52="",'CAPTURA LISTADO'!B8,"")))</f>
        <v/>
      </c>
      <c r="D52" s="362" t="str">
        <f>UPPER(IF('CAPTURA LISTADO'!B8="","",(IF(B52="",'CAPTURA LISTADO'!D8,""))))</f>
        <v/>
      </c>
      <c r="E52" s="363"/>
      <c r="F52" s="363"/>
      <c r="G52" s="350" t="str">
        <f ca="1">(IF(OR('CAPTURA LISTADO'!B8="",B52=1,vo&gt;=1),"",VLOOKUP(C52,PRIMA_N,VLOOKUP(1,pcosto,IF(D52="m",2,3),0),0)/VLOOKUP(C52,PRIMA_N,IF(D52="m",2,3),0)))</f>
        <v/>
      </c>
      <c r="H52" s="363"/>
      <c r="I52" s="363"/>
      <c r="J52" s="350" t="str">
        <f ca="1">IF(b=1,(IF(OR('CAPTURA LISTADO'!B8="",B52=1,$I$9="no aplica SA",vp&gt;=1),"",VLOOKUP(C52,PRIMA_N,VLOOKUP(IF(p=1,2,6),pcosto,IF(D52="m",2,3),0),0)/VLOOKUP(C52,PRIMA_N,IF(D52="m",2,3),0))),(IF(OR('CAPTURA LISTADO'!B8="",B52=1),"",VLOOKUP(C52,PRIMA_N,VLOOKUP(p,pcosto,IF(D52="m",2,3),0),0)/VLOOKUP(C52,PRIMA_N,IF(D52="m",2,3),0))))</f>
        <v/>
      </c>
      <c r="K52" s="350"/>
      <c r="L52" s="350"/>
      <c r="M52" s="350" t="str">
        <f ca="1">(IF(OR('CAPTURA LISTADO'!B8="",B52=1,ve&gt;=1),"",VLOOKUP(C52,PRIMA_N,VLOOKUP(3,pcosto,IF(D52="m",2,3),0),0)/VLOOKUP(C52,PRIMA_N,IF(D52="m",2,3),0)))</f>
        <v/>
      </c>
      <c r="N52" s="376"/>
      <c r="T52" s="275"/>
      <c r="U52" s="60"/>
      <c r="V52" s="276"/>
      <c r="W52" s="277"/>
      <c r="X52" s="277"/>
      <c r="Y52" s="190"/>
    </row>
    <row r="53" spans="1:25" ht="17">
      <c r="A53" s="53"/>
      <c r="B53" s="375" t="str">
        <f>IF(AND('CAPTURA LISTADO'!B9&gt;max,OR(AND(p=1,'CAPTURA DP'!$B$6&gt;13),(p=2))),1,"")</f>
        <v/>
      </c>
      <c r="C53" s="362" t="str">
        <f>IF('CAPTURA LISTADO'!B9="","",(IF(B53="",'CAPTURA LISTADO'!B9,"")))</f>
        <v/>
      </c>
      <c r="D53" s="362" t="str">
        <f>UPPER(IF('CAPTURA LISTADO'!B9="","",(IF(B53="",'CAPTURA LISTADO'!D9,""))))</f>
        <v/>
      </c>
      <c r="E53" s="363"/>
      <c r="F53" s="363"/>
      <c r="G53" s="350" t="str">
        <f ca="1">(IF(OR('CAPTURA LISTADO'!B9="",B53=1,vo&gt;=1),"",VLOOKUP(C53,PRIMA_N,VLOOKUP(1,pcosto,IF(D53="m",2,3),0),0)/VLOOKUP(C53,PRIMA_N,IF(D53="m",2,3),0)))</f>
        <v/>
      </c>
      <c r="H53" s="363"/>
      <c r="I53" s="363"/>
      <c r="J53" s="350" t="str">
        <f ca="1">IF(b=1,(IF(OR('CAPTURA LISTADO'!B9="",B53=1,$I$9="no aplica SA",vp&gt;=1),"",VLOOKUP(C53,PRIMA_N,VLOOKUP(IF(p=1,2,6),pcosto,IF(D53="m",2,3),0),0)/VLOOKUP(C53,PRIMA_N,IF(D53="m",2,3),0))),(IF(OR('CAPTURA LISTADO'!B9="",B53=1),"",VLOOKUP(C53,PRIMA_N,VLOOKUP(p,pcosto,IF(D53="m",2,3),0),0)/VLOOKUP(C53,PRIMA_N,IF(D53="m",2,3),0))))</f>
        <v/>
      </c>
      <c r="K53" s="350"/>
      <c r="L53" s="350"/>
      <c r="M53" s="350" t="str">
        <f ca="1">(IF(OR('CAPTURA LISTADO'!B9="",B53=1,ve&gt;=1),"",VLOOKUP(C53,PRIMA_N,VLOOKUP(3,pcosto,IF(D53="m",2,3),0),0)/VLOOKUP(C53,PRIMA_N,IF(D53="m",2,3),0)))</f>
        <v/>
      </c>
      <c r="N53" s="376"/>
      <c r="T53" s="275"/>
      <c r="U53" s="60"/>
      <c r="V53" s="276"/>
      <c r="W53" s="277"/>
      <c r="X53" s="277"/>
      <c r="Y53" s="190"/>
    </row>
    <row r="54" spans="1:25" ht="17">
      <c r="A54" s="53"/>
      <c r="B54" s="375" t="str">
        <f>IF(AND('CAPTURA LISTADO'!B10&gt;max,OR(AND(p=1,'CAPTURA DP'!$B$6&gt;13),(p=2))),1,"")</f>
        <v/>
      </c>
      <c r="C54" s="362" t="str">
        <f>IF('CAPTURA LISTADO'!B10="","",(IF(B54="",'CAPTURA LISTADO'!B10,"")))</f>
        <v/>
      </c>
      <c r="D54" s="362" t="str">
        <f>UPPER(IF('CAPTURA LISTADO'!B10="","",(IF(B54="",'CAPTURA LISTADO'!D10,""))))</f>
        <v/>
      </c>
      <c r="E54" s="363"/>
      <c r="F54" s="363"/>
      <c r="G54" s="350" t="str">
        <f ca="1">(IF(OR('CAPTURA LISTADO'!B10="",B54=1,vo&gt;=1),"",VLOOKUP(C54,PRIMA_N,VLOOKUP(1,pcosto,IF(D54="m",2,3),0),0)/VLOOKUP(C54,PRIMA_N,IF(D54="m",2,3),0)))</f>
        <v/>
      </c>
      <c r="H54" s="363"/>
      <c r="I54" s="363"/>
      <c r="J54" s="350" t="str">
        <f ca="1">IF(b=1,(IF(OR('CAPTURA LISTADO'!B10="",B54=1,$I$9="no aplica SA",vp&gt;=1),"",VLOOKUP(C54,PRIMA_N,VLOOKUP(IF(p=1,2,6),pcosto,IF(D54="m",2,3),0),0)/VLOOKUP(C54,PRIMA_N,IF(D54="m",2,3),0))),(IF(OR('CAPTURA LISTADO'!B10="",B54=1),"",VLOOKUP(C54,PRIMA_N,VLOOKUP(p,pcosto,IF(D54="m",2,3),0),0)/VLOOKUP(C54,PRIMA_N,IF(D54="m",2,3),0))))</f>
        <v/>
      </c>
      <c r="K54" s="350"/>
      <c r="L54" s="350"/>
      <c r="M54" s="350" t="str">
        <f ca="1">(IF(OR('CAPTURA LISTADO'!B10="",B54=1,ve&gt;=1),"",VLOOKUP(C54,PRIMA_N,VLOOKUP(3,pcosto,IF(D54="m",2,3),0),0)/VLOOKUP(C54,PRIMA_N,IF(D54="m",2,3),0)))</f>
        <v/>
      </c>
      <c r="N54" s="376"/>
      <c r="T54" s="275"/>
      <c r="U54" s="60"/>
      <c r="V54" s="276"/>
      <c r="W54" s="277"/>
      <c r="X54" s="277"/>
      <c r="Y54" s="190"/>
    </row>
    <row r="55" spans="1:25" ht="17">
      <c r="A55" s="53"/>
      <c r="B55" s="375" t="str">
        <f>IF(AND('CAPTURA LISTADO'!B11&gt;max,OR(AND(p=1,'CAPTURA DP'!$B$6&gt;13),(p=2))),1,"")</f>
        <v/>
      </c>
      <c r="C55" s="362" t="str">
        <f>IF('CAPTURA LISTADO'!B11="","",(IF(B55="",'CAPTURA LISTADO'!B11,"")))</f>
        <v/>
      </c>
      <c r="D55" s="362" t="str">
        <f>UPPER(IF('CAPTURA LISTADO'!B11="","",(IF(B55="",'CAPTURA LISTADO'!D11,""))))</f>
        <v/>
      </c>
      <c r="E55" s="363"/>
      <c r="F55" s="363"/>
      <c r="G55" s="350" t="str">
        <f ca="1">(IF(OR('CAPTURA LISTADO'!B11="",B55=1,vo&gt;=1),"",VLOOKUP(C55,PRIMA_N,VLOOKUP(1,pcosto,IF(D55="m",2,3),0),0)/VLOOKUP(C55,PRIMA_N,IF(D55="m",2,3),0)))</f>
        <v/>
      </c>
      <c r="H55" s="363"/>
      <c r="I55" s="363"/>
      <c r="J55" s="350" t="str">
        <f ca="1">IF(b=1,(IF(OR('CAPTURA LISTADO'!B11="",B55=1,$I$9="no aplica SA",vp&gt;=1),"",VLOOKUP(C55,PRIMA_N,VLOOKUP(IF(p=1,2,6),pcosto,IF(D55="m",2,3),0),0)/VLOOKUP(C55,PRIMA_N,IF(D55="m",2,3),0))),(IF(OR('CAPTURA LISTADO'!B11="",B55=1),"",VLOOKUP(C55,PRIMA_N,VLOOKUP(p,pcosto,IF(D55="m",2,3),0),0)/VLOOKUP(C55,PRIMA_N,IF(D55="m",2,3),0))))</f>
        <v/>
      </c>
      <c r="K55" s="350"/>
      <c r="L55" s="350"/>
      <c r="M55" s="350" t="str">
        <f ca="1">(IF(OR('CAPTURA LISTADO'!B11="",B55=1,ve&gt;=1),"",VLOOKUP(C55,PRIMA_N,VLOOKUP(3,pcosto,IF(D55="m",2,3),0),0)/VLOOKUP(C55,PRIMA_N,IF(D55="m",2,3),0)))</f>
        <v/>
      </c>
      <c r="N55" s="376"/>
    </row>
    <row r="56" spans="1:25" ht="17">
      <c r="A56" s="53"/>
      <c r="B56" s="375" t="str">
        <f>IF(AND('CAPTURA LISTADO'!B12&gt;max,OR(AND(p=1,'CAPTURA DP'!$B$6&gt;13),(p=2))),1,"")</f>
        <v/>
      </c>
      <c r="C56" s="362" t="str">
        <f>IF('CAPTURA LISTADO'!B12="","",(IF(B56="",'CAPTURA LISTADO'!B12,"")))</f>
        <v/>
      </c>
      <c r="D56" s="362" t="str">
        <f>UPPER(IF('CAPTURA LISTADO'!B12="","",(IF(B56="",'CAPTURA LISTADO'!D12,""))))</f>
        <v/>
      </c>
      <c r="E56" s="363"/>
      <c r="F56" s="363"/>
      <c r="G56" s="350" t="str">
        <f ca="1">(IF(OR('CAPTURA LISTADO'!B12="",B56=1,vo&gt;=1),"",VLOOKUP(C56,PRIMA_N,VLOOKUP(1,pcosto,IF(D56="m",2,3),0),0)/VLOOKUP(C56,PRIMA_N,IF(D56="m",2,3),0)))</f>
        <v/>
      </c>
      <c r="H56" s="363"/>
      <c r="I56" s="363"/>
      <c r="J56" s="350" t="str">
        <f ca="1">IF(b=1,(IF(OR('CAPTURA LISTADO'!B12="",B56=1,$I$9="no aplica SA",vp&gt;=1),"",VLOOKUP(C56,PRIMA_N,VLOOKUP(IF(p=1,2,6),pcosto,IF(D56="m",2,3),0),0)/VLOOKUP(C56,PRIMA_N,IF(D56="m",2,3),0))),(IF(OR('CAPTURA LISTADO'!B12="",B56=1),"",VLOOKUP(C56,PRIMA_N,VLOOKUP(p,pcosto,IF(D56="m",2,3),0),0)/VLOOKUP(C56,PRIMA_N,IF(D56="m",2,3),0))))</f>
        <v/>
      </c>
      <c r="K56" s="350"/>
      <c r="L56" s="350"/>
      <c r="M56" s="350" t="str">
        <f ca="1">(IF(OR('CAPTURA LISTADO'!B12="",B56=1,ve&gt;=1),"",VLOOKUP(C56,PRIMA_N,VLOOKUP(3,pcosto,IF(D56="m",2,3),0),0)/VLOOKUP(C56,PRIMA_N,IF(D56="m",2,3),0)))</f>
        <v/>
      </c>
      <c r="N56" s="376"/>
      <c r="U56" s="190"/>
      <c r="W56" s="269"/>
      <c r="X56" s="190"/>
    </row>
    <row r="57" spans="1:25" ht="17">
      <c r="A57" s="53"/>
      <c r="B57" s="375" t="str">
        <f>IF(AND('CAPTURA LISTADO'!B13&gt;max,OR(AND(p=1,'CAPTURA DP'!$B$6&gt;13),(p=2))),1,"")</f>
        <v/>
      </c>
      <c r="C57" s="362" t="str">
        <f>IF('CAPTURA LISTADO'!B13="","",(IF(B57="",'CAPTURA LISTADO'!B13,"")))</f>
        <v/>
      </c>
      <c r="D57" s="362" t="str">
        <f>UPPER(IF('CAPTURA LISTADO'!B13="","",(IF(B57="",'CAPTURA LISTADO'!D13,""))))</f>
        <v/>
      </c>
      <c r="E57" s="363"/>
      <c r="F57" s="363"/>
      <c r="G57" s="350" t="str">
        <f ca="1">(IF(OR('CAPTURA LISTADO'!B13="",B57=1,vo&gt;=1),"",VLOOKUP(C57,PRIMA_N,VLOOKUP(1,pcosto,IF(D57="m",2,3),0),0)/VLOOKUP(C57,PRIMA_N,IF(D57="m",2,3),0)))</f>
        <v/>
      </c>
      <c r="H57" s="363"/>
      <c r="I57" s="363"/>
      <c r="J57" s="350" t="str">
        <f ca="1">IF(b=1,(IF(OR('CAPTURA LISTADO'!B13="",B57=1,$I$9="no aplica SA",vp&gt;=1),"",VLOOKUP(C57,PRIMA_N,VLOOKUP(IF(p=1,2,6),pcosto,IF(D57="m",2,3),0),0)/VLOOKUP(C57,PRIMA_N,IF(D57="m",2,3),0))),(IF(OR('CAPTURA LISTADO'!B13="",B57=1),"",VLOOKUP(C57,PRIMA_N,VLOOKUP(p,pcosto,IF(D57="m",2,3),0),0)/VLOOKUP(C57,PRIMA_N,IF(D57="m",2,3),0))))</f>
        <v/>
      </c>
      <c r="K57" s="350"/>
      <c r="L57" s="350"/>
      <c r="M57" s="350" t="str">
        <f ca="1">(IF(OR('CAPTURA LISTADO'!B13="",B57=1,ve&gt;=1),"",VLOOKUP(C57,PRIMA_N,VLOOKUP(3,pcosto,IF(D57="m",2,3),0),0)/VLOOKUP(C57,PRIMA_N,IF(D57="m",2,3),0)))</f>
        <v/>
      </c>
      <c r="N57" s="376"/>
      <c r="U57" s="190"/>
      <c r="V57" s="270"/>
      <c r="W57"/>
      <c r="X57"/>
      <c r="Y57"/>
    </row>
    <row r="58" spans="1:25" ht="18" customHeight="1">
      <c r="A58" s="53"/>
      <c r="B58" s="375" t="str">
        <f>IF(AND('CAPTURA LISTADO'!B14&gt;max,OR(AND(p=1,'CAPTURA DP'!$B$6&gt;13),(p=2))),1,"")</f>
        <v/>
      </c>
      <c r="C58" s="362" t="str">
        <f>IF('CAPTURA LISTADO'!B14="","",(IF(B58="",'CAPTURA LISTADO'!B14,"")))</f>
        <v/>
      </c>
      <c r="D58" s="362" t="str">
        <f>UPPER(IF('CAPTURA LISTADO'!B14="","",(IF(B58="",'CAPTURA LISTADO'!D14,""))))</f>
        <v/>
      </c>
      <c r="E58" s="363"/>
      <c r="F58" s="363"/>
      <c r="G58" s="350" t="str">
        <f ca="1">(IF(OR('CAPTURA LISTADO'!B14="",B58=1,vo&gt;=1),"",VLOOKUP(C58,PRIMA_N,VLOOKUP(1,pcosto,IF(D58="m",2,3),0),0)/VLOOKUP(C58,PRIMA_N,IF(D58="m",2,3),0)))</f>
        <v/>
      </c>
      <c r="H58" s="363"/>
      <c r="I58" s="363"/>
      <c r="J58" s="350" t="str">
        <f ca="1">IF(b=1,(IF(OR('CAPTURA LISTADO'!B14="",B58=1,$I$9="no aplica SA",vp&gt;=1),"",VLOOKUP(C58,PRIMA_N,VLOOKUP(IF(p=1,2,6),pcosto,IF(D58="m",2,3),0),0)/VLOOKUP(C58,PRIMA_N,IF(D58="m",2,3),0))),(IF(OR('CAPTURA LISTADO'!B14="",B58=1),"",VLOOKUP(C58,PRIMA_N,VLOOKUP(p,pcosto,IF(D58="m",2,3),0),0)/VLOOKUP(C58,PRIMA_N,IF(D58="m",2,3),0))))</f>
        <v/>
      </c>
      <c r="K58" s="350"/>
      <c r="L58" s="350"/>
      <c r="M58" s="350" t="str">
        <f ca="1">(IF(OR('CAPTURA LISTADO'!B14="",B58=1,ve&gt;=1),"",VLOOKUP(C58,PRIMA_N,VLOOKUP(3,pcosto,IF(D58="m",2,3),0),0)/VLOOKUP(C58,PRIMA_N,IF(D58="m",2,3),0)))</f>
        <v/>
      </c>
      <c r="N58" s="376"/>
      <c r="W58"/>
      <c r="X58"/>
      <c r="Y58"/>
    </row>
    <row r="59" spans="1:25" ht="32.25" customHeight="1">
      <c r="A59" s="53"/>
      <c r="B59" s="614" t="str">
        <f>+IF(b=2,"",IF('CAPTURA LISTADO'!E7="Debe existir un titular","",IF('CAPTURA LISTADO'!K16&gt;=1,"No es posible otorgar la Suma Asegurada solicitada para asegurados mayores a 59 años.","")))</f>
        <v/>
      </c>
      <c r="C59" s="615"/>
      <c r="D59" s="615"/>
      <c r="E59" s="615"/>
      <c r="F59" s="615"/>
      <c r="G59" s="615"/>
      <c r="H59" s="615"/>
      <c r="I59" s="615"/>
      <c r="J59" s="615"/>
      <c r="K59" s="615"/>
      <c r="L59" s="615"/>
      <c r="M59" s="615"/>
      <c r="N59" s="377"/>
      <c r="W59"/>
      <c r="X59"/>
      <c r="Y59"/>
    </row>
    <row r="60" spans="1:25" ht="17">
      <c r="A60" s="53"/>
      <c r="B60" s="369"/>
      <c r="C60" s="677" t="s">
        <v>285</v>
      </c>
      <c r="D60" s="678"/>
      <c r="E60" s="60"/>
      <c r="F60" s="60"/>
      <c r="G60" s="411">
        <f ca="1">IF('CAPTURA LISTADO'!K16&gt;=1,0,(IFERROR(VLOOKUP(1,DATOS!A28:B33,2,0),0)))</f>
        <v>0</v>
      </c>
      <c r="H60" s="363"/>
      <c r="I60" s="363"/>
      <c r="J60" s="411">
        <f ca="1">IF(b=1,IF('CAPTURA LISTADO'!K16&gt;=1,0,(IFERROR(VLOOKUP(IF(p=1,2,6),DATOS!A28:B33,2,0),0))),(IFERROR(VLOOKUP(2,DATOS!$A$28:$B$33,2,0),0)))</f>
        <v>0</v>
      </c>
      <c r="K60" s="364"/>
      <c r="L60" s="364"/>
      <c r="M60" s="411">
        <f ca="1">IF('CAPTURA LISTADO'!K16&gt;=1,0,(IFERROR(VLOOKUP(3,DATOS!A28:B33,2,0),0)))</f>
        <v>0</v>
      </c>
      <c r="N60" s="378"/>
      <c r="U60" s="191"/>
      <c r="W60"/>
      <c r="X60"/>
      <c r="Y60"/>
    </row>
    <row r="61" spans="1:25" ht="17">
      <c r="A61" s="53"/>
      <c r="B61" s="369"/>
      <c r="C61" s="604" t="s">
        <v>279</v>
      </c>
      <c r="D61" s="605"/>
      <c r="E61" s="60"/>
      <c r="F61" s="60"/>
      <c r="G61" s="412">
        <f ca="1">IF(G60=0,0,(VLOOKUP(G60,DATOS!AR6:AT14,3)))</f>
        <v>0</v>
      </c>
      <c r="H61" s="363"/>
      <c r="I61" s="363"/>
      <c r="J61" s="412">
        <f ca="1">IF(J60=0,0,(VLOOKUP(J60,DATOS!AR6:AT14,3)))</f>
        <v>0</v>
      </c>
      <c r="K61" s="360"/>
      <c r="L61" s="360"/>
      <c r="M61" s="412">
        <f ca="1">IF(M60=0,0,(VLOOKUP(M60,DATOS!AR6:AT14,3)))</f>
        <v>0</v>
      </c>
      <c r="N61" s="379"/>
      <c r="W61"/>
      <c r="X61"/>
      <c r="Y61"/>
    </row>
    <row r="62" spans="1:25" ht="17">
      <c r="A62" s="53"/>
      <c r="B62" s="380"/>
      <c r="C62" s="365"/>
      <c r="D62" s="365"/>
      <c r="E62" s="60"/>
      <c r="F62" s="60"/>
      <c r="G62" s="360"/>
      <c r="H62" s="363"/>
      <c r="I62" s="365"/>
      <c r="J62" s="360"/>
      <c r="K62" s="365"/>
      <c r="L62" s="365"/>
      <c r="M62" s="360"/>
      <c r="N62" s="381"/>
      <c r="O62" s="53"/>
      <c r="W62"/>
      <c r="X62"/>
      <c r="Y62"/>
    </row>
    <row r="63" spans="1:25" ht="17">
      <c r="A63" s="53"/>
      <c r="B63" s="368"/>
      <c r="C63" s="604" t="s">
        <v>280</v>
      </c>
      <c r="D63" s="605"/>
      <c r="E63" s="60"/>
      <c r="F63" s="60"/>
      <c r="G63" s="412">
        <f ca="1">+SUM(G60:G61)*IVA</f>
        <v>0</v>
      </c>
      <c r="H63" s="363"/>
      <c r="I63" s="363"/>
      <c r="J63" s="412">
        <f ca="1">+SUM(J60:J61)*IVA</f>
        <v>0</v>
      </c>
      <c r="K63" s="360"/>
      <c r="L63" s="360"/>
      <c r="M63" s="412">
        <f ca="1">+SUM(M60:M61)*IVA</f>
        <v>0</v>
      </c>
      <c r="N63" s="379"/>
      <c r="W63"/>
      <c r="X63"/>
      <c r="Y63"/>
    </row>
    <row r="64" spans="1:25" ht="17">
      <c r="A64" s="53"/>
      <c r="B64" s="413" t="s">
        <v>71</v>
      </c>
      <c r="C64" s="606" t="s">
        <v>282</v>
      </c>
      <c r="D64" s="607"/>
      <c r="E64" s="60"/>
      <c r="F64" s="60"/>
      <c r="G64" s="411">
        <f ca="1">+SUM(G60:G63)</f>
        <v>0</v>
      </c>
      <c r="H64" s="363"/>
      <c r="I64" s="363"/>
      <c r="J64" s="411">
        <f ca="1">+SUM(J60:J63)</f>
        <v>0</v>
      </c>
      <c r="K64" s="360"/>
      <c r="L64" s="360"/>
      <c r="M64" s="411">
        <f ca="1">+SUM(M60:M63)</f>
        <v>0</v>
      </c>
      <c r="N64" s="378"/>
    </row>
    <row r="65" spans="1:15" ht="17">
      <c r="A65" s="53"/>
      <c r="B65" s="367"/>
      <c r="C65" s="364"/>
      <c r="D65" s="364"/>
      <c r="E65" s="60"/>
      <c r="F65" s="60"/>
      <c r="G65" s="351"/>
      <c r="H65" s="363"/>
      <c r="I65" s="363"/>
      <c r="J65" s="351"/>
      <c r="K65" s="360"/>
      <c r="L65" s="360"/>
      <c r="M65" s="351"/>
      <c r="N65" s="382"/>
    </row>
    <row r="66" spans="1:15" ht="17">
      <c r="A66" s="53"/>
      <c r="B66" s="368"/>
      <c r="C66" s="604" t="s">
        <v>281</v>
      </c>
      <c r="D66" s="605"/>
      <c r="E66" s="60"/>
      <c r="F66" s="60"/>
      <c r="G66" s="412">
        <f ca="1">+IF(G60=0,0,G60*DATOS!$AP$5)</f>
        <v>0</v>
      </c>
      <c r="H66" s="363"/>
      <c r="I66" s="363"/>
      <c r="J66" s="412">
        <f ca="1">+IF(J60=0,0,J60*DATOS!$AP$5)</f>
        <v>0</v>
      </c>
      <c r="K66" s="360"/>
      <c r="L66" s="360"/>
      <c r="M66" s="412">
        <f ca="1">+IF(M60=0,0,M60*DATOS!$AP$5)</f>
        <v>0</v>
      </c>
      <c r="N66" s="379"/>
    </row>
    <row r="67" spans="1:15" ht="17">
      <c r="A67" s="53"/>
      <c r="B67" s="368"/>
      <c r="C67" s="604" t="s">
        <v>280</v>
      </c>
      <c r="D67" s="605"/>
      <c r="E67" s="60"/>
      <c r="F67" s="60"/>
      <c r="G67" s="412">
        <f ca="1">+SUM(G66,G60,G61)*IVA</f>
        <v>0</v>
      </c>
      <c r="H67" s="363"/>
      <c r="I67" s="363"/>
      <c r="J67" s="412">
        <f ca="1">+SUM(J66,J60,J61)*IVA</f>
        <v>0</v>
      </c>
      <c r="K67" s="360"/>
      <c r="L67" s="360"/>
      <c r="M67" s="412">
        <f ca="1">+SUM(M66,M60,M61)*IVA</f>
        <v>0</v>
      </c>
      <c r="N67" s="379"/>
    </row>
    <row r="68" spans="1:15" ht="17">
      <c r="A68" s="53"/>
      <c r="B68" s="413" t="s">
        <v>72</v>
      </c>
      <c r="C68" s="606" t="s">
        <v>282</v>
      </c>
      <c r="D68" s="607"/>
      <c r="E68" s="60"/>
      <c r="F68" s="60"/>
      <c r="G68" s="411">
        <f ca="1">+SUM(G60,G61,G66,G67)</f>
        <v>0</v>
      </c>
      <c r="H68" s="363"/>
      <c r="I68" s="363"/>
      <c r="J68" s="411">
        <f ca="1">+SUM(J60,J61,J66,J67)</f>
        <v>0</v>
      </c>
      <c r="K68" s="360"/>
      <c r="L68" s="360"/>
      <c r="M68" s="411">
        <f ca="1">+SUM(M60,M61,M66,M67)</f>
        <v>0</v>
      </c>
      <c r="N68" s="378"/>
    </row>
    <row r="69" spans="1:15" ht="17">
      <c r="A69" s="53"/>
      <c r="B69" s="369"/>
      <c r="C69" s="604" t="s">
        <v>277</v>
      </c>
      <c r="D69" s="605"/>
      <c r="E69" s="60"/>
      <c r="F69" s="60"/>
      <c r="G69" s="412">
        <f ca="1">+((($G$60+$G$66)/2)+G61)*(1+IVA)</f>
        <v>0</v>
      </c>
      <c r="H69" s="363"/>
      <c r="I69" s="363"/>
      <c r="J69" s="412">
        <f ca="1">+((($J$60+$J$66)/2)+J61)*(1+IVA)</f>
        <v>0</v>
      </c>
      <c r="K69" s="360"/>
      <c r="L69" s="360"/>
      <c r="M69" s="412">
        <f ca="1">+((($M$60+$M$66)/2)+M61)*(1+IVA)</f>
        <v>0</v>
      </c>
      <c r="N69" s="379"/>
      <c r="O69" s="190"/>
    </row>
    <row r="70" spans="1:15" ht="17">
      <c r="A70" s="53"/>
      <c r="B70" s="369"/>
      <c r="C70" s="604" t="s">
        <v>283</v>
      </c>
      <c r="D70" s="605"/>
      <c r="E70" s="60"/>
      <c r="F70" s="60"/>
      <c r="G70" s="412">
        <f ca="1">++((($G$60+$G$66)/2))*(1+IVA)</f>
        <v>0</v>
      </c>
      <c r="H70" s="363"/>
      <c r="I70" s="363"/>
      <c r="J70" s="412">
        <f ca="1">++((($J$60+$J$66)/2))*(1+IVA)</f>
        <v>0</v>
      </c>
      <c r="K70" s="360"/>
      <c r="L70" s="360"/>
      <c r="M70" s="412">
        <f ca="1">++((($M$60+$M$66)/2))*(1+IVA)</f>
        <v>0</v>
      </c>
      <c r="N70" s="379"/>
    </row>
    <row r="71" spans="1:15" ht="17">
      <c r="A71" s="53"/>
      <c r="B71" s="369"/>
      <c r="C71" s="366"/>
      <c r="D71" s="366"/>
      <c r="E71" s="60"/>
      <c r="F71" s="60"/>
      <c r="G71" s="361"/>
      <c r="H71" s="363"/>
      <c r="I71" s="363"/>
      <c r="J71" s="361"/>
      <c r="K71" s="361"/>
      <c r="L71" s="361"/>
      <c r="M71" s="361"/>
      <c r="N71" s="383"/>
    </row>
    <row r="72" spans="1:15" ht="17">
      <c r="A72" s="53"/>
      <c r="B72" s="369"/>
      <c r="C72" s="604" t="s">
        <v>281</v>
      </c>
      <c r="D72" s="605"/>
      <c r="E72" s="60"/>
      <c r="F72" s="60"/>
      <c r="G72" s="412">
        <f ca="1">+IF(G60=0,0,G60*DATOS!$AP$6)</f>
        <v>0</v>
      </c>
      <c r="H72" s="363"/>
      <c r="I72" s="363"/>
      <c r="J72" s="412">
        <f ca="1">+IF(J60=0,0,J60*DATOS!$AP$6)</f>
        <v>0</v>
      </c>
      <c r="K72" s="361"/>
      <c r="L72" s="361"/>
      <c r="M72" s="412">
        <f ca="1">+IF(M60=0,0,M60*DATOS!$AP$6)</f>
        <v>0</v>
      </c>
      <c r="N72" s="379"/>
    </row>
    <row r="73" spans="1:15" ht="17">
      <c r="A73" s="53"/>
      <c r="B73" s="369"/>
      <c r="C73" s="604" t="s">
        <v>280</v>
      </c>
      <c r="D73" s="605"/>
      <c r="E73" s="60"/>
      <c r="F73" s="60"/>
      <c r="G73" s="412">
        <f ca="1">+SUM(G72,G60,G61)*IVA</f>
        <v>0</v>
      </c>
      <c r="H73" s="363"/>
      <c r="I73" s="363"/>
      <c r="J73" s="412">
        <f ca="1">+SUM(J72,J60,J61)*IVA</f>
        <v>0</v>
      </c>
      <c r="K73" s="361"/>
      <c r="L73" s="361"/>
      <c r="M73" s="412">
        <f ca="1">+SUM(M72,M60,M61)*IVA</f>
        <v>0</v>
      </c>
      <c r="N73" s="379"/>
    </row>
    <row r="74" spans="1:15" ht="17">
      <c r="A74" s="53"/>
      <c r="B74" s="413" t="s">
        <v>75</v>
      </c>
      <c r="C74" s="606" t="s">
        <v>282</v>
      </c>
      <c r="D74" s="607"/>
      <c r="E74" s="60"/>
      <c r="F74" s="60"/>
      <c r="G74" s="411">
        <f ca="1">+SUM(G60,G61,G72,G73)</f>
        <v>0</v>
      </c>
      <c r="H74" s="363"/>
      <c r="I74" s="363"/>
      <c r="J74" s="411">
        <f ca="1">+SUM(J60,J61,J72,J73)</f>
        <v>0</v>
      </c>
      <c r="K74" s="361"/>
      <c r="L74" s="361"/>
      <c r="M74" s="411">
        <f ca="1">+SUM(M60,M61,M72,M73)</f>
        <v>0</v>
      </c>
      <c r="N74" s="378"/>
    </row>
    <row r="75" spans="1:15" ht="17">
      <c r="A75" s="53"/>
      <c r="B75" s="369"/>
      <c r="C75" s="604" t="s">
        <v>277</v>
      </c>
      <c r="D75" s="605"/>
      <c r="E75" s="60"/>
      <c r="F75" s="60"/>
      <c r="G75" s="412">
        <f ca="1">+((($G$60+$G$72)/4)+G61)*(1+IVA)</f>
        <v>0</v>
      </c>
      <c r="H75" s="363"/>
      <c r="I75" s="363"/>
      <c r="J75" s="412">
        <f ca="1">+((($J$60+$J$72)/4)+J61)*(1+IVA)</f>
        <v>0</v>
      </c>
      <c r="K75" s="361"/>
      <c r="L75" s="361"/>
      <c r="M75" s="412">
        <f ca="1">+((($M$60+$M$72)/4)+M61)*(1+IVA)</f>
        <v>0</v>
      </c>
      <c r="N75" s="379"/>
    </row>
    <row r="76" spans="1:15" ht="17">
      <c r="A76" s="53"/>
      <c r="B76" s="369"/>
      <c r="C76" s="604" t="s">
        <v>278</v>
      </c>
      <c r="D76" s="605"/>
      <c r="E76" s="60"/>
      <c r="F76" s="60"/>
      <c r="G76" s="412">
        <f ca="1">++((($G$60+$G$72)/4))*(1+IVA)</f>
        <v>0</v>
      </c>
      <c r="H76" s="363"/>
      <c r="I76" s="363"/>
      <c r="J76" s="412">
        <f ca="1">++((($J$60+$J$72)/4))*(1+IVA)</f>
        <v>0</v>
      </c>
      <c r="K76" s="361"/>
      <c r="L76" s="361"/>
      <c r="M76" s="412">
        <f ca="1">++((($M$60+$M$72)/4))*(1+IVA)</f>
        <v>0</v>
      </c>
      <c r="N76" s="379"/>
    </row>
    <row r="77" spans="1:15" ht="17">
      <c r="A77" s="53"/>
      <c r="B77" s="369"/>
      <c r="C77" s="361"/>
      <c r="D77" s="361"/>
      <c r="E77" s="60"/>
      <c r="F77" s="60"/>
      <c r="G77" s="361"/>
      <c r="H77" s="363"/>
      <c r="I77" s="363"/>
      <c r="J77" s="361"/>
      <c r="K77" s="361"/>
      <c r="L77" s="361"/>
      <c r="M77" s="361"/>
      <c r="N77" s="383"/>
    </row>
    <row r="78" spans="1:15" ht="17">
      <c r="A78" s="53"/>
      <c r="B78" s="369"/>
      <c r="C78" s="604" t="s">
        <v>281</v>
      </c>
      <c r="D78" s="605"/>
      <c r="E78" s="60"/>
      <c r="F78" s="60"/>
      <c r="G78" s="412">
        <f ca="1">+IF(G60=0,0,G60*DATOS!$AP$7)</f>
        <v>0</v>
      </c>
      <c r="H78" s="363"/>
      <c r="I78" s="363"/>
      <c r="J78" s="412">
        <f ca="1">+IF(J60=0,0,J60*DATOS!$AP$7)</f>
        <v>0</v>
      </c>
      <c r="K78" s="361"/>
      <c r="L78" s="361"/>
      <c r="M78" s="412">
        <f ca="1">+IF(M60=0,0,M60*DATOS!$AP$7)</f>
        <v>0</v>
      </c>
      <c r="N78" s="379"/>
    </row>
    <row r="79" spans="1:15" ht="17">
      <c r="A79" s="53"/>
      <c r="B79" s="369"/>
      <c r="C79" s="604" t="s">
        <v>280</v>
      </c>
      <c r="D79" s="605"/>
      <c r="E79" s="60"/>
      <c r="F79" s="60"/>
      <c r="G79" s="412">
        <f ca="1">+SUM(G78,G60,G61)*IVA</f>
        <v>0</v>
      </c>
      <c r="H79" s="363"/>
      <c r="I79" s="363"/>
      <c r="J79" s="412">
        <f ca="1">+SUM(J78,J60,J61)*IVA</f>
        <v>0</v>
      </c>
      <c r="K79" s="361"/>
      <c r="L79" s="361"/>
      <c r="M79" s="412">
        <f ca="1">+SUM(M78,M60,M61)*IVA</f>
        <v>0</v>
      </c>
      <c r="N79" s="379"/>
    </row>
    <row r="80" spans="1:15" ht="17">
      <c r="A80" s="53"/>
      <c r="B80" s="413" t="s">
        <v>73</v>
      </c>
      <c r="C80" s="606" t="s">
        <v>282</v>
      </c>
      <c r="D80" s="607"/>
      <c r="E80" s="60"/>
      <c r="F80" s="60"/>
      <c r="G80" s="411">
        <f ca="1">+SUM(G60,G61,G78,G79)</f>
        <v>0</v>
      </c>
      <c r="H80" s="363"/>
      <c r="I80" s="363"/>
      <c r="J80" s="411">
        <f ca="1">+SUM(J60,J61,J78,J79)</f>
        <v>0</v>
      </c>
      <c r="K80" s="361"/>
      <c r="L80" s="361"/>
      <c r="M80" s="411">
        <f ca="1">+SUM(M60,M61,M78,M79)</f>
        <v>0</v>
      </c>
      <c r="N80" s="378"/>
    </row>
    <row r="81" spans="1:15" ht="17">
      <c r="A81" s="53"/>
      <c r="B81" s="369"/>
      <c r="C81" s="604" t="s">
        <v>277</v>
      </c>
      <c r="D81" s="605"/>
      <c r="E81" s="60"/>
      <c r="F81" s="60"/>
      <c r="G81" s="412">
        <f ca="1">+((($G$60+$G$78)/12)+G61)*(1+IVA)</f>
        <v>0</v>
      </c>
      <c r="H81" s="363"/>
      <c r="I81" s="363"/>
      <c r="J81" s="412">
        <f ca="1">+((($J$60+$J$78)/12)+J61)*(1+IVA)</f>
        <v>0</v>
      </c>
      <c r="K81" s="361"/>
      <c r="L81" s="361"/>
      <c r="M81" s="412">
        <f ca="1">+((($M$60+$M$78)/12)+M61)*(1+IVA)</f>
        <v>0</v>
      </c>
      <c r="N81" s="379"/>
      <c r="O81" s="191"/>
    </row>
    <row r="82" spans="1:15" ht="17">
      <c r="A82" s="53"/>
      <c r="B82" s="369"/>
      <c r="C82" s="604" t="s">
        <v>278</v>
      </c>
      <c r="D82" s="605"/>
      <c r="E82" s="60"/>
      <c r="F82" s="60"/>
      <c r="G82" s="412">
        <f ca="1">++((($G$60+$G$78)/12))*(1+IVA)</f>
        <v>0</v>
      </c>
      <c r="H82" s="363"/>
      <c r="I82" s="363"/>
      <c r="J82" s="412">
        <f ca="1">++((($J$60+$J$78)/12))*(1+IVA)</f>
        <v>0</v>
      </c>
      <c r="K82" s="361"/>
      <c r="L82" s="361"/>
      <c r="M82" s="412">
        <f ca="1">++((($M$60+$M$78)/12))*(1+IVA)</f>
        <v>0</v>
      </c>
      <c r="N82" s="379"/>
    </row>
    <row r="83" spans="1:15" ht="70.75" customHeight="1">
      <c r="A83" s="53"/>
      <c r="B83" s="650" t="s">
        <v>491</v>
      </c>
      <c r="C83" s="651"/>
      <c r="D83" s="651"/>
      <c r="E83" s="651"/>
      <c r="F83" s="651"/>
      <c r="G83" s="651"/>
      <c r="H83" s="651"/>
      <c r="I83" s="651"/>
      <c r="J83" s="651"/>
      <c r="K83" s="651"/>
      <c r="L83" s="651"/>
      <c r="M83" s="651"/>
      <c r="N83" s="384"/>
      <c r="O83" s="54"/>
    </row>
    <row r="84" spans="1:15" ht="32.25" customHeight="1" thickBot="1">
      <c r="A84" s="53"/>
      <c r="B84" s="646" t="str">
        <f>+IF('CAPTURA DP'!$C$28="NO","","El impuesto de esta cotización contempla el 8% de IVA Fronterizo.")</f>
        <v/>
      </c>
      <c r="C84" s="647"/>
      <c r="D84" s="647"/>
      <c r="E84" s="647"/>
      <c r="F84" s="647"/>
      <c r="G84" s="647"/>
      <c r="H84" s="647"/>
      <c r="I84" s="647"/>
      <c r="J84" s="647"/>
      <c r="K84" s="647"/>
      <c r="L84" s="647"/>
      <c r="M84" s="647"/>
      <c r="N84" s="385"/>
      <c r="O84" s="54"/>
    </row>
    <row r="85" spans="1:15" ht="19.5" customHeight="1" thickTop="1" thickBot="1">
      <c r="A85" s="53"/>
      <c r="B85" s="534">
        <v>190</v>
      </c>
      <c r="C85" s="200"/>
      <c r="D85" s="200"/>
      <c r="E85" s="200"/>
      <c r="F85" s="200"/>
      <c r="G85" s="348" t="str">
        <f>"ec "&amp;'CAPTURA DP'!F20</f>
        <v>ec 1</v>
      </c>
      <c r="H85" s="200"/>
      <c r="I85" s="200"/>
      <c r="J85" s="204" t="str">
        <f>+"cc "&amp;ROUND('DATOS GENERALES'!I15,6)</f>
        <v>cc 0</v>
      </c>
      <c r="K85" s="200"/>
      <c r="L85" s="200"/>
      <c r="M85" s="200"/>
      <c r="N85" s="200"/>
      <c r="O85" s="54"/>
    </row>
    <row r="86" spans="1:15" ht="19.5" customHeight="1" thickTop="1">
      <c r="A86" s="53"/>
      <c r="B86" s="655" t="str">
        <f>IF(LEFT('CAPTURA DP'!B29)="F","",IF('CAPTURA DP'!F20=1,"Esquema de comisiones por rango de edad del asegurado","Esquema de comisiones"))</f>
        <v>Esquema de comisiones por rango de edad del asegurado</v>
      </c>
      <c r="C86" s="656"/>
      <c r="D86" s="656"/>
      <c r="E86" s="656"/>
      <c r="F86" s="656"/>
      <c r="G86" s="656"/>
      <c r="H86" s="656"/>
      <c r="I86" s="656"/>
      <c r="J86" s="656"/>
      <c r="K86" s="656"/>
      <c r="L86" s="656"/>
      <c r="M86" s="656"/>
      <c r="N86" s="657"/>
      <c r="O86" s="54"/>
    </row>
    <row r="87" spans="1:15" ht="27.75" customHeight="1" thickBot="1">
      <c r="A87" s="53"/>
      <c r="B87" s="652" t="str">
        <f>IF(LEFT('CAPTURA DP'!B29)="F","",IF('CAPTURA DP'!F20=1,(CONCATENATE("Edad de 0 a 49 años, comisión de : ",ROUND((DATOS!C36*100),2)," %.   ","Edad de 50 a 59 años, comisión de: ",ROUND((DATOS!C37*100),2)," %.   ","Edad de 60 años en adelante, comisión de: ",ROUND((DATOS!C38*100),2)," %.")),CONCATENATE("Comisión del ",ROUND(('CAPTURA DP'!C14*100),2)," % para todas las edades.")))</f>
        <v>Edad de 0 a 49 años, comisión de : 18 %.   Edad de 50 a 59 años, comisión de: 15 %.   Edad de 60 años en adelante, comisión de: 12 %.</v>
      </c>
      <c r="C87" s="653"/>
      <c r="D87" s="653"/>
      <c r="E87" s="653"/>
      <c r="F87" s="653"/>
      <c r="G87" s="653"/>
      <c r="H87" s="653"/>
      <c r="I87" s="653"/>
      <c r="J87" s="653"/>
      <c r="K87" s="653"/>
      <c r="L87" s="653"/>
      <c r="M87" s="653"/>
      <c r="N87" s="654"/>
      <c r="O87" s="54"/>
    </row>
    <row r="88" spans="1:15" ht="10" customHeight="1" thickTop="1" thickBot="1">
      <c r="A88" s="53"/>
      <c r="B88" s="355"/>
      <c r="C88" s="355"/>
      <c r="D88" s="355"/>
      <c r="E88" s="355"/>
      <c r="F88" s="355"/>
      <c r="G88" s="355"/>
      <c r="H88" s="355"/>
      <c r="I88" s="355"/>
      <c r="J88" s="355"/>
      <c r="K88" s="355"/>
      <c r="L88" s="355"/>
      <c r="M88" s="355"/>
      <c r="N88" s="355"/>
      <c r="O88" s="54"/>
    </row>
    <row r="89" spans="1:15" ht="18.75" customHeight="1" thickTop="1">
      <c r="A89" s="53"/>
      <c r="B89" s="655" t="s">
        <v>453</v>
      </c>
      <c r="C89" s="656"/>
      <c r="D89" s="656"/>
      <c r="E89" s="656"/>
      <c r="F89" s="656"/>
      <c r="G89" s="656"/>
      <c r="H89" s="656"/>
      <c r="I89" s="656"/>
      <c r="J89" s="656"/>
      <c r="K89" s="656"/>
      <c r="L89" s="656"/>
      <c r="M89" s="656"/>
      <c r="N89" s="657"/>
    </row>
    <row r="90" spans="1:15" ht="23.25" customHeight="1">
      <c r="A90" s="53"/>
      <c r="B90" s="658" t="str">
        <f>IF('DATOS GENERALES'!B21="","",'DATOS GENERALES'!B21)</f>
        <v/>
      </c>
      <c r="C90" s="659"/>
      <c r="D90" s="659"/>
      <c r="E90" s="659"/>
      <c r="F90" s="659"/>
      <c r="G90" s="659"/>
      <c r="H90" s="659"/>
      <c r="I90" s="659"/>
      <c r="J90" s="659"/>
      <c r="K90" s="659"/>
      <c r="L90" s="659"/>
      <c r="M90" s="659"/>
      <c r="N90" s="660"/>
    </row>
    <row r="91" spans="1:15" ht="23.25" customHeight="1" thickBot="1">
      <c r="A91" s="53"/>
      <c r="B91" s="661" t="str">
        <f>IF('DATOS GENERALES'!F21="","","Celular para contacto:   "&amp;'DATOS GENERALES'!F21)&amp;IF('DATOS GENERALES'!H21="","","                                          E-mail:    "&amp;'DATOS GENERALES'!H21)</f>
        <v/>
      </c>
      <c r="C91" s="662"/>
      <c r="D91" s="662"/>
      <c r="E91" s="662"/>
      <c r="F91" s="662"/>
      <c r="G91" s="662"/>
      <c r="H91" s="662"/>
      <c r="I91" s="662"/>
      <c r="J91" s="662"/>
      <c r="K91" s="662"/>
      <c r="L91" s="662"/>
      <c r="M91" s="662"/>
      <c r="N91" s="663"/>
    </row>
    <row r="92" spans="1:15" ht="15" hidden="1" thickTop="1">
      <c r="B92" s="219" t="s">
        <v>322</v>
      </c>
      <c r="C92" s="199"/>
      <c r="D92" s="199"/>
      <c r="E92" s="199"/>
      <c r="F92" s="199"/>
      <c r="G92" s="199"/>
      <c r="H92" s="645" t="s">
        <v>318</v>
      </c>
      <c r="I92" s="645"/>
      <c r="J92" s="645"/>
      <c r="K92" s="645"/>
      <c r="L92" s="645"/>
      <c r="M92" s="199"/>
      <c r="N92" s="199"/>
    </row>
    <row r="93" spans="1:15" ht="15" thickTop="1">
      <c r="B93" s="220" t="s">
        <v>323</v>
      </c>
      <c r="C93" s="199"/>
      <c r="D93" s="199"/>
      <c r="E93" s="199"/>
      <c r="F93" s="199"/>
      <c r="G93" s="199"/>
      <c r="H93" s="219" t="s">
        <v>321</v>
      </c>
      <c r="I93" s="198"/>
      <c r="J93" s="198"/>
      <c r="K93" s="198"/>
      <c r="L93" s="198"/>
      <c r="M93" s="199"/>
      <c r="N93" s="199"/>
    </row>
    <row r="94" spans="1:15">
      <c r="H94" s="220" t="s">
        <v>408</v>
      </c>
      <c r="L94" s="204"/>
    </row>
  </sheetData>
  <sheetProtection algorithmName="SHA-512" hashValue="CpTzdYBvHNR0CYtV1nWIJSAJ5bw4uG9Yp+4rkYFgCVjWcfiVnbqH20phKrAcKxd7QSydzsmh7IVmpEHyJasAkQ==" saltValue="YuALu02lr3PVpUsid1JVcA==" spinCount="100000" sheet="1" objects="1" scenarios="1"/>
  <mergeCells count="117">
    <mergeCell ref="B7:N7"/>
    <mergeCell ref="E8:H8"/>
    <mergeCell ref="I8:K8"/>
    <mergeCell ref="L8:N8"/>
    <mergeCell ref="B9:D9"/>
    <mergeCell ref="E9:H9"/>
    <mergeCell ref="I9:K9"/>
    <mergeCell ref="L9:N9"/>
    <mergeCell ref="B1:N1"/>
    <mergeCell ref="B3:N3"/>
    <mergeCell ref="B4:D4"/>
    <mergeCell ref="B5:D5"/>
    <mergeCell ref="E5:I5"/>
    <mergeCell ref="B6:D6"/>
    <mergeCell ref="E6:M6"/>
    <mergeCell ref="B12:D12"/>
    <mergeCell ref="E12:H12"/>
    <mergeCell ref="I12:K12"/>
    <mergeCell ref="L12:N12"/>
    <mergeCell ref="B13:D13"/>
    <mergeCell ref="E13:H13"/>
    <mergeCell ref="I13:K13"/>
    <mergeCell ref="L13:N13"/>
    <mergeCell ref="B10:D10"/>
    <mergeCell ref="E10:H10"/>
    <mergeCell ref="I10:K10"/>
    <mergeCell ref="L10:N10"/>
    <mergeCell ref="B11:D11"/>
    <mergeCell ref="E11:H11"/>
    <mergeCell ref="I11:K11"/>
    <mergeCell ref="L11:N11"/>
    <mergeCell ref="B16:D16"/>
    <mergeCell ref="E16:H16"/>
    <mergeCell ref="I16:K16"/>
    <mergeCell ref="L16:N16"/>
    <mergeCell ref="B17:D17"/>
    <mergeCell ref="E17:H17"/>
    <mergeCell ref="I17:K17"/>
    <mergeCell ref="L17:N17"/>
    <mergeCell ref="B14:D14"/>
    <mergeCell ref="E14:H14"/>
    <mergeCell ref="I14:K14"/>
    <mergeCell ref="L14:N14"/>
    <mergeCell ref="B15:D15"/>
    <mergeCell ref="E15:H15"/>
    <mergeCell ref="I15:K15"/>
    <mergeCell ref="L15:N15"/>
    <mergeCell ref="B23:C23"/>
    <mergeCell ref="K23:M23"/>
    <mergeCell ref="B25:N25"/>
    <mergeCell ref="B27:C27"/>
    <mergeCell ref="D27:N27"/>
    <mergeCell ref="B28:C28"/>
    <mergeCell ref="D28:N28"/>
    <mergeCell ref="B18:D18"/>
    <mergeCell ref="E18:H18"/>
    <mergeCell ref="I18:K18"/>
    <mergeCell ref="L18:N18"/>
    <mergeCell ref="B20:N20"/>
    <mergeCell ref="B22:C22"/>
    <mergeCell ref="B29:C29"/>
    <mergeCell ref="D29:N29"/>
    <mergeCell ref="B30:C30"/>
    <mergeCell ref="D30:N30"/>
    <mergeCell ref="B32:N32"/>
    <mergeCell ref="B34:D34"/>
    <mergeCell ref="E34:G34"/>
    <mergeCell ref="H34:J34"/>
    <mergeCell ref="K34:M34"/>
    <mergeCell ref="B37:D37"/>
    <mergeCell ref="E37:G37"/>
    <mergeCell ref="H37:J37"/>
    <mergeCell ref="K37:M37"/>
    <mergeCell ref="B39:N39"/>
    <mergeCell ref="B41:N41"/>
    <mergeCell ref="B35:D35"/>
    <mergeCell ref="E35:G35"/>
    <mergeCell ref="H35:J35"/>
    <mergeCell ref="K35:M35"/>
    <mergeCell ref="B36:D36"/>
    <mergeCell ref="E36:G36"/>
    <mergeCell ref="H36:J36"/>
    <mergeCell ref="K36:M36"/>
    <mergeCell ref="B59:M59"/>
    <mergeCell ref="C60:D60"/>
    <mergeCell ref="C61:D61"/>
    <mergeCell ref="C63:D63"/>
    <mergeCell ref="C64:D64"/>
    <mergeCell ref="C66:D66"/>
    <mergeCell ref="B42:N42"/>
    <mergeCell ref="B43:N43"/>
    <mergeCell ref="B44:M44"/>
    <mergeCell ref="B45:M45"/>
    <mergeCell ref="B46:M46"/>
    <mergeCell ref="B48:N48"/>
    <mergeCell ref="C74:D74"/>
    <mergeCell ref="C75:D75"/>
    <mergeCell ref="C76:D76"/>
    <mergeCell ref="C78:D78"/>
    <mergeCell ref="C79:D79"/>
    <mergeCell ref="C80:D80"/>
    <mergeCell ref="C67:D67"/>
    <mergeCell ref="C68:D68"/>
    <mergeCell ref="C69:D69"/>
    <mergeCell ref="C70:D70"/>
    <mergeCell ref="C72:D72"/>
    <mergeCell ref="C73:D73"/>
    <mergeCell ref="B91:N91"/>
    <mergeCell ref="H92:L92"/>
    <mergeCell ref="B89:N89"/>
    <mergeCell ref="B90:N90"/>
    <mergeCell ref="C81:D81"/>
    <mergeCell ref="C82:D82"/>
    <mergeCell ref="B83:M83"/>
    <mergeCell ref="B84:M84"/>
    <mergeCell ref="B86:N86"/>
    <mergeCell ref="B87:N87"/>
  </mergeCells>
  <conditionalFormatting sqref="E12 F24:N24 K22 E40:N40 D27:D30">
    <cfRule type="expression" dxfId="15" priority="14" stopIfTrue="1">
      <formula>"Indicar"</formula>
    </cfRule>
  </conditionalFormatting>
  <conditionalFormatting sqref="C61 C72:C76 C78:C82 C63:C64 C66:C70">
    <cfRule type="expression" dxfId="14" priority="15" stopIfTrue="1">
      <formula>#REF!&lt;&gt;""</formula>
    </cfRule>
  </conditionalFormatting>
  <conditionalFormatting sqref="L10:M10">
    <cfRule type="expression" dxfId="13" priority="13">
      <formula>$L$10="El deducible mínimo para Elite es 5 UMAM"</formula>
    </cfRule>
  </conditionalFormatting>
  <conditionalFormatting sqref="C51:D58">
    <cfRule type="cellIs" dxfId="12" priority="11" stopIfTrue="1" operator="notEqual">
      <formula>""</formula>
    </cfRule>
  </conditionalFormatting>
  <conditionalFormatting sqref="C51:C58">
    <cfRule type="expression" dxfId="11" priority="12" stopIfTrue="1">
      <formula>$D51&lt;&gt;""</formula>
    </cfRule>
  </conditionalFormatting>
  <conditionalFormatting sqref="G51:G58">
    <cfRule type="cellIs" dxfId="10" priority="10" stopIfTrue="1" operator="notEqual">
      <formula>""</formula>
    </cfRule>
  </conditionalFormatting>
  <conditionalFormatting sqref="J51:J58">
    <cfRule type="cellIs" dxfId="9" priority="9" stopIfTrue="1" operator="notEqual">
      <formula>""</formula>
    </cfRule>
  </conditionalFormatting>
  <conditionalFormatting sqref="M51:N58">
    <cfRule type="cellIs" dxfId="8" priority="8" stopIfTrue="1" operator="notEqual">
      <formula>""</formula>
    </cfRule>
  </conditionalFormatting>
  <conditionalFormatting sqref="I12">
    <cfRule type="expression" dxfId="7" priority="7" stopIfTrue="1">
      <formula>"Indicar"</formula>
    </cfRule>
  </conditionalFormatting>
  <conditionalFormatting sqref="L12">
    <cfRule type="expression" dxfId="6" priority="6" stopIfTrue="1">
      <formula>"Indicar"</formula>
    </cfRule>
  </conditionalFormatting>
  <conditionalFormatting sqref="E31:N31 E33:N33">
    <cfRule type="expression" dxfId="5" priority="5" stopIfTrue="1">
      <formula>"Indicar"</formula>
    </cfRule>
  </conditionalFormatting>
  <conditionalFormatting sqref="E47:N47">
    <cfRule type="expression" dxfId="4" priority="4" stopIfTrue="1">
      <formula>"Indicar"</formula>
    </cfRule>
  </conditionalFormatting>
  <conditionalFormatting sqref="G60:G61 G63:G64 G66:G70 G72:G76 G78:G82">
    <cfRule type="expression" dxfId="3" priority="16">
      <formula>$G$49=""</formula>
    </cfRule>
  </conditionalFormatting>
  <conditionalFormatting sqref="J60:J61 J63:J64 J66:J70 J72:J76 J78:J82">
    <cfRule type="expression" dxfId="2" priority="17">
      <formula>$J$49=""</formula>
    </cfRule>
  </conditionalFormatting>
  <conditionalFormatting sqref="M60:N61 M63:N64 M66:N70 M72:N76 M78:N82">
    <cfRule type="expression" dxfId="1" priority="18">
      <formula>$M$49=""</formula>
    </cfRule>
  </conditionalFormatting>
  <conditionalFormatting sqref="P28">
    <cfRule type="expression" dxfId="0" priority="3" stopIfTrue="1">
      <formula>"Indicar"</formula>
    </cfRule>
  </conditionalFormatting>
  <hyperlinks>
    <hyperlink ref="B93" r:id="rId1"/>
    <hyperlink ref="H94" r:id="rId2"/>
  </hyperlinks>
  <printOptions horizontalCentered="1"/>
  <pageMargins left="0.15748031496062992" right="0.15748031496062992" top="0.82677165354330717" bottom="0.43307086614173229" header="0.27559055118110237" footer="0.23622047244094491"/>
  <pageSetup paperSize="9" scale="59" fitToHeight="2" orientation="portrait" r:id="rId3"/>
  <headerFooter alignWithMargins="0">
    <oddFooter>&amp;L&amp;"Book Antiqua,Normal"&amp;7&amp;K000000&amp;F / &amp;A
Cotización elaborada el : &amp;D&amp;C&amp;P&amp;R&amp;"Book Antiqua,Normal"&amp;7Cotizador de G.M.M.I.
Versión: TARIFA JULIO 2024 V.1
PROMOCIÓN</oddFooter>
  </headerFooter>
  <rowBreaks count="1" manualBreakCount="1">
    <brk id="46" max="16383" man="1"/>
  </rowBreaks>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F183"/>
  <sheetViews>
    <sheetView zoomScaleNormal="100" workbookViewId="0">
      <pane ySplit="3" topLeftCell="A63" activePane="bottomLeft" state="frozen"/>
      <selection pane="bottomLeft" activeCell="A71" sqref="A71"/>
    </sheetView>
  </sheetViews>
  <sheetFormatPr baseColWidth="10" defaultColWidth="6" defaultRowHeight="14.5"/>
  <cols>
    <col min="1" max="1" width="35.54296875" style="20" bestFit="1" customWidth="1"/>
    <col min="2" max="2" width="18.26953125" style="20" customWidth="1"/>
    <col min="3" max="3" width="25.81640625" style="20" bestFit="1" customWidth="1"/>
    <col min="4" max="4" width="13.1796875" style="20" customWidth="1"/>
    <col min="5" max="5" width="8.26953125" style="20" customWidth="1"/>
    <col min="6" max="6" width="12.7265625" style="20" bestFit="1" customWidth="1"/>
    <col min="7" max="7" width="20" style="20" bestFit="1" customWidth="1"/>
    <col min="8" max="8" width="8.26953125" style="20" customWidth="1"/>
    <col min="9" max="9" width="10.7265625" style="20" bestFit="1" customWidth="1"/>
    <col min="10" max="10" width="11.26953125" style="20" customWidth="1"/>
    <col min="11" max="11" width="14.54296875" style="20" customWidth="1"/>
    <col min="12" max="12" width="13.1796875" style="20" customWidth="1"/>
    <col min="13" max="13" width="10.81640625" style="20" customWidth="1"/>
    <col min="14" max="14" width="10.54296875" style="20" bestFit="1" customWidth="1"/>
    <col min="15" max="15" width="11.26953125" style="20" customWidth="1"/>
    <col min="16" max="17" width="12.453125" style="20" bestFit="1" customWidth="1"/>
    <col min="18" max="18" width="4.54296875" style="20" customWidth="1"/>
    <col min="19" max="19" width="9.81640625" style="20" customWidth="1"/>
    <col min="20" max="20" width="19.26953125" style="20" customWidth="1"/>
    <col min="21" max="21" width="14.54296875" style="20" bestFit="1" customWidth="1"/>
    <col min="22" max="22" width="12.81640625" style="20" customWidth="1"/>
    <col min="23" max="23" width="24" style="20" bestFit="1" customWidth="1"/>
    <col min="24" max="24" width="24" style="20" customWidth="1"/>
    <col min="25" max="25" width="22.81640625" style="20" bestFit="1" customWidth="1"/>
    <col min="26" max="26" width="19.453125" style="20" bestFit="1" customWidth="1"/>
    <col min="27" max="27" width="16.7265625" style="20" customWidth="1"/>
    <col min="28" max="28" width="9.453125" style="20" customWidth="1"/>
    <col min="29" max="29" width="15.54296875" style="20" bestFit="1" customWidth="1"/>
    <col min="30" max="30" width="39.54296875" style="20" customWidth="1"/>
    <col min="31" max="31" width="18.1796875" style="20" customWidth="1"/>
    <col min="32" max="32" width="4.54296875" style="20" customWidth="1"/>
    <col min="33" max="33" width="10.7265625" style="20" customWidth="1"/>
    <col min="34" max="34" width="14.453125" style="20" customWidth="1"/>
    <col min="35" max="35" width="10.7265625" style="20" customWidth="1"/>
    <col min="36" max="36" width="4.54296875" style="20" customWidth="1"/>
    <col min="37" max="37" width="10" style="20" customWidth="1"/>
    <col min="38" max="38" width="9" style="20" bestFit="1" customWidth="1"/>
    <col min="39" max="39" width="19.26953125" style="20" customWidth="1"/>
    <col min="40" max="40" width="6" style="20"/>
    <col min="41" max="41" width="33.26953125" style="20" bestFit="1" customWidth="1"/>
    <col min="42" max="42" width="10.81640625" style="20" customWidth="1"/>
    <col min="43" max="43" width="6" style="20"/>
    <col min="44" max="44" width="12.1796875" style="20" bestFit="1" customWidth="1"/>
    <col min="45" max="45" width="16.453125" style="20" bestFit="1" customWidth="1"/>
    <col min="46" max="46" width="18.1796875" style="20" bestFit="1" customWidth="1"/>
    <col min="47" max="47" width="6" style="20"/>
    <col min="48" max="48" width="10.81640625" style="20" customWidth="1"/>
    <col min="49" max="49" width="29.7265625" style="20" bestFit="1" customWidth="1"/>
    <col min="50" max="50" width="69.81640625" style="20" bestFit="1" customWidth="1"/>
    <col min="51" max="51" width="10.26953125" style="20" customWidth="1"/>
    <col min="52" max="52" width="13.7265625" style="20" customWidth="1"/>
    <col min="53" max="53" width="6" style="20"/>
    <col min="54" max="54" width="19" style="20" bestFit="1" customWidth="1"/>
    <col min="55" max="55" width="7.453125" style="20" bestFit="1" customWidth="1"/>
    <col min="56" max="56" width="10.26953125" style="20" bestFit="1" customWidth="1"/>
    <col min="57" max="57" width="5.1796875" style="20" bestFit="1" customWidth="1"/>
    <col min="58" max="58" width="5.26953125" style="20" customWidth="1"/>
    <col min="59" max="59" width="24" style="20" customWidth="1"/>
    <col min="60" max="16384" width="6" style="20"/>
  </cols>
  <sheetData>
    <row r="1" spans="1:58">
      <c r="A1"/>
      <c r="B1"/>
      <c r="I1" s="20" t="s">
        <v>397</v>
      </c>
      <c r="L1" s="20" t="s">
        <v>365</v>
      </c>
      <c r="Z1" s="20" t="s">
        <v>365</v>
      </c>
      <c r="AA1" s="20" t="s">
        <v>365</v>
      </c>
      <c r="BB1" s="20" t="s">
        <v>383</v>
      </c>
      <c r="BC1" s="20">
        <f>b</f>
        <v>1</v>
      </c>
      <c r="BD1" s="20" t="s">
        <v>387</v>
      </c>
      <c r="BE1" s="20" t="s">
        <v>391</v>
      </c>
      <c r="BF1" s="20" t="s">
        <v>386</v>
      </c>
    </row>
    <row r="2" spans="1:58">
      <c r="F2" s="31"/>
      <c r="G2" s="31"/>
      <c r="H2" s="31"/>
      <c r="I2" s="20" t="s">
        <v>398</v>
      </c>
      <c r="J2" s="32"/>
      <c r="K2" s="32"/>
      <c r="L2" s="20" t="s">
        <v>370</v>
      </c>
      <c r="P2" s="39" t="s">
        <v>301</v>
      </c>
      <c r="Q2" s="39" t="s">
        <v>302</v>
      </c>
      <c r="V2" s="34"/>
      <c r="W2" s="34"/>
      <c r="X2" s="34"/>
      <c r="Y2" s="34"/>
      <c r="Z2" s="20" t="s">
        <v>370</v>
      </c>
      <c r="AA2" s="20" t="s">
        <v>370</v>
      </c>
      <c r="AW2" s="20">
        <f>+VLOOKUP('CAPTURA DP'!B5,DATOS!$S$4:$Z$51,8,0)</f>
        <v>0</v>
      </c>
      <c r="BB2" s="20" t="s">
        <v>389</v>
      </c>
      <c r="BC2" s="20">
        <f>p</f>
        <v>1</v>
      </c>
      <c r="BE2" s="20" t="s">
        <v>392</v>
      </c>
      <c r="BF2" s="20" t="s">
        <v>388</v>
      </c>
    </row>
    <row r="3" spans="1:58" ht="31">
      <c r="A3" s="237" t="s">
        <v>334</v>
      </c>
      <c r="B3" s="237" t="s">
        <v>333</v>
      </c>
      <c r="C3"/>
      <c r="D3"/>
      <c r="E3" s="231" t="s">
        <v>334</v>
      </c>
      <c r="F3" s="231" t="s">
        <v>59</v>
      </c>
      <c r="G3" s="231" t="s">
        <v>339</v>
      </c>
      <c r="H3" s="231" t="s">
        <v>334</v>
      </c>
      <c r="I3" s="231" t="s">
        <v>342</v>
      </c>
      <c r="J3" s="231" t="s">
        <v>340</v>
      </c>
      <c r="K3" s="231" t="s">
        <v>341</v>
      </c>
      <c r="L3" s="231" t="s">
        <v>364</v>
      </c>
      <c r="M3" s="232" t="s">
        <v>334</v>
      </c>
      <c r="N3" s="232" t="s">
        <v>86</v>
      </c>
      <c r="O3" s="232" t="s">
        <v>343</v>
      </c>
      <c r="P3" s="232" t="s">
        <v>328</v>
      </c>
      <c r="Q3" s="232" t="s">
        <v>329</v>
      </c>
      <c r="R3" s="230"/>
      <c r="S3" s="233" t="s">
        <v>334</v>
      </c>
      <c r="T3" s="233" t="s">
        <v>333</v>
      </c>
      <c r="U3" s="233" t="s">
        <v>335</v>
      </c>
      <c r="V3" s="233" t="s">
        <v>336</v>
      </c>
      <c r="W3" s="233" t="s">
        <v>511</v>
      </c>
      <c r="X3" s="233" t="s">
        <v>510</v>
      </c>
      <c r="Y3" s="233" t="s">
        <v>337</v>
      </c>
      <c r="Z3" s="233" t="s">
        <v>338</v>
      </c>
      <c r="AA3" s="233" t="s">
        <v>447</v>
      </c>
      <c r="AB3" s="234" t="s">
        <v>334</v>
      </c>
      <c r="AC3" s="234" t="s">
        <v>85</v>
      </c>
      <c r="AD3" s="234" t="s">
        <v>85</v>
      </c>
      <c r="AE3" s="234" t="s">
        <v>251</v>
      </c>
      <c r="AF3" s="230"/>
      <c r="AG3" s="243"/>
      <c r="AH3" s="243"/>
      <c r="AI3" s="243" t="s">
        <v>344</v>
      </c>
      <c r="AJ3" s="230"/>
      <c r="AK3" s="243"/>
      <c r="AL3" s="243"/>
      <c r="AM3" s="243" t="s">
        <v>345</v>
      </c>
      <c r="AN3" s="230"/>
      <c r="AO3" s="235" t="s">
        <v>74</v>
      </c>
      <c r="AP3" s="235" t="s">
        <v>330</v>
      </c>
      <c r="AQ3" s="230"/>
      <c r="AR3" s="689" t="s">
        <v>76</v>
      </c>
      <c r="AS3" s="689"/>
      <c r="AT3" s="689"/>
      <c r="AU3" s="230"/>
      <c r="AV3" s="236" t="s">
        <v>334</v>
      </c>
      <c r="AW3" s="236" t="s">
        <v>333</v>
      </c>
      <c r="AX3" s="236" t="s">
        <v>332</v>
      </c>
      <c r="AY3" s="236" t="s">
        <v>362</v>
      </c>
      <c r="AZ3" s="236" t="s">
        <v>363</v>
      </c>
      <c r="BB3" s="291" t="s">
        <v>379</v>
      </c>
      <c r="BC3" s="291" t="s">
        <v>380</v>
      </c>
      <c r="BD3" s="291" t="s">
        <v>381</v>
      </c>
      <c r="BE3" s="291" t="s">
        <v>382</v>
      </c>
    </row>
    <row r="4" spans="1:58">
      <c r="A4" s="238">
        <v>1</v>
      </c>
      <c r="B4" s="238" t="s">
        <v>492</v>
      </c>
      <c r="C4"/>
      <c r="D4"/>
      <c r="E4" s="38">
        <v>1</v>
      </c>
      <c r="F4" s="302">
        <v>0.1</v>
      </c>
      <c r="G4" s="38">
        <v>1</v>
      </c>
      <c r="H4" s="38">
        <v>1</v>
      </c>
      <c r="I4" s="38" t="str">
        <f t="shared" ref="I4:I67" si="0">+E4&amp;H4</f>
        <v>11</v>
      </c>
      <c r="J4" s="225">
        <f>+IF(p=1,0,4000)</f>
        <v>0</v>
      </c>
      <c r="K4" s="218">
        <f>+IF(p=1,1,0.92)</f>
        <v>1</v>
      </c>
      <c r="L4" s="38">
        <v>1</v>
      </c>
      <c r="M4" s="39">
        <v>1</v>
      </c>
      <c r="N4" s="39">
        <v>5</v>
      </c>
      <c r="O4" s="290">
        <f>+Q4</f>
        <v>1</v>
      </c>
      <c r="P4" s="296">
        <v>0.97450000000000003</v>
      </c>
      <c r="Q4" s="296">
        <v>1</v>
      </c>
      <c r="R4" s="226"/>
      <c r="S4" s="241">
        <v>1</v>
      </c>
      <c r="T4" s="241" t="s">
        <v>274</v>
      </c>
      <c r="U4" s="241" t="s">
        <v>111</v>
      </c>
      <c r="V4" s="241" t="s">
        <v>13</v>
      </c>
      <c r="W4" s="311">
        <v>43.54</v>
      </c>
      <c r="X4" s="311">
        <v>46.15</v>
      </c>
      <c r="Y4" s="241">
        <v>88</v>
      </c>
      <c r="Z4" s="241">
        <v>0</v>
      </c>
      <c r="AA4" s="241">
        <f t="shared" ref="AA4:AA13" si="1">+IF(p&gt;3,0,1)</f>
        <v>1</v>
      </c>
      <c r="AB4" s="40">
        <v>1</v>
      </c>
      <c r="AC4" s="268">
        <v>200</v>
      </c>
      <c r="AD4" s="206" t="str">
        <f>+IF(p=1," 200  UMAM ","1,000,000 Dlls")</f>
        <v xml:space="preserve"> 200  UMAM </v>
      </c>
      <c r="AE4" s="227">
        <v>1</v>
      </c>
      <c r="AF4" s="228"/>
      <c r="AG4" s="244">
        <v>1</v>
      </c>
      <c r="AH4" s="245">
        <v>0.1</v>
      </c>
      <c r="AI4" s="245">
        <f>+IF(p=2,"10%",AH4)</f>
        <v>0.1</v>
      </c>
      <c r="AJ4" s="228"/>
      <c r="AK4" s="244">
        <v>1</v>
      </c>
      <c r="AL4" s="298">
        <f>+IF(p=2,4000,0)</f>
        <v>0</v>
      </c>
      <c r="AM4" s="244" t="str">
        <f>+IF(p=2,"4,000 Dlls","Sin Tope")</f>
        <v>Sin Tope</v>
      </c>
      <c r="AO4" s="41" t="s">
        <v>71</v>
      </c>
      <c r="AP4" s="42">
        <v>0</v>
      </c>
      <c r="AR4" s="690" t="s">
        <v>70</v>
      </c>
      <c r="AS4" s="690"/>
      <c r="AT4" s="691" t="s">
        <v>331</v>
      </c>
      <c r="AV4" s="44">
        <v>1</v>
      </c>
      <c r="AW4" s="44" t="s">
        <v>505</v>
      </c>
      <c r="AX4" s="44" t="s">
        <v>505</v>
      </c>
      <c r="AY4" s="44">
        <v>1</v>
      </c>
      <c r="AZ4" s="44">
        <v>1</v>
      </c>
      <c r="BB4" s="292" t="s">
        <v>384</v>
      </c>
      <c r="BC4" s="292">
        <v>0</v>
      </c>
      <c r="BD4" s="292">
        <v>0</v>
      </c>
      <c r="BE4" s="292">
        <v>0</v>
      </c>
    </row>
    <row r="5" spans="1:58">
      <c r="A5" s="238">
        <v>2</v>
      </c>
      <c r="B5" s="238" t="s">
        <v>60</v>
      </c>
      <c r="C5"/>
      <c r="D5"/>
      <c r="E5" s="38">
        <v>1</v>
      </c>
      <c r="F5" s="302">
        <v>0.1</v>
      </c>
      <c r="G5" s="38">
        <v>1</v>
      </c>
      <c r="H5" s="38">
        <v>2</v>
      </c>
      <c r="I5" s="38" t="str">
        <f t="shared" si="0"/>
        <v>12</v>
      </c>
      <c r="J5" s="225">
        <f>+IF(p=1,50000,4500)</f>
        <v>50000</v>
      </c>
      <c r="K5" s="218">
        <f>+IF(p=1,1.021966,0.91)</f>
        <v>1.0219659999999999</v>
      </c>
      <c r="L5" s="38">
        <v>1</v>
      </c>
      <c r="M5" s="39">
        <v>2</v>
      </c>
      <c r="N5" s="39">
        <v>6</v>
      </c>
      <c r="O5" s="290">
        <f>+IF('DATOS GENERALES'!$C$15="n",Q5,P5)</f>
        <v>0.95709999999999995</v>
      </c>
      <c r="P5" s="296">
        <v>0.92910000000000004</v>
      </c>
      <c r="Q5" s="296">
        <v>0.95709999999999995</v>
      </c>
      <c r="R5" s="226"/>
      <c r="S5" s="241">
        <v>2</v>
      </c>
      <c r="T5" s="241" t="s">
        <v>317</v>
      </c>
      <c r="U5" s="241" t="s">
        <v>12</v>
      </c>
      <c r="V5" s="241" t="s">
        <v>13</v>
      </c>
      <c r="W5" s="311">
        <v>43.4</v>
      </c>
      <c r="X5" s="311">
        <v>46</v>
      </c>
      <c r="Y5" s="241">
        <v>88</v>
      </c>
      <c r="Z5" s="241">
        <v>1</v>
      </c>
      <c r="AA5" s="241">
        <f t="shared" si="1"/>
        <v>1</v>
      </c>
      <c r="AB5" s="40">
        <v>2</v>
      </c>
      <c r="AC5" s="268">
        <v>220</v>
      </c>
      <c r="AD5" s="206" t="str">
        <f>+IF(p=1," 220  UMAM ","2,000,000 Dlls")</f>
        <v xml:space="preserve"> 220  UMAM </v>
      </c>
      <c r="AE5" s="227">
        <f>+IF(p=1,1.0061,1.041)</f>
        <v>1.0061</v>
      </c>
      <c r="AF5" s="228"/>
      <c r="AG5" s="244">
        <v>2</v>
      </c>
      <c r="AH5" s="245">
        <v>0.15</v>
      </c>
      <c r="AI5" s="245">
        <f t="shared" ref="AI5:AI12" si="2">+IF(p=2,"",AH5)</f>
        <v>0.15</v>
      </c>
      <c r="AJ5" s="228"/>
      <c r="AK5" s="244">
        <v>2</v>
      </c>
      <c r="AL5" s="298">
        <f>+IF(p=2,4500,50000)</f>
        <v>50000</v>
      </c>
      <c r="AM5" s="244" t="str">
        <f>+IF(p=2,"4,500 Dlls","50,000 M.N")</f>
        <v>50,000 M.N</v>
      </c>
      <c r="AO5" s="41" t="s">
        <v>72</v>
      </c>
      <c r="AP5" s="42">
        <v>0.05</v>
      </c>
      <c r="AR5" s="229" t="s">
        <v>78</v>
      </c>
      <c r="AS5" s="229" t="s">
        <v>79</v>
      </c>
      <c r="AT5" s="691"/>
      <c r="AV5" s="44">
        <v>2</v>
      </c>
      <c r="AW5" s="44" t="s">
        <v>506</v>
      </c>
      <c r="AX5" s="44" t="s">
        <v>506</v>
      </c>
      <c r="AY5" s="44">
        <v>1.1093</v>
      </c>
      <c r="AZ5" s="44">
        <v>1.1043000000000001</v>
      </c>
      <c r="BB5" s="292" t="s">
        <v>385</v>
      </c>
      <c r="BC5" s="292">
        <f>+IF(AND(b=1,p=1,d&lt;5),1,(IF('DATOS GENERALES'!A16&lt;&gt;"",1,0)))</f>
        <v>0</v>
      </c>
      <c r="BD5" s="292">
        <f>+IF(AND(b=1,p=1,d&lt;6),1,(IF('DATOS GENERALES'!A16&lt;&gt;"",1,0)))</f>
        <v>0</v>
      </c>
      <c r="BE5" s="292">
        <f>+IF(AND(b=1,p=1,d&lt;7),1,(IF('DATOS GENERALES'!A16&lt;&gt;"",1,0)))</f>
        <v>0</v>
      </c>
    </row>
    <row r="6" spans="1:58">
      <c r="A6"/>
      <c r="B6"/>
      <c r="C6"/>
      <c r="D6"/>
      <c r="E6" s="38">
        <v>1</v>
      </c>
      <c r="F6" s="302">
        <v>0.1</v>
      </c>
      <c r="G6" s="38">
        <v>1</v>
      </c>
      <c r="H6" s="38">
        <v>3</v>
      </c>
      <c r="I6" s="38" t="str">
        <f t="shared" si="0"/>
        <v>13</v>
      </c>
      <c r="J6" s="225">
        <f>+IF(p=1,60000,5000)</f>
        <v>60000</v>
      </c>
      <c r="K6" s="218">
        <f>+IF(p=1,1.018799,0.9)</f>
        <v>1.018799</v>
      </c>
      <c r="L6" s="38">
        <v>1</v>
      </c>
      <c r="M6" s="39">
        <v>3</v>
      </c>
      <c r="N6" s="39">
        <v>7</v>
      </c>
      <c r="O6" s="290">
        <f>+IF('DATOS GENERALES'!$C$15="n",Q6,P6)</f>
        <v>0.91269999999999996</v>
      </c>
      <c r="P6" s="296">
        <v>0.88270000000000004</v>
      </c>
      <c r="Q6" s="296">
        <v>0.91269999999999996</v>
      </c>
      <c r="R6" s="226"/>
      <c r="S6" s="241">
        <v>3</v>
      </c>
      <c r="T6" s="241" t="s">
        <v>303</v>
      </c>
      <c r="U6" s="241" t="s">
        <v>289</v>
      </c>
      <c r="V6" s="241" t="s">
        <v>15</v>
      </c>
      <c r="W6" s="311">
        <v>43.54</v>
      </c>
      <c r="X6" s="311">
        <v>46.15</v>
      </c>
      <c r="Y6" s="241">
        <v>88</v>
      </c>
      <c r="Z6" s="241">
        <v>0</v>
      </c>
      <c r="AA6" s="241">
        <f t="shared" si="1"/>
        <v>1</v>
      </c>
      <c r="AB6" s="40">
        <v>3</v>
      </c>
      <c r="AC6" s="268">
        <v>250</v>
      </c>
      <c r="AD6" s="206" t="str">
        <f>+IF(p=1," 250  UMAM ","3,000,000 Dlls")</f>
        <v xml:space="preserve"> 250  UMAM </v>
      </c>
      <c r="AE6" s="227">
        <f>+IF(p=1,1.0154,1.065)</f>
        <v>1.0154000000000001</v>
      </c>
      <c r="AF6" s="228"/>
      <c r="AG6" s="244">
        <v>3</v>
      </c>
      <c r="AH6" s="245">
        <v>0.2</v>
      </c>
      <c r="AI6" s="245">
        <f t="shared" si="2"/>
        <v>0.2</v>
      </c>
      <c r="AJ6" s="228"/>
      <c r="AK6" s="244">
        <v>3</v>
      </c>
      <c r="AL6" s="298">
        <f>+IF(p=2,5000,60000)</f>
        <v>60000</v>
      </c>
      <c r="AM6" s="244" t="str">
        <f>+IF(p=2,"5,000 Dlls","60,000 M.N")</f>
        <v>60,000 M.N</v>
      </c>
      <c r="AO6" s="41" t="s">
        <v>75</v>
      </c>
      <c r="AP6" s="42">
        <v>7.4999999999999997E-2</v>
      </c>
      <c r="AR6" s="45">
        <v>0</v>
      </c>
      <c r="AS6" s="45">
        <v>1000</v>
      </c>
      <c r="AT6" s="46">
        <f>440+100</f>
        <v>540</v>
      </c>
      <c r="AV6" s="44">
        <v>3</v>
      </c>
      <c r="AW6" s="44" t="s">
        <v>507</v>
      </c>
      <c r="AX6" s="44" t="s">
        <v>507</v>
      </c>
      <c r="AY6" s="44">
        <v>1.2184999999999999</v>
      </c>
      <c r="AZ6" s="44">
        <v>1.2008000000000001</v>
      </c>
      <c r="BB6" s="292" t="s">
        <v>354</v>
      </c>
      <c r="BC6" s="292">
        <f>IF(p=2,1,0)</f>
        <v>0</v>
      </c>
      <c r="BD6" s="292">
        <f>IF(AND(p=1,'CAPTURA DP'!B9=2),1,0)</f>
        <v>0</v>
      </c>
      <c r="BE6" s="292">
        <f>IF(p=2,1,IF(AND(p=1,OR('CAPTURA DP'!B9=2,'CAPTURA DP'!B9=3)),1,0))</f>
        <v>0</v>
      </c>
    </row>
    <row r="7" spans="1:58">
      <c r="A7"/>
      <c r="B7"/>
      <c r="C7"/>
      <c r="D7"/>
      <c r="E7" s="38">
        <v>1</v>
      </c>
      <c r="F7" s="302">
        <v>0.1</v>
      </c>
      <c r="G7" s="38">
        <v>1</v>
      </c>
      <c r="H7" s="38">
        <v>4</v>
      </c>
      <c r="I7" s="38" t="str">
        <f t="shared" si="0"/>
        <v>14</v>
      </c>
      <c r="J7" s="225">
        <f>+IF(p=1,70000,5500)</f>
        <v>70000</v>
      </c>
      <c r="K7" s="218">
        <f>+IF(p=1,1.015882,0.89)</f>
        <v>1.015882</v>
      </c>
      <c r="L7" s="38">
        <v>1</v>
      </c>
      <c r="M7" s="39">
        <v>4</v>
      </c>
      <c r="N7" s="39">
        <v>8</v>
      </c>
      <c r="O7" s="290">
        <f>+IF('DATOS GENERALES'!$C$15="n",Q7,P7)</f>
        <v>0.88170000000000004</v>
      </c>
      <c r="P7" s="296">
        <v>0.84960000000000002</v>
      </c>
      <c r="Q7" s="296">
        <v>0.88170000000000004</v>
      </c>
      <c r="R7" s="226"/>
      <c r="S7" s="241">
        <v>4</v>
      </c>
      <c r="T7" s="241" t="s">
        <v>253</v>
      </c>
      <c r="U7" s="241" t="s">
        <v>82</v>
      </c>
      <c r="V7" s="241" t="s">
        <v>13</v>
      </c>
      <c r="W7" s="311">
        <v>43.4</v>
      </c>
      <c r="X7" s="311">
        <v>46</v>
      </c>
      <c r="Y7" s="241">
        <v>88</v>
      </c>
      <c r="Z7" s="241">
        <v>1</v>
      </c>
      <c r="AA7" s="241">
        <f t="shared" si="1"/>
        <v>1</v>
      </c>
      <c r="AB7" s="40">
        <v>4</v>
      </c>
      <c r="AC7" s="268">
        <v>300</v>
      </c>
      <c r="AD7" s="206" t="str">
        <f>+IF(p=1," 300  UMAM ","4,000,000 Dlls")</f>
        <v xml:space="preserve"> 300  UMAM </v>
      </c>
      <c r="AE7" s="227">
        <f>+IF(p=1,1.0307,1.082)</f>
        <v>1.0306999999999999</v>
      </c>
      <c r="AF7" s="228"/>
      <c r="AG7" s="244">
        <v>4</v>
      </c>
      <c r="AH7" s="245">
        <v>0.25</v>
      </c>
      <c r="AI7" s="245">
        <f t="shared" si="2"/>
        <v>0.25</v>
      </c>
      <c r="AJ7" s="228"/>
      <c r="AK7" s="244">
        <v>4</v>
      </c>
      <c r="AL7" s="298">
        <f>+IF(p=2,5500,70000)</f>
        <v>70000</v>
      </c>
      <c r="AM7" s="244" t="str">
        <f>+IF(p=2,"5,500 Dlls","70,000 M.N")</f>
        <v>70,000 M.N</v>
      </c>
      <c r="AO7" s="41" t="s">
        <v>73</v>
      </c>
      <c r="AP7" s="42">
        <v>0.09</v>
      </c>
      <c r="AR7" s="45">
        <f>+AS6+1</f>
        <v>1001</v>
      </c>
      <c r="AS7" s="45">
        <v>5000</v>
      </c>
      <c r="AT7" s="46">
        <f>440+100</f>
        <v>540</v>
      </c>
      <c r="AV7" s="44">
        <v>4</v>
      </c>
      <c r="AW7" s="44" t="str">
        <f>IF('CAPTURA DP'!F18="SI","Base + 200%",IF(AW2=0,"","Base - 25%"))</f>
        <v/>
      </c>
      <c r="AX7" s="44" t="str">
        <f>IF('CAPTURA DP'!F18="SI","Base + 200%",IF(AW2=0,"","Base - 25%"))</f>
        <v/>
      </c>
      <c r="AY7" s="44">
        <v>0.94540000000000002</v>
      </c>
      <c r="AZ7" s="44">
        <v>1.4016999999999999</v>
      </c>
      <c r="BB7" s="292" t="s">
        <v>85</v>
      </c>
      <c r="BC7" s="292">
        <f>IF(p=2,1,0)</f>
        <v>0</v>
      </c>
      <c r="BD7" s="292">
        <f>+IF('DATOS GENERALES'!A13="La Suma Asegurada seleccionada sólo aplica para plan Óptimo.",1,0)</f>
        <v>0</v>
      </c>
      <c r="BE7" s="292">
        <f>IF(p=2,1,IF('DATOS GENERALES'!A13="La Suma Asegurada seleccionada sólo aplica para plan Óptimo.",1,0))</f>
        <v>0</v>
      </c>
    </row>
    <row r="8" spans="1:58">
      <c r="A8"/>
      <c r="B8"/>
      <c r="C8"/>
      <c r="D8"/>
      <c r="E8" s="38">
        <v>1</v>
      </c>
      <c r="F8" s="302">
        <v>0.1</v>
      </c>
      <c r="G8" s="38">
        <v>1</v>
      </c>
      <c r="H8" s="38">
        <v>5</v>
      </c>
      <c r="I8" s="38" t="str">
        <f t="shared" si="0"/>
        <v>15</v>
      </c>
      <c r="J8" s="225">
        <f>+IF(p=1,75000,6000)</f>
        <v>75000</v>
      </c>
      <c r="K8" s="218">
        <f>+IF(p=1,1.014563,0.88)</f>
        <v>1.0145630000000001</v>
      </c>
      <c r="L8" s="38">
        <v>1</v>
      </c>
      <c r="M8" s="39">
        <v>5</v>
      </c>
      <c r="N8" s="39">
        <v>9</v>
      </c>
      <c r="O8" s="290">
        <f>+IF('DATOS GENERALES'!$C$15="n",Q8,P8)</f>
        <v>0.82989999999999997</v>
      </c>
      <c r="P8" s="296">
        <v>0.79690000000000005</v>
      </c>
      <c r="Q8" s="296">
        <v>0.82989999999999997</v>
      </c>
      <c r="R8" s="226"/>
      <c r="S8" s="241">
        <v>5</v>
      </c>
      <c r="T8" s="241" t="s">
        <v>254</v>
      </c>
      <c r="U8" s="241" t="s">
        <v>20</v>
      </c>
      <c r="V8" s="241" t="s">
        <v>18</v>
      </c>
      <c r="W8" s="311">
        <v>61.29</v>
      </c>
      <c r="X8" s="311">
        <v>64.97</v>
      </c>
      <c r="Y8" s="241">
        <v>88</v>
      </c>
      <c r="Z8" s="241">
        <v>1</v>
      </c>
      <c r="AA8" s="241">
        <f t="shared" si="1"/>
        <v>1</v>
      </c>
      <c r="AB8" s="40">
        <v>5</v>
      </c>
      <c r="AC8" s="268">
        <v>350</v>
      </c>
      <c r="AD8" s="206" t="str">
        <f>+IF(p=1," 350  UMAM ","5,000,000 Dlls")</f>
        <v xml:space="preserve"> 350  UMAM </v>
      </c>
      <c r="AE8" s="227">
        <f>+IF(p=1,1.0416,1.14)</f>
        <v>1.0416000000000001</v>
      </c>
      <c r="AF8" s="228"/>
      <c r="AG8" s="244">
        <v>5</v>
      </c>
      <c r="AH8" s="245">
        <v>0.3</v>
      </c>
      <c r="AI8" s="245">
        <f t="shared" si="2"/>
        <v>0.3</v>
      </c>
      <c r="AJ8" s="228"/>
      <c r="AK8" s="244">
        <v>5</v>
      </c>
      <c r="AL8" s="298">
        <f>+IF(p=2,6000,75000)</f>
        <v>75000</v>
      </c>
      <c r="AM8" s="244" t="str">
        <f>+IF(p=2,"6,000 Dlls","75,000 M.N")</f>
        <v>75,000 M.N</v>
      </c>
      <c r="AO8"/>
      <c r="AP8"/>
      <c r="AR8" s="45">
        <f t="shared" ref="AR8:AR14" si="3">+AS7+1</f>
        <v>5001</v>
      </c>
      <c r="AS8" s="45">
        <v>10000</v>
      </c>
      <c r="AT8" s="46">
        <f>440+100</f>
        <v>540</v>
      </c>
      <c r="AX8"/>
      <c r="BB8" s="292" t="s">
        <v>390</v>
      </c>
      <c r="BC8" s="292">
        <f>+IF(AND(b=1,p=2),1,0)</f>
        <v>0</v>
      </c>
      <c r="BD8" s="292">
        <v>0</v>
      </c>
      <c r="BE8" s="292">
        <f>+IF(AND(b=1,p=2),1,0)</f>
        <v>0</v>
      </c>
    </row>
    <row r="9" spans="1:58">
      <c r="A9"/>
      <c r="B9"/>
      <c r="C9"/>
      <c r="D9"/>
      <c r="E9" s="38">
        <v>1</v>
      </c>
      <c r="F9" s="302">
        <v>0.1</v>
      </c>
      <c r="G9" s="38">
        <v>1</v>
      </c>
      <c r="H9" s="38">
        <v>6</v>
      </c>
      <c r="I9" s="38" t="str">
        <f t="shared" si="0"/>
        <v>16</v>
      </c>
      <c r="J9" s="225">
        <f>+IF(p=1,80000,6500)</f>
        <v>80000</v>
      </c>
      <c r="K9" s="218">
        <f>+IF(p=1,1.01335,0.87)</f>
        <v>1.01335</v>
      </c>
      <c r="L9" s="38">
        <v>1</v>
      </c>
      <c r="M9" s="39">
        <v>6</v>
      </c>
      <c r="N9" s="39">
        <v>10</v>
      </c>
      <c r="O9" s="290">
        <f>+IF('DATOS GENERALES'!$C$15="n",Q9,P9)</f>
        <v>0.7621</v>
      </c>
      <c r="P9" s="296">
        <v>0.72940000000000005</v>
      </c>
      <c r="Q9" s="296">
        <v>0.7621</v>
      </c>
      <c r="R9" s="226"/>
      <c r="S9" s="241">
        <v>6</v>
      </c>
      <c r="T9" s="241" t="s">
        <v>304</v>
      </c>
      <c r="U9" s="241" t="s">
        <v>288</v>
      </c>
      <c r="V9" s="241" t="s">
        <v>18</v>
      </c>
      <c r="W9" s="311">
        <v>50.7</v>
      </c>
      <c r="X9" s="311">
        <v>53.74</v>
      </c>
      <c r="Y9" s="241">
        <v>88</v>
      </c>
      <c r="Z9" s="241">
        <v>0</v>
      </c>
      <c r="AA9" s="241">
        <f t="shared" si="1"/>
        <v>1</v>
      </c>
      <c r="AB9" s="40">
        <v>6</v>
      </c>
      <c r="AC9" s="268">
        <v>400</v>
      </c>
      <c r="AD9" s="206" t="str">
        <f>+IF(p=1," 400  UMAM ","")</f>
        <v xml:space="preserve"> 400  UMAM </v>
      </c>
      <c r="AE9" s="227">
        <v>1.0525</v>
      </c>
      <c r="AF9" s="228"/>
      <c r="AG9" s="244">
        <v>6</v>
      </c>
      <c r="AH9" s="245">
        <v>0.35</v>
      </c>
      <c r="AI9" s="245">
        <f t="shared" si="2"/>
        <v>0.35</v>
      </c>
      <c r="AJ9" s="228"/>
      <c r="AK9" s="244">
        <v>6</v>
      </c>
      <c r="AL9" s="298">
        <f>+IF(p=2,6500,80000)</f>
        <v>80000</v>
      </c>
      <c r="AM9" s="244" t="str">
        <f>+IF(p=2,"6,500 Dlls","80,000 M.N")</f>
        <v>80,000 M.N</v>
      </c>
      <c r="AO9" s="41" t="s">
        <v>77</v>
      </c>
      <c r="AP9" s="43">
        <v>0</v>
      </c>
      <c r="AR9" s="45">
        <f t="shared" si="3"/>
        <v>10001</v>
      </c>
      <c r="AS9" s="45">
        <v>30000</v>
      </c>
      <c r="AT9" s="46">
        <f>440+100</f>
        <v>540</v>
      </c>
      <c r="BB9" s="303" t="s">
        <v>406</v>
      </c>
      <c r="BC9" s="304">
        <f ca="1">+'DATOS GENERALES'!$D$39</f>
        <v>1</v>
      </c>
      <c r="BD9" s="304">
        <f ca="1">+'DATOS GENERALES'!$D$39</f>
        <v>1</v>
      </c>
      <c r="BE9" s="304">
        <f ca="1">+'DATOS GENERALES'!$D$39</f>
        <v>1</v>
      </c>
    </row>
    <row r="10" spans="1:58">
      <c r="D10"/>
      <c r="E10" s="38">
        <v>1</v>
      </c>
      <c r="F10" s="302">
        <v>0.1</v>
      </c>
      <c r="G10" s="38">
        <v>1</v>
      </c>
      <c r="H10" s="38">
        <v>7</v>
      </c>
      <c r="I10" s="38" t="str">
        <f t="shared" si="0"/>
        <v>17</v>
      </c>
      <c r="J10" s="225">
        <v>85000</v>
      </c>
      <c r="K10" s="218">
        <v>1.0122340000000001</v>
      </c>
      <c r="L10" s="38">
        <v>1</v>
      </c>
      <c r="M10" s="39">
        <v>7</v>
      </c>
      <c r="N10" s="39">
        <v>11</v>
      </c>
      <c r="O10" s="290">
        <f>+IF('DATOS GENERALES'!$C$15="n",Q10,P10)</f>
        <v>0.72040000000000004</v>
      </c>
      <c r="P10" s="296">
        <v>0.68710000000000004</v>
      </c>
      <c r="Q10" s="296">
        <v>0.72040000000000004</v>
      </c>
      <c r="R10" s="226"/>
      <c r="S10" s="241">
        <v>7</v>
      </c>
      <c r="T10" s="241" t="s">
        <v>324</v>
      </c>
      <c r="U10" s="241" t="s">
        <v>325</v>
      </c>
      <c r="V10" s="241" t="s">
        <v>13</v>
      </c>
      <c r="W10" s="311">
        <v>43.54</v>
      </c>
      <c r="X10" s="311">
        <v>46.15</v>
      </c>
      <c r="Y10" s="241">
        <v>88</v>
      </c>
      <c r="Z10" s="241">
        <v>0</v>
      </c>
      <c r="AA10" s="241">
        <f t="shared" si="1"/>
        <v>1</v>
      </c>
      <c r="AB10" s="40">
        <v>7</v>
      </c>
      <c r="AC10" s="268">
        <v>410</v>
      </c>
      <c r="AD10" s="206" t="str">
        <f>+IF(p=1," 410  UMAM ","")</f>
        <v xml:space="preserve"> 410  UMAM </v>
      </c>
      <c r="AE10" s="227">
        <v>1.0542</v>
      </c>
      <c r="AF10" s="228"/>
      <c r="AG10" s="244">
        <v>7</v>
      </c>
      <c r="AH10" s="245">
        <v>0.4</v>
      </c>
      <c r="AI10" s="245">
        <f t="shared" si="2"/>
        <v>0.4</v>
      </c>
      <c r="AJ10" s="228"/>
      <c r="AK10" s="244">
        <v>7</v>
      </c>
      <c r="AL10" s="298">
        <f>+IF(p=2,0,85000)</f>
        <v>85000</v>
      </c>
      <c r="AM10" s="244" t="str">
        <f>+IF(p=2,"","85,000 M.N")</f>
        <v>85,000 M.N</v>
      </c>
      <c r="AO10" s="41" t="s">
        <v>413</v>
      </c>
      <c r="AP10" s="305">
        <f>+IF('CAPTURA DP'!$C$28="NO",0.16,0.08)</f>
        <v>0.16</v>
      </c>
      <c r="AR10" s="45">
        <f t="shared" si="3"/>
        <v>30001</v>
      </c>
      <c r="AS10" s="45">
        <v>50000</v>
      </c>
      <c r="AT10" s="46">
        <f>855+100</f>
        <v>955</v>
      </c>
    </row>
    <row r="11" spans="1:58">
      <c r="A11" s="239">
        <v>1</v>
      </c>
      <c r="B11" s="239" t="s">
        <v>529</v>
      </c>
      <c r="C11"/>
      <c r="D11"/>
      <c r="E11" s="38">
        <v>1</v>
      </c>
      <c r="F11" s="302">
        <v>0.1</v>
      </c>
      <c r="G11" s="38">
        <v>1</v>
      </c>
      <c r="H11" s="38">
        <v>8</v>
      </c>
      <c r="I11" s="38" t="str">
        <f t="shared" si="0"/>
        <v>18</v>
      </c>
      <c r="J11" s="225">
        <v>90000</v>
      </c>
      <c r="K11" s="218">
        <v>1.011209</v>
      </c>
      <c r="L11" s="38">
        <v>1</v>
      </c>
      <c r="M11" s="39">
        <v>8</v>
      </c>
      <c r="N11" s="39">
        <v>12</v>
      </c>
      <c r="O11" s="290">
        <f>+IF('DATOS GENERALES'!$C$15="n",Q11,P11)</f>
        <v>0.70120000000000005</v>
      </c>
      <c r="P11" s="296">
        <v>0.66659999999999997</v>
      </c>
      <c r="Q11" s="296">
        <v>0.70120000000000005</v>
      </c>
      <c r="R11" s="226"/>
      <c r="S11" s="241">
        <v>8</v>
      </c>
      <c r="T11" s="241" t="s">
        <v>440</v>
      </c>
      <c r="U11" s="241" t="s">
        <v>441</v>
      </c>
      <c r="V11" s="241" t="s">
        <v>18</v>
      </c>
      <c r="W11" s="311">
        <v>61.29</v>
      </c>
      <c r="X11" s="311">
        <v>64.97</v>
      </c>
      <c r="Y11" s="241">
        <v>88</v>
      </c>
      <c r="Z11" s="241">
        <v>0</v>
      </c>
      <c r="AA11" s="241">
        <f t="shared" si="1"/>
        <v>1</v>
      </c>
      <c r="AB11" s="40">
        <v>8</v>
      </c>
      <c r="AC11" s="268">
        <v>450</v>
      </c>
      <c r="AD11" s="206" t="str">
        <f>+IF(p=1," 450  UMAM ","")</f>
        <v xml:space="preserve"> 450  UMAM </v>
      </c>
      <c r="AE11" s="227">
        <v>1.0609</v>
      </c>
      <c r="AF11" s="228"/>
      <c r="AG11" s="244">
        <v>8</v>
      </c>
      <c r="AH11" s="245">
        <v>0.45</v>
      </c>
      <c r="AI11" s="245">
        <f t="shared" si="2"/>
        <v>0.45</v>
      </c>
      <c r="AJ11" s="228"/>
      <c r="AK11" s="244">
        <v>8</v>
      </c>
      <c r="AL11" s="298">
        <f>+IF(p=2,0,90000)</f>
        <v>90000</v>
      </c>
      <c r="AM11" s="244" t="str">
        <f>+IF(p=2,"","90,000 M.N")</f>
        <v>90,000 M.N</v>
      </c>
      <c r="AR11" s="45">
        <f t="shared" si="3"/>
        <v>50001</v>
      </c>
      <c r="AS11" s="45">
        <v>100000</v>
      </c>
      <c r="AT11" s="46">
        <f>855+100</f>
        <v>955</v>
      </c>
      <c r="BB11" s="293" t="s">
        <v>393</v>
      </c>
      <c r="BC11" s="293">
        <f ca="1">+SUM(BC4:BC9)</f>
        <v>1</v>
      </c>
      <c r="BD11" s="293">
        <f ca="1">+SUM(BD4:BD9)</f>
        <v>1</v>
      </c>
      <c r="BE11" s="293">
        <f ca="1">+SUM(BE4:BE9)</f>
        <v>1</v>
      </c>
    </row>
    <row r="12" spans="1:58">
      <c r="A12" s="239">
        <v>2</v>
      </c>
      <c r="B12" s="240" t="s">
        <v>348</v>
      </c>
      <c r="C12"/>
      <c r="D12"/>
      <c r="E12" s="38">
        <v>1</v>
      </c>
      <c r="F12" s="302">
        <v>0.1</v>
      </c>
      <c r="G12" s="38">
        <v>1</v>
      </c>
      <c r="H12" s="38">
        <v>9</v>
      </c>
      <c r="I12" s="38" t="str">
        <f t="shared" si="0"/>
        <v>19</v>
      </c>
      <c r="J12" s="225">
        <v>95000</v>
      </c>
      <c r="K12" s="218">
        <v>1.0102660000000001</v>
      </c>
      <c r="L12" s="38">
        <v>1</v>
      </c>
      <c r="M12" s="39">
        <v>9</v>
      </c>
      <c r="N12" s="39">
        <v>13</v>
      </c>
      <c r="O12" s="290">
        <f>+IF('DATOS GENERALES'!$C$15="n",Q12,P12)</f>
        <v>0.69489999999999996</v>
      </c>
      <c r="P12" s="296">
        <v>0.65849999999999997</v>
      </c>
      <c r="Q12" s="296">
        <v>0.69489999999999996</v>
      </c>
      <c r="R12" s="226"/>
      <c r="S12" s="241">
        <v>9</v>
      </c>
      <c r="T12" s="241" t="s">
        <v>305</v>
      </c>
      <c r="U12" s="241" t="s">
        <v>16</v>
      </c>
      <c r="V12" s="241" t="s">
        <v>15</v>
      </c>
      <c r="W12" s="311">
        <v>61.29</v>
      </c>
      <c r="X12" s="311">
        <v>64.97</v>
      </c>
      <c r="Y12" s="241">
        <v>88</v>
      </c>
      <c r="Z12" s="241">
        <v>1</v>
      </c>
      <c r="AA12" s="241">
        <f t="shared" si="1"/>
        <v>1</v>
      </c>
      <c r="AB12" s="40">
        <v>9</v>
      </c>
      <c r="AC12" s="268">
        <v>500</v>
      </c>
      <c r="AD12" s="206" t="str">
        <f>+IF(p=1," 500  UMAM ","")</f>
        <v xml:space="preserve"> 500  UMAM </v>
      </c>
      <c r="AE12" s="227">
        <v>1.0693999999999999</v>
      </c>
      <c r="AF12" s="228"/>
      <c r="AG12" s="244">
        <v>9</v>
      </c>
      <c r="AH12" s="245">
        <v>0.5</v>
      </c>
      <c r="AI12" s="245">
        <f t="shared" si="2"/>
        <v>0.5</v>
      </c>
      <c r="AJ12" s="228"/>
      <c r="AK12" s="244">
        <v>9</v>
      </c>
      <c r="AL12" s="298">
        <f>+IF(p=2,0,95000)</f>
        <v>95000</v>
      </c>
      <c r="AM12" s="244" t="str">
        <f>+IF(p=2,"","95,000 M.N")</f>
        <v>95,000 M.N</v>
      </c>
      <c r="AR12" s="45">
        <f t="shared" si="3"/>
        <v>100001</v>
      </c>
      <c r="AS12" s="45">
        <v>500000</v>
      </c>
      <c r="AT12" s="46">
        <f>1075+100</f>
        <v>1175</v>
      </c>
      <c r="BC12" s="20" t="s">
        <v>394</v>
      </c>
      <c r="BD12" s="20" t="s">
        <v>395</v>
      </c>
      <c r="BE12" s="20" t="s">
        <v>396</v>
      </c>
    </row>
    <row r="13" spans="1:58">
      <c r="A13"/>
      <c r="B13"/>
      <c r="C13"/>
      <c r="D13"/>
      <c r="E13" s="38">
        <v>1</v>
      </c>
      <c r="F13" s="302">
        <v>0.1</v>
      </c>
      <c r="G13" s="38">
        <v>1</v>
      </c>
      <c r="H13" s="38">
        <v>10</v>
      </c>
      <c r="I13" s="38" t="str">
        <f t="shared" si="0"/>
        <v>110</v>
      </c>
      <c r="J13" s="225">
        <v>100000</v>
      </c>
      <c r="K13" s="218">
        <v>1.0094000000000001</v>
      </c>
      <c r="L13" s="38">
        <v>1</v>
      </c>
      <c r="M13" s="39">
        <v>10</v>
      </c>
      <c r="N13" s="39">
        <v>14</v>
      </c>
      <c r="O13" s="290">
        <f>+IF('DATOS GENERALES'!$C$15="n",Q13,P13)</f>
        <v>0.68879999999999997</v>
      </c>
      <c r="P13" s="296">
        <v>0.65049999999999997</v>
      </c>
      <c r="Q13" s="296">
        <v>0.68879999999999997</v>
      </c>
      <c r="R13" s="226"/>
      <c r="S13" s="241">
        <v>10</v>
      </c>
      <c r="T13" s="241" t="s">
        <v>286</v>
      </c>
      <c r="U13" s="241" t="s">
        <v>96</v>
      </c>
      <c r="V13" s="241" t="s">
        <v>18</v>
      </c>
      <c r="W13" s="311">
        <v>53.24</v>
      </c>
      <c r="X13" s="311">
        <v>56.43</v>
      </c>
      <c r="Y13" s="241">
        <v>88</v>
      </c>
      <c r="Z13" s="241">
        <v>1</v>
      </c>
      <c r="AA13" s="241">
        <f t="shared" si="1"/>
        <v>1</v>
      </c>
      <c r="AB13" s="40">
        <v>10</v>
      </c>
      <c r="AC13" s="268">
        <v>530</v>
      </c>
      <c r="AD13" s="206" t="str">
        <f>+IF(p=1," 530  UMAM ","")</f>
        <v xml:space="preserve"> 530  UMAM </v>
      </c>
      <c r="AE13" s="227">
        <v>1.0734999999999999</v>
      </c>
      <c r="AF13" s="228"/>
      <c r="AG13" s="228"/>
      <c r="AH13" s="228"/>
      <c r="AI13" s="228"/>
      <c r="AJ13" s="228"/>
      <c r="AK13" s="244">
        <v>10</v>
      </c>
      <c r="AL13" s="298">
        <f>+IF(p=2,0,100000)</f>
        <v>100000</v>
      </c>
      <c r="AM13" s="244" t="str">
        <f>+IF(p=2,"","100,000 M.N")</f>
        <v>100,000 M.N</v>
      </c>
      <c r="AR13" s="45">
        <f t="shared" si="3"/>
        <v>500001</v>
      </c>
      <c r="AS13" s="45">
        <v>1000000</v>
      </c>
      <c r="AT13" s="46">
        <f>1615+100</f>
        <v>1715</v>
      </c>
    </row>
    <row r="14" spans="1:58">
      <c r="A14" s="215"/>
      <c r="B14" s="215" t="s">
        <v>300</v>
      </c>
      <c r="C14" s="215"/>
      <c r="D14"/>
      <c r="E14" s="38">
        <v>2</v>
      </c>
      <c r="F14" s="302">
        <v>0.15</v>
      </c>
      <c r="G14" s="38">
        <v>0.94440000000000002</v>
      </c>
      <c r="H14" s="38">
        <v>1</v>
      </c>
      <c r="I14" s="38" t="str">
        <f t="shared" si="0"/>
        <v>21</v>
      </c>
      <c r="J14" s="38">
        <v>0</v>
      </c>
      <c r="K14" s="218">
        <v>1</v>
      </c>
      <c r="L14" s="38">
        <v>1</v>
      </c>
      <c r="M14" s="39">
        <v>11</v>
      </c>
      <c r="N14" s="39">
        <v>15</v>
      </c>
      <c r="O14" s="290">
        <f>+IF('DATOS GENERALES'!$C$15="n",Q14,P14)</f>
        <v>0.68279999999999996</v>
      </c>
      <c r="P14" s="296">
        <v>0.64270000000000005</v>
      </c>
      <c r="Q14" s="296">
        <v>0.68279999999999996</v>
      </c>
      <c r="R14" s="226"/>
      <c r="S14" s="241">
        <v>11</v>
      </c>
      <c r="T14" s="241" t="s">
        <v>327</v>
      </c>
      <c r="U14" s="241" t="s">
        <v>326</v>
      </c>
      <c r="V14" s="241" t="s">
        <v>13</v>
      </c>
      <c r="W14" s="311">
        <v>43.54</v>
      </c>
      <c r="X14" s="311">
        <v>46.15</v>
      </c>
      <c r="Y14" s="241">
        <v>88</v>
      </c>
      <c r="Z14" s="241">
        <v>0</v>
      </c>
      <c r="AA14" s="241">
        <f>+IF(p&gt;3,0,1)</f>
        <v>1</v>
      </c>
      <c r="AB14" s="40">
        <v>11</v>
      </c>
      <c r="AC14" s="268">
        <v>535</v>
      </c>
      <c r="AD14" s="206" t="str">
        <f>+IF(p=1," 535  UMAM ","")</f>
        <v xml:space="preserve"> 535  UMAM </v>
      </c>
      <c r="AE14" s="227">
        <v>1.0742</v>
      </c>
      <c r="AF14" s="228"/>
      <c r="AG14" s="228"/>
      <c r="AH14" s="228"/>
      <c r="AI14" s="228"/>
      <c r="AJ14" s="228"/>
      <c r="AR14" s="45">
        <f t="shared" si="3"/>
        <v>1000001</v>
      </c>
      <c r="AS14" s="45">
        <v>9999999999</v>
      </c>
      <c r="AT14" s="46">
        <f>2150+100</f>
        <v>2250</v>
      </c>
    </row>
    <row r="15" spans="1:58">
      <c r="A15" s="215">
        <v>1</v>
      </c>
      <c r="B15" s="215">
        <v>14</v>
      </c>
      <c r="C15" s="215">
        <v>15</v>
      </c>
      <c r="D15"/>
      <c r="E15" s="38">
        <v>2</v>
      </c>
      <c r="F15" s="302">
        <v>0.15</v>
      </c>
      <c r="G15" s="38">
        <v>0.94440000000000002</v>
      </c>
      <c r="H15" s="38">
        <v>2</v>
      </c>
      <c r="I15" s="38" t="str">
        <f t="shared" si="0"/>
        <v>22</v>
      </c>
      <c r="J15" s="225">
        <v>50000</v>
      </c>
      <c r="K15" s="218">
        <v>1.0266660000000001</v>
      </c>
      <c r="L15" s="38">
        <v>1</v>
      </c>
      <c r="M15" s="39">
        <v>12</v>
      </c>
      <c r="N15" s="39">
        <v>16</v>
      </c>
      <c r="O15" s="290">
        <f>+IF('DATOS GENERALES'!$C$15="n",Q15,P15)</f>
        <v>0.6724</v>
      </c>
      <c r="P15" s="296">
        <v>0.63080000000000003</v>
      </c>
      <c r="Q15" s="296">
        <v>0.6724</v>
      </c>
      <c r="R15" s="226"/>
      <c r="S15" s="241">
        <v>12</v>
      </c>
      <c r="T15" s="241" t="s">
        <v>275</v>
      </c>
      <c r="U15" s="241" t="s">
        <v>113</v>
      </c>
      <c r="V15" s="241" t="s">
        <v>13</v>
      </c>
      <c r="W15" s="311">
        <v>43.4</v>
      </c>
      <c r="X15" s="311">
        <v>46</v>
      </c>
      <c r="Y15" s="241">
        <v>88</v>
      </c>
      <c r="Z15" s="241">
        <v>0</v>
      </c>
      <c r="AA15" s="241">
        <f>+IF(p&gt;3,0,1)</f>
        <v>1</v>
      </c>
      <c r="AB15" s="40">
        <v>12</v>
      </c>
      <c r="AC15" s="268">
        <v>550</v>
      </c>
      <c r="AD15" s="206" t="str">
        <f>+IF(p=1," 550  UMAM ","")</f>
        <v xml:space="preserve"> 550  UMAM </v>
      </c>
      <c r="AE15" s="227">
        <v>1.0763</v>
      </c>
      <c r="AF15" s="228"/>
      <c r="AG15" s="228"/>
      <c r="AH15" s="228"/>
      <c r="AI15" s="228"/>
      <c r="AJ15" s="228"/>
    </row>
    <row r="16" spans="1:58">
      <c r="A16" s="215">
        <v>2</v>
      </c>
      <c r="B16" s="215">
        <v>21</v>
      </c>
      <c r="C16" s="215">
        <v>22</v>
      </c>
      <c r="D16"/>
      <c r="E16" s="38">
        <v>2</v>
      </c>
      <c r="F16" s="302">
        <v>0.15</v>
      </c>
      <c r="G16" s="38">
        <v>0.94440000000000002</v>
      </c>
      <c r="H16" s="38">
        <v>3</v>
      </c>
      <c r="I16" s="38" t="str">
        <f t="shared" si="0"/>
        <v>23</v>
      </c>
      <c r="J16" s="225">
        <v>60000</v>
      </c>
      <c r="K16" s="218">
        <v>1.0228200000000001</v>
      </c>
      <c r="L16" s="38">
        <v>1</v>
      </c>
      <c r="M16" s="39">
        <v>13</v>
      </c>
      <c r="N16" s="39">
        <v>17</v>
      </c>
      <c r="O16" s="290">
        <f>+IF('DATOS GENERALES'!$C$15="n",Q16,P16)</f>
        <v>0.66180000000000005</v>
      </c>
      <c r="P16" s="296">
        <v>0.61880000000000002</v>
      </c>
      <c r="Q16" s="296">
        <v>0.66180000000000005</v>
      </c>
      <c r="R16" s="226"/>
      <c r="S16" s="241">
        <v>13</v>
      </c>
      <c r="T16" s="241" t="s">
        <v>255</v>
      </c>
      <c r="U16" s="241" t="s">
        <v>98</v>
      </c>
      <c r="V16" s="241" t="s">
        <v>13</v>
      </c>
      <c r="W16" s="311">
        <v>54.52</v>
      </c>
      <c r="X16" s="311">
        <v>57.79</v>
      </c>
      <c r="Y16" s="241">
        <v>88</v>
      </c>
      <c r="Z16" s="241">
        <v>1</v>
      </c>
      <c r="AA16" s="241">
        <f>+IF(p&gt;3,0,1)</f>
        <v>1</v>
      </c>
      <c r="AB16" s="40">
        <v>13</v>
      </c>
      <c r="AC16" s="268">
        <v>555</v>
      </c>
      <c r="AD16" s="206" t="str">
        <f>+IF(p=1," 555  UMAM ","")</f>
        <v xml:space="preserve"> 555  UMAM </v>
      </c>
      <c r="AE16" s="227">
        <v>1.077</v>
      </c>
      <c r="AF16" s="228"/>
      <c r="AG16" s="228"/>
      <c r="AH16" s="228"/>
      <c r="AI16" s="228"/>
      <c r="AJ16" s="228"/>
    </row>
    <row r="17" spans="1:36">
      <c r="A17" s="215">
        <v>3</v>
      </c>
      <c r="B17" s="215">
        <v>28</v>
      </c>
      <c r="C17" s="215">
        <v>29</v>
      </c>
      <c r="D17"/>
      <c r="E17" s="38">
        <v>2</v>
      </c>
      <c r="F17" s="302">
        <v>0.15</v>
      </c>
      <c r="G17" s="38">
        <v>0.94440000000000002</v>
      </c>
      <c r="H17" s="38">
        <v>4</v>
      </c>
      <c r="I17" s="38" t="str">
        <f t="shared" si="0"/>
        <v>24</v>
      </c>
      <c r="J17" s="225">
        <v>70000</v>
      </c>
      <c r="K17" s="218">
        <v>1.01928</v>
      </c>
      <c r="L17" s="38">
        <v>1</v>
      </c>
      <c r="M17" s="39">
        <v>14</v>
      </c>
      <c r="N17" s="39">
        <v>18</v>
      </c>
      <c r="O17" s="290">
        <f>+IF('DATOS GENERALES'!$C$15="n",Q17,P17)</f>
        <v>0.65139999999999998</v>
      </c>
      <c r="P17" s="296">
        <v>0.60709999999999997</v>
      </c>
      <c r="Q17" s="296">
        <v>0.65139999999999998</v>
      </c>
      <c r="R17" s="226"/>
      <c r="S17" s="241">
        <v>14</v>
      </c>
      <c r="T17" s="241" t="s">
        <v>306</v>
      </c>
      <c r="U17" s="241" t="s">
        <v>19</v>
      </c>
      <c r="V17" s="241" t="s">
        <v>13</v>
      </c>
      <c r="W17" s="311">
        <v>53.24</v>
      </c>
      <c r="X17" s="311">
        <v>56.43</v>
      </c>
      <c r="Y17" s="241">
        <v>88</v>
      </c>
      <c r="Z17" s="241">
        <v>1</v>
      </c>
      <c r="AA17" s="241">
        <f>+IF(p&gt;3,0,1)</f>
        <v>1</v>
      </c>
      <c r="AB17" s="40">
        <v>14</v>
      </c>
      <c r="AC17" s="268">
        <v>560</v>
      </c>
      <c r="AD17" s="206" t="str">
        <f>+IF(p=1," 560  UMAM ","")</f>
        <v xml:space="preserve"> 560  UMAM </v>
      </c>
      <c r="AE17" s="227">
        <v>1.0777000000000001</v>
      </c>
      <c r="AF17" s="228"/>
      <c r="AG17" s="228"/>
      <c r="AH17" s="228"/>
      <c r="AI17" s="228"/>
      <c r="AJ17" s="228"/>
    </row>
    <row r="18" spans="1:36">
      <c r="A18" s="216">
        <v>4</v>
      </c>
      <c r="B18" s="216">
        <v>35</v>
      </c>
      <c r="C18" s="216">
        <v>36</v>
      </c>
      <c r="D18"/>
      <c r="E18" s="38">
        <v>2</v>
      </c>
      <c r="F18" s="302">
        <v>0.15</v>
      </c>
      <c r="G18" s="38">
        <v>0.94440000000000002</v>
      </c>
      <c r="H18" s="38">
        <v>5</v>
      </c>
      <c r="I18" s="38" t="str">
        <f t="shared" si="0"/>
        <v>25</v>
      </c>
      <c r="J18" s="225">
        <v>75000</v>
      </c>
      <c r="K18" s="218">
        <v>1.017679</v>
      </c>
      <c r="L18" s="38">
        <v>1</v>
      </c>
      <c r="M18" s="39">
        <v>15</v>
      </c>
      <c r="N18" s="39">
        <v>19</v>
      </c>
      <c r="O18" s="290">
        <f>+IF('DATOS GENERALES'!$C$15="n",Q18,P18)</f>
        <v>0.64129999999999998</v>
      </c>
      <c r="P18" s="296">
        <v>0.59560000000000002</v>
      </c>
      <c r="Q18" s="296">
        <v>0.64129999999999998</v>
      </c>
      <c r="R18" s="226"/>
      <c r="S18" s="241">
        <v>15</v>
      </c>
      <c r="T18" s="241" t="s">
        <v>312</v>
      </c>
      <c r="U18" s="241" t="s">
        <v>314</v>
      </c>
      <c r="V18" s="241" t="s">
        <v>13</v>
      </c>
      <c r="W18" s="311">
        <v>53.24</v>
      </c>
      <c r="X18" s="311">
        <v>56.43</v>
      </c>
      <c r="Y18" s="241">
        <v>88</v>
      </c>
      <c r="Z18" s="241">
        <v>1</v>
      </c>
      <c r="AA18" s="241">
        <f>+IF(p&gt;3,0,1)</f>
        <v>1</v>
      </c>
      <c r="AB18" s="40">
        <v>15</v>
      </c>
      <c r="AC18" s="268">
        <v>568</v>
      </c>
      <c r="AD18" s="206" t="str">
        <f>+IF(p=1," 568  UMAM ","")</f>
        <v xml:space="preserve"> 568  UMAM </v>
      </c>
      <c r="AE18" s="227">
        <v>1.0788</v>
      </c>
      <c r="AF18" s="228"/>
      <c r="AG18" s="228"/>
      <c r="AH18" s="228"/>
      <c r="AI18" s="228"/>
      <c r="AJ18" s="228"/>
    </row>
    <row r="19" spans="1:36">
      <c r="A19" s="216">
        <v>5</v>
      </c>
      <c r="B19" s="216">
        <v>42</v>
      </c>
      <c r="C19" s="216">
        <v>43</v>
      </c>
      <c r="D19"/>
      <c r="E19" s="38">
        <v>2</v>
      </c>
      <c r="F19" s="302">
        <v>0.15</v>
      </c>
      <c r="G19" s="38">
        <v>0.94440000000000002</v>
      </c>
      <c r="H19" s="38">
        <v>6</v>
      </c>
      <c r="I19" s="38" t="str">
        <f t="shared" si="0"/>
        <v>26</v>
      </c>
      <c r="J19" s="225">
        <v>80000</v>
      </c>
      <c r="K19" s="218">
        <v>1.0162059999999999</v>
      </c>
      <c r="L19" s="38">
        <v>1</v>
      </c>
      <c r="M19" s="39">
        <v>16</v>
      </c>
      <c r="N19" s="39">
        <v>20</v>
      </c>
      <c r="O19" s="290">
        <f>+IF('DATOS GENERALES'!$C$15="n",Q19,P19)</f>
        <v>0.63139999999999996</v>
      </c>
      <c r="P19" s="296">
        <v>0.58450000000000002</v>
      </c>
      <c r="Q19" s="296">
        <v>0.63139999999999996</v>
      </c>
      <c r="R19" s="226"/>
      <c r="S19" s="241">
        <v>16</v>
      </c>
      <c r="T19" s="241" t="s">
        <v>256</v>
      </c>
      <c r="U19" s="241" t="s">
        <v>22</v>
      </c>
      <c r="V19" s="241" t="s">
        <v>13</v>
      </c>
      <c r="W19" s="311">
        <v>53.769999999999996</v>
      </c>
      <c r="X19" s="311">
        <v>70.150000000000006</v>
      </c>
      <c r="Y19" s="241">
        <v>88</v>
      </c>
      <c r="Z19" s="241">
        <v>0</v>
      </c>
      <c r="AA19" s="241">
        <v>0</v>
      </c>
      <c r="AB19" s="40">
        <v>16</v>
      </c>
      <c r="AC19" s="268">
        <v>600</v>
      </c>
      <c r="AD19" s="206" t="str">
        <f>+IF(p=1," 600  UMAM ","")</f>
        <v xml:space="preserve"> 600  UMAM </v>
      </c>
      <c r="AE19" s="227">
        <v>1.0831999999999999</v>
      </c>
      <c r="AF19" s="228"/>
      <c r="AG19" s="228"/>
      <c r="AH19" s="228"/>
      <c r="AI19" s="228"/>
      <c r="AJ19" s="228"/>
    </row>
    <row r="20" spans="1:36">
      <c r="A20" s="216">
        <v>6</v>
      </c>
      <c r="B20" s="216">
        <v>49</v>
      </c>
      <c r="C20" s="216">
        <v>50</v>
      </c>
      <c r="D20"/>
      <c r="E20" s="38">
        <v>2</v>
      </c>
      <c r="F20" s="302">
        <v>0.15</v>
      </c>
      <c r="G20" s="38">
        <v>0.94440000000000002</v>
      </c>
      <c r="H20" s="38">
        <v>7</v>
      </c>
      <c r="I20" s="38" t="str">
        <f t="shared" si="0"/>
        <v>27</v>
      </c>
      <c r="J20" s="225">
        <v>85000</v>
      </c>
      <c r="K20" s="218">
        <v>1.0148520000000001</v>
      </c>
      <c r="L20" s="38">
        <v>1</v>
      </c>
      <c r="M20" s="39">
        <v>17</v>
      </c>
      <c r="N20" s="39">
        <v>21</v>
      </c>
      <c r="O20" s="290">
        <f>+IF('DATOS GENERALES'!$C$15="n",Q20,P20)</f>
        <v>0.62170000000000003</v>
      </c>
      <c r="P20" s="296">
        <v>0.5736</v>
      </c>
      <c r="Q20" s="296">
        <v>0.62170000000000003</v>
      </c>
      <c r="R20" s="226"/>
      <c r="S20" s="241">
        <v>17</v>
      </c>
      <c r="T20" s="241" t="s">
        <v>257</v>
      </c>
      <c r="U20" s="241" t="s">
        <v>24</v>
      </c>
      <c r="V20" s="241" t="s">
        <v>18</v>
      </c>
      <c r="W20" s="311">
        <v>64.36</v>
      </c>
      <c r="X20" s="311">
        <v>68.22</v>
      </c>
      <c r="Y20" s="241">
        <v>88</v>
      </c>
      <c r="Z20" s="241">
        <v>1</v>
      </c>
      <c r="AA20" s="241">
        <f t="shared" ref="AA20:AA27" si="4">+IF(p&gt;3,0,1)</f>
        <v>1</v>
      </c>
      <c r="AB20" s="40">
        <v>17</v>
      </c>
      <c r="AC20" s="268">
        <v>650</v>
      </c>
      <c r="AD20" s="206" t="str">
        <f>+IF(p=1," 650  UMAM ","")</f>
        <v xml:space="preserve"> 650  UMAM </v>
      </c>
      <c r="AE20" s="227">
        <v>1.089</v>
      </c>
      <c r="AF20" s="228"/>
      <c r="AG20" s="228"/>
      <c r="AH20" s="228"/>
      <c r="AI20" s="228"/>
      <c r="AJ20" s="228"/>
    </row>
    <row r="21" spans="1:36">
      <c r="A21"/>
      <c r="B21"/>
      <c r="C21"/>
      <c r="D21"/>
      <c r="E21" s="38">
        <v>2</v>
      </c>
      <c r="F21" s="302">
        <v>0.15</v>
      </c>
      <c r="G21" s="38">
        <v>0.94440000000000002</v>
      </c>
      <c r="H21" s="38">
        <v>8</v>
      </c>
      <c r="I21" s="38" t="str">
        <f t="shared" si="0"/>
        <v>28</v>
      </c>
      <c r="J21" s="225">
        <v>90000</v>
      </c>
      <c r="K21" s="218">
        <v>1.013606</v>
      </c>
      <c r="L21" s="38">
        <v>1</v>
      </c>
      <c r="M21" s="39">
        <v>18</v>
      </c>
      <c r="N21" s="39">
        <v>22</v>
      </c>
      <c r="O21" s="290">
        <f>+IF('DATOS GENERALES'!$C$15="n",Q21,P21)</f>
        <v>0.61229999999999996</v>
      </c>
      <c r="P21" s="296">
        <v>0.56289999999999996</v>
      </c>
      <c r="Q21" s="296">
        <v>0.61229999999999996</v>
      </c>
      <c r="R21" s="226"/>
      <c r="S21" s="241">
        <v>18</v>
      </c>
      <c r="T21" s="241" t="s">
        <v>258</v>
      </c>
      <c r="U21" s="241" t="s">
        <v>290</v>
      </c>
      <c r="V21" s="241" t="s">
        <v>13</v>
      </c>
      <c r="W21" s="311">
        <v>43.4</v>
      </c>
      <c r="X21" s="311">
        <v>46</v>
      </c>
      <c r="Y21" s="241">
        <v>88</v>
      </c>
      <c r="Z21" s="241">
        <v>1</v>
      </c>
      <c r="AA21" s="241">
        <f t="shared" si="4"/>
        <v>1</v>
      </c>
      <c r="AB21" s="40">
        <v>18</v>
      </c>
      <c r="AC21" s="268">
        <v>675</v>
      </c>
      <c r="AD21" s="206" t="str">
        <f>+IF(p=1," 675  UMAM ","")</f>
        <v xml:space="preserve"> 675  UMAM </v>
      </c>
      <c r="AE21" s="227">
        <v>1.0911</v>
      </c>
      <c r="AF21" s="228"/>
      <c r="AG21" s="228"/>
      <c r="AH21" s="228"/>
      <c r="AI21" s="228"/>
      <c r="AJ21" s="228"/>
    </row>
    <row r="22" spans="1:36">
      <c r="A22" s="241" t="s">
        <v>91</v>
      </c>
      <c r="B22" s="241"/>
      <c r="D22"/>
      <c r="E22" s="38">
        <v>2</v>
      </c>
      <c r="F22" s="302">
        <v>0.15</v>
      </c>
      <c r="G22" s="38">
        <v>0.94440000000000002</v>
      </c>
      <c r="H22" s="38">
        <v>9</v>
      </c>
      <c r="I22" s="38" t="str">
        <f t="shared" si="0"/>
        <v>29</v>
      </c>
      <c r="J22" s="225">
        <v>95000</v>
      </c>
      <c r="K22" s="218">
        <v>1.012462</v>
      </c>
      <c r="L22" s="38">
        <v>1</v>
      </c>
      <c r="M22" s="39">
        <v>19</v>
      </c>
      <c r="N22" s="39">
        <v>23</v>
      </c>
      <c r="O22" s="290">
        <f>+IF('DATOS GENERALES'!$C$15="n",Q22,P22)</f>
        <v>0.60309999999999997</v>
      </c>
      <c r="P22" s="296">
        <v>0.55259999999999998</v>
      </c>
      <c r="Q22" s="296">
        <v>0.60309999999999997</v>
      </c>
      <c r="R22" s="226"/>
      <c r="S22" s="241">
        <v>19</v>
      </c>
      <c r="T22" s="241" t="s">
        <v>270</v>
      </c>
      <c r="U22" s="241" t="s">
        <v>291</v>
      </c>
      <c r="V22" s="241" t="s">
        <v>15</v>
      </c>
      <c r="W22" s="311">
        <v>53.24</v>
      </c>
      <c r="X22" s="311">
        <v>56.43</v>
      </c>
      <c r="Y22" s="241">
        <v>88</v>
      </c>
      <c r="Z22" s="241">
        <v>0</v>
      </c>
      <c r="AA22" s="241">
        <f t="shared" si="4"/>
        <v>1</v>
      </c>
      <c r="AB22" s="40">
        <v>19</v>
      </c>
      <c r="AC22" s="268">
        <v>700</v>
      </c>
      <c r="AD22" s="206" t="str">
        <f>+IF(p=1," 700  UMAM ","")</f>
        <v xml:space="preserve"> 700  UMAM </v>
      </c>
      <c r="AE22" s="227">
        <v>1.0949</v>
      </c>
      <c r="AF22" s="228"/>
      <c r="AG22" s="228"/>
      <c r="AH22" s="228"/>
      <c r="AI22" s="228"/>
      <c r="AJ22" s="228"/>
    </row>
    <row r="23" spans="1:36">
      <c r="A23" s="242">
        <v>45474</v>
      </c>
      <c r="B23" s="242">
        <v>45657</v>
      </c>
      <c r="C23" s="222"/>
      <c r="D23"/>
      <c r="E23" s="38">
        <v>2</v>
      </c>
      <c r="F23" s="302">
        <v>0.15</v>
      </c>
      <c r="G23" s="38">
        <v>0.94440000000000002</v>
      </c>
      <c r="H23" s="38">
        <v>10</v>
      </c>
      <c r="I23" s="38" t="str">
        <f t="shared" si="0"/>
        <v>210</v>
      </c>
      <c r="J23" s="225">
        <v>100000</v>
      </c>
      <c r="K23" s="218">
        <v>1.0114110000000001</v>
      </c>
      <c r="L23" s="38">
        <v>1</v>
      </c>
      <c r="M23" s="39">
        <v>20</v>
      </c>
      <c r="N23" s="39">
        <v>24</v>
      </c>
      <c r="O23" s="290">
        <f>+IF('DATOS GENERALES'!$C$15="n",Q23,P23)</f>
        <v>0.59409999999999996</v>
      </c>
      <c r="P23" s="296">
        <v>0.54249999999999998</v>
      </c>
      <c r="Q23" s="296">
        <v>0.59409999999999996</v>
      </c>
      <c r="R23" s="226"/>
      <c r="S23" s="241">
        <v>20</v>
      </c>
      <c r="T23" s="241" t="s">
        <v>307</v>
      </c>
      <c r="U23" s="241" t="s">
        <v>26</v>
      </c>
      <c r="V23" s="241" t="s">
        <v>13</v>
      </c>
      <c r="W23" s="311">
        <v>43.4</v>
      </c>
      <c r="X23" s="311">
        <v>46</v>
      </c>
      <c r="Y23" s="241">
        <v>88</v>
      </c>
      <c r="Z23" s="241">
        <v>1</v>
      </c>
      <c r="AA23" s="241">
        <f t="shared" si="4"/>
        <v>1</v>
      </c>
      <c r="AB23" s="40">
        <v>20</v>
      </c>
      <c r="AC23" s="268">
        <v>750</v>
      </c>
      <c r="AD23" s="206" t="str">
        <f>+IF(p=1," 750  UMAM ","")</f>
        <v xml:space="preserve"> 750  UMAM </v>
      </c>
      <c r="AE23" s="227">
        <v>1.0999000000000001</v>
      </c>
      <c r="AF23" s="228"/>
      <c r="AG23" s="228"/>
      <c r="AH23" s="228"/>
      <c r="AI23" s="228"/>
      <c r="AJ23" s="228"/>
    </row>
    <row r="24" spans="1:36">
      <c r="A24" s="241" t="s">
        <v>92</v>
      </c>
      <c r="B24" s="241"/>
      <c r="D24"/>
      <c r="E24" s="38">
        <v>3</v>
      </c>
      <c r="F24" s="302">
        <v>0.2</v>
      </c>
      <c r="G24" s="38">
        <v>0.88890000000000002</v>
      </c>
      <c r="H24" s="38">
        <v>1</v>
      </c>
      <c r="I24" s="38" t="str">
        <f t="shared" si="0"/>
        <v>31</v>
      </c>
      <c r="J24" s="225">
        <v>0</v>
      </c>
      <c r="K24" s="218">
        <v>1</v>
      </c>
      <c r="L24" s="38">
        <v>1</v>
      </c>
      <c r="M24" s="39">
        <v>21</v>
      </c>
      <c r="N24" s="39">
        <v>25</v>
      </c>
      <c r="O24" s="290">
        <f>+IF('DATOS GENERALES'!$C$15="n",Q24,P24)</f>
        <v>0.58530000000000004</v>
      </c>
      <c r="P24" s="296">
        <v>0.53259999999999996</v>
      </c>
      <c r="Q24" s="296">
        <v>0.58530000000000004</v>
      </c>
      <c r="R24" s="226"/>
      <c r="S24" s="241">
        <v>21</v>
      </c>
      <c r="T24" s="241" t="s">
        <v>416</v>
      </c>
      <c r="U24" s="241" t="s">
        <v>417</v>
      </c>
      <c r="V24" s="241" t="s">
        <v>15</v>
      </c>
      <c r="W24" s="311">
        <v>53.24</v>
      </c>
      <c r="X24" s="311">
        <v>56.43</v>
      </c>
      <c r="Y24" s="241">
        <v>88</v>
      </c>
      <c r="Z24" s="241">
        <v>0</v>
      </c>
      <c r="AA24" s="241">
        <f t="shared" si="4"/>
        <v>1</v>
      </c>
      <c r="AB24" s="40">
        <v>21</v>
      </c>
      <c r="AC24" s="268">
        <v>800</v>
      </c>
      <c r="AD24" s="206" t="str">
        <f>+IF(p=1," 800  UMAM ","")</f>
        <v xml:space="preserve"> 800  UMAM </v>
      </c>
      <c r="AE24" s="227">
        <v>1.105</v>
      </c>
      <c r="AF24" s="228"/>
      <c r="AG24" s="228"/>
      <c r="AH24" s="228"/>
      <c r="AI24" s="228"/>
      <c r="AJ24" s="228"/>
    </row>
    <row r="25" spans="1:36">
      <c r="A25" s="242">
        <f ca="1">+'DATOS GENERALES'!C6</f>
        <v>45478</v>
      </c>
      <c r="B25" s="242">
        <f ca="1">+DATE(YEAR(A25)+1,MONTH(A25),DAY(A25))</f>
        <v>45843</v>
      </c>
      <c r="D25"/>
      <c r="E25" s="38">
        <v>3</v>
      </c>
      <c r="F25" s="302">
        <v>0.2</v>
      </c>
      <c r="G25" s="38">
        <v>0.88890000000000002</v>
      </c>
      <c r="H25" s="38">
        <v>2</v>
      </c>
      <c r="I25" s="38" t="str">
        <f t="shared" si="0"/>
        <v>32</v>
      </c>
      <c r="J25" s="225">
        <v>50000</v>
      </c>
      <c r="K25" s="218">
        <v>1.037674</v>
      </c>
      <c r="L25" s="38">
        <v>1</v>
      </c>
      <c r="M25" s="39">
        <v>22</v>
      </c>
      <c r="N25" s="39">
        <v>26</v>
      </c>
      <c r="O25" s="290">
        <f>+IF('DATOS GENERALES'!$C$15="n",Q25,P25)</f>
        <v>0.57020000000000004</v>
      </c>
      <c r="P25" s="296">
        <v>0.52700000000000002</v>
      </c>
      <c r="Q25" s="296">
        <v>0.57020000000000004</v>
      </c>
      <c r="R25" s="226"/>
      <c r="S25" s="241">
        <v>22</v>
      </c>
      <c r="T25" s="241" t="s">
        <v>411</v>
      </c>
      <c r="U25" s="241" t="s">
        <v>412</v>
      </c>
      <c r="V25" s="241" t="s">
        <v>13</v>
      </c>
      <c r="W25" s="311">
        <v>53.24</v>
      </c>
      <c r="X25" s="311">
        <v>56.43</v>
      </c>
      <c r="Y25" s="241">
        <v>88</v>
      </c>
      <c r="Z25" s="241">
        <v>0</v>
      </c>
      <c r="AA25" s="241">
        <f t="shared" si="4"/>
        <v>1</v>
      </c>
      <c r="AB25" s="40">
        <v>22</v>
      </c>
      <c r="AC25" s="268">
        <v>850</v>
      </c>
      <c r="AD25" s="206" t="str">
        <f>+IF(p=1," 850  UMAM ","")</f>
        <v xml:space="preserve"> 850  UMAM </v>
      </c>
      <c r="AE25" s="227">
        <v>1.1093999999999999</v>
      </c>
      <c r="AF25" s="228"/>
      <c r="AG25" s="228"/>
      <c r="AH25" s="228"/>
      <c r="AI25" s="228"/>
      <c r="AJ25" s="228"/>
    </row>
    <row r="26" spans="1:36">
      <c r="A26" s="241" t="s">
        <v>371</v>
      </c>
      <c r="B26" s="241"/>
      <c r="D26"/>
      <c r="E26" s="38">
        <v>3</v>
      </c>
      <c r="F26" s="302">
        <v>0.2</v>
      </c>
      <c r="G26" s="38">
        <v>0.88890000000000002</v>
      </c>
      <c r="H26" s="38">
        <v>3</v>
      </c>
      <c r="I26" s="38" t="str">
        <f t="shared" si="0"/>
        <v>33</v>
      </c>
      <c r="J26" s="225">
        <v>60000</v>
      </c>
      <c r="K26" s="218">
        <v>1.032241</v>
      </c>
      <c r="L26" s="38">
        <v>1</v>
      </c>
      <c r="M26" s="39">
        <v>23</v>
      </c>
      <c r="N26" s="39">
        <v>27</v>
      </c>
      <c r="O26" s="290">
        <f>+IF('DATOS GENERALES'!$C$15="n",Q26,P26)</f>
        <v>0.56200000000000006</v>
      </c>
      <c r="P26" s="296">
        <v>0.51880000000000004</v>
      </c>
      <c r="Q26" s="296">
        <v>0.56200000000000006</v>
      </c>
      <c r="R26" s="226"/>
      <c r="S26" s="241">
        <v>23</v>
      </c>
      <c r="T26" s="241" t="s">
        <v>308</v>
      </c>
      <c r="U26" s="241" t="s">
        <v>27</v>
      </c>
      <c r="V26" s="241" t="s">
        <v>13</v>
      </c>
      <c r="W26" s="311">
        <v>43.54</v>
      </c>
      <c r="X26" s="311">
        <v>46.15</v>
      </c>
      <c r="Y26" s="241">
        <v>88</v>
      </c>
      <c r="Z26" s="241">
        <v>1</v>
      </c>
      <c r="AA26" s="241">
        <f t="shared" si="4"/>
        <v>1</v>
      </c>
      <c r="AB26" s="40">
        <v>23</v>
      </c>
      <c r="AC26" s="268">
        <v>950</v>
      </c>
      <c r="AD26" s="206" t="str">
        <f>+IF(p=1," 950  UMAM ","")</f>
        <v xml:space="preserve"> 950  UMAM </v>
      </c>
      <c r="AE26" s="227">
        <v>1.1178999999999999</v>
      </c>
      <c r="AF26" s="228"/>
      <c r="AG26" s="228"/>
      <c r="AH26" s="228"/>
      <c r="AI26" s="228"/>
      <c r="AJ26" s="228"/>
    </row>
    <row r="27" spans="1:36">
      <c r="A27" s="242">
        <f ca="1">+TODAY()</f>
        <v>45478</v>
      </c>
      <c r="B27" s="242">
        <f ca="1">+A27+15</f>
        <v>45493</v>
      </c>
      <c r="D27"/>
      <c r="E27" s="38">
        <v>3</v>
      </c>
      <c r="F27" s="302">
        <v>0.2</v>
      </c>
      <c r="G27" s="38">
        <v>0.88890000000000002</v>
      </c>
      <c r="H27" s="38">
        <v>4</v>
      </c>
      <c r="I27" s="38" t="str">
        <f t="shared" si="0"/>
        <v>34</v>
      </c>
      <c r="J27" s="225">
        <v>70000</v>
      </c>
      <c r="K27" s="218">
        <v>1.027239</v>
      </c>
      <c r="L27" s="38">
        <v>1</v>
      </c>
      <c r="M27" s="39">
        <v>24</v>
      </c>
      <c r="N27" s="39">
        <v>28</v>
      </c>
      <c r="O27" s="290">
        <f>+IF('DATOS GENERALES'!$C$15="n",Q27,P27)</f>
        <v>0.55420000000000003</v>
      </c>
      <c r="P27" s="296">
        <v>0.51100000000000001</v>
      </c>
      <c r="Q27" s="296">
        <v>0.55420000000000003</v>
      </c>
      <c r="R27" s="226"/>
      <c r="S27" s="241">
        <v>24</v>
      </c>
      <c r="T27" s="241" t="s">
        <v>273</v>
      </c>
      <c r="U27" s="241" t="s">
        <v>110</v>
      </c>
      <c r="V27" s="241" t="s">
        <v>13</v>
      </c>
      <c r="W27" s="311">
        <v>54.52</v>
      </c>
      <c r="X27" s="311">
        <v>57.79</v>
      </c>
      <c r="Y27" s="241">
        <v>88</v>
      </c>
      <c r="Z27" s="241">
        <v>0</v>
      </c>
      <c r="AA27" s="241">
        <f t="shared" si="4"/>
        <v>1</v>
      </c>
      <c r="AB27" s="40">
        <v>24</v>
      </c>
      <c r="AC27" s="268">
        <v>990</v>
      </c>
      <c r="AD27" s="206" t="str">
        <f>+IF(p=1," 990  UMAM ","")</f>
        <v xml:space="preserve"> 990  UMAM </v>
      </c>
      <c r="AE27" s="227">
        <v>1.1211</v>
      </c>
      <c r="AF27" s="228"/>
      <c r="AG27" s="228"/>
      <c r="AH27" s="228"/>
      <c r="AI27" s="228"/>
      <c r="AJ27" s="228"/>
    </row>
    <row r="28" spans="1:36">
      <c r="A28" s="271">
        <v>1</v>
      </c>
      <c r="B28" s="272">
        <f ca="1">+'CAPTURA DP'!BF104</f>
        <v>0</v>
      </c>
      <c r="D28"/>
      <c r="E28" s="38">
        <v>3</v>
      </c>
      <c r="F28" s="302">
        <v>0.2</v>
      </c>
      <c r="G28" s="38">
        <v>0.88890000000000002</v>
      </c>
      <c r="H28" s="38">
        <v>5</v>
      </c>
      <c r="I28" s="38" t="str">
        <f t="shared" si="0"/>
        <v>35</v>
      </c>
      <c r="J28" s="225">
        <v>75000</v>
      </c>
      <c r="K28" s="218">
        <v>1.024977</v>
      </c>
      <c r="L28" s="38">
        <v>1</v>
      </c>
      <c r="M28" s="39">
        <v>25</v>
      </c>
      <c r="N28" s="39">
        <v>29</v>
      </c>
      <c r="O28" s="290">
        <f>+IF('DATOS GENERALES'!$C$15="n",Q28,P28)</f>
        <v>0.54679999999999995</v>
      </c>
      <c r="P28" s="296">
        <v>0.50360000000000005</v>
      </c>
      <c r="Q28" s="296">
        <v>0.54679999999999995</v>
      </c>
      <c r="R28" s="226"/>
      <c r="S28" s="241">
        <v>25</v>
      </c>
      <c r="T28" s="241" t="s">
        <v>271</v>
      </c>
      <c r="U28" s="241" t="s">
        <v>97</v>
      </c>
      <c r="V28" s="241" t="s">
        <v>15</v>
      </c>
      <c r="W28" s="311">
        <v>53.24</v>
      </c>
      <c r="X28" s="311">
        <v>56.43</v>
      </c>
      <c r="Y28" s="241">
        <v>88</v>
      </c>
      <c r="Z28" s="241">
        <v>0</v>
      </c>
      <c r="AA28" s="241">
        <f>+IF(p&gt;3,0,1)</f>
        <v>1</v>
      </c>
      <c r="AB28" s="40">
        <v>25</v>
      </c>
      <c r="AC28" s="268">
        <v>1000</v>
      </c>
      <c r="AD28" s="206" t="str">
        <f>+IF(p=1," 1,000  UMAM ","")</f>
        <v xml:space="preserve"> 1,000  UMAM </v>
      </c>
      <c r="AE28" s="227">
        <v>1.1218999999999999</v>
      </c>
      <c r="AF28" s="228"/>
      <c r="AG28" s="228"/>
      <c r="AH28" s="228"/>
      <c r="AI28" s="228"/>
      <c r="AJ28" s="228"/>
    </row>
    <row r="29" spans="1:36">
      <c r="A29" s="271">
        <v>2</v>
      </c>
      <c r="B29" s="272">
        <f ca="1">+'CAPTURA DP'!BM104</f>
        <v>0</v>
      </c>
      <c r="D29"/>
      <c r="E29" s="38">
        <v>3</v>
      </c>
      <c r="F29" s="302">
        <v>0.2</v>
      </c>
      <c r="G29" s="38">
        <v>0.88890000000000002</v>
      </c>
      <c r="H29" s="38">
        <v>6</v>
      </c>
      <c r="I29" s="38" t="str">
        <f t="shared" si="0"/>
        <v>36</v>
      </c>
      <c r="J29" s="225">
        <v>80000</v>
      </c>
      <c r="K29" s="218">
        <v>1.022896</v>
      </c>
      <c r="L29" s="38">
        <v>1</v>
      </c>
      <c r="M29" s="39">
        <v>26</v>
      </c>
      <c r="N29" s="39">
        <v>30</v>
      </c>
      <c r="O29" s="290">
        <f>+IF('DATOS GENERALES'!$C$15="n",Q29,P29)</f>
        <v>0.53969999999999996</v>
      </c>
      <c r="P29" s="296">
        <v>0.49659999999999999</v>
      </c>
      <c r="Q29" s="296">
        <v>0.53969999999999996</v>
      </c>
      <c r="R29" s="226"/>
      <c r="S29" s="241">
        <v>26</v>
      </c>
      <c r="T29" s="241" t="s">
        <v>461</v>
      </c>
      <c r="U29" s="241" t="s">
        <v>21</v>
      </c>
      <c r="V29" s="241" t="s">
        <v>13</v>
      </c>
      <c r="W29" s="311">
        <v>85</v>
      </c>
      <c r="X29" s="311">
        <v>100</v>
      </c>
      <c r="Y29" s="241">
        <v>100</v>
      </c>
      <c r="Z29" s="241">
        <v>0</v>
      </c>
      <c r="AA29" s="241">
        <v>0</v>
      </c>
      <c r="AB29" s="40">
        <v>26</v>
      </c>
      <c r="AC29" s="268">
        <v>1050</v>
      </c>
      <c r="AD29" s="206" t="str">
        <f>+IF(p=1," 1,050  UMAM ","")</f>
        <v xml:space="preserve"> 1,050  UMAM </v>
      </c>
      <c r="AE29" s="227">
        <v>1.1249</v>
      </c>
      <c r="AF29" s="228"/>
      <c r="AG29" s="228"/>
      <c r="AH29" s="228"/>
      <c r="AI29" s="228"/>
      <c r="AJ29" s="228"/>
    </row>
    <row r="30" spans="1:36">
      <c r="A30" s="271">
        <v>3</v>
      </c>
      <c r="B30" s="272">
        <f ca="1">+'CAPTURA DP'!BT104</f>
        <v>0</v>
      </c>
      <c r="D30"/>
      <c r="E30" s="38">
        <v>3</v>
      </c>
      <c r="F30" s="302">
        <v>0.2</v>
      </c>
      <c r="G30" s="38">
        <v>0.88890000000000002</v>
      </c>
      <c r="H30" s="38">
        <v>7</v>
      </c>
      <c r="I30" s="38" t="str">
        <f t="shared" si="0"/>
        <v>37</v>
      </c>
      <c r="J30" s="225">
        <v>85000</v>
      </c>
      <c r="K30" s="218">
        <v>1.0209820000000001</v>
      </c>
      <c r="L30" s="38">
        <v>1</v>
      </c>
      <c r="M30" s="39">
        <v>27</v>
      </c>
      <c r="N30" s="39">
        <v>31</v>
      </c>
      <c r="O30" s="290">
        <f>+IF('DATOS GENERALES'!$C$15="n",Q30,P30)</f>
        <v>0.53290000000000004</v>
      </c>
      <c r="P30" s="296">
        <v>0.4899</v>
      </c>
      <c r="Q30" s="296">
        <v>0.53290000000000004</v>
      </c>
      <c r="R30" s="226"/>
      <c r="S30" s="241">
        <v>27</v>
      </c>
      <c r="T30" s="241" t="s">
        <v>259</v>
      </c>
      <c r="U30" s="241" t="s">
        <v>29</v>
      </c>
      <c r="V30" s="241" t="s">
        <v>18</v>
      </c>
      <c r="W30" s="311">
        <v>100</v>
      </c>
      <c r="X30" s="311">
        <v>126.85</v>
      </c>
      <c r="Y30" s="241">
        <v>100</v>
      </c>
      <c r="Z30" s="241">
        <v>0</v>
      </c>
      <c r="AA30" s="241">
        <v>0</v>
      </c>
      <c r="AB30" s="40">
        <v>27</v>
      </c>
      <c r="AC30" s="268">
        <v>1070</v>
      </c>
      <c r="AD30" s="206" t="str">
        <f>+IF(p=1," 1,070  UMAM ","")</f>
        <v xml:space="preserve"> 1,070  UMAM </v>
      </c>
      <c r="AE30" s="227">
        <v>1.1262000000000001</v>
      </c>
      <c r="AF30" s="228"/>
      <c r="AG30" s="228"/>
      <c r="AH30" s="228"/>
      <c r="AI30" s="228"/>
      <c r="AJ30" s="228"/>
    </row>
    <row r="31" spans="1:36">
      <c r="A31" s="271">
        <v>4</v>
      </c>
      <c r="B31" s="272">
        <f ca="1">+'CAPTURA DP'!CA104</f>
        <v>0</v>
      </c>
      <c r="D31"/>
      <c r="E31" s="38">
        <v>3</v>
      </c>
      <c r="F31" s="302">
        <v>0.2</v>
      </c>
      <c r="G31" s="38">
        <v>0.88890000000000002</v>
      </c>
      <c r="H31" s="38">
        <v>8</v>
      </c>
      <c r="I31" s="38" t="str">
        <f t="shared" si="0"/>
        <v>38</v>
      </c>
      <c r="J31" s="225">
        <v>90000</v>
      </c>
      <c r="K31" s="218">
        <v>1.019223</v>
      </c>
      <c r="L31" s="38">
        <v>1</v>
      </c>
      <c r="M31" s="39">
        <v>28</v>
      </c>
      <c r="N31" s="39">
        <v>32</v>
      </c>
      <c r="O31" s="290">
        <f>+IF('DATOS GENERALES'!$C$15="n",Q31,P31)</f>
        <v>0.52649999999999997</v>
      </c>
      <c r="P31" s="296">
        <v>0.4834</v>
      </c>
      <c r="Q31" s="296">
        <v>0.52649999999999997</v>
      </c>
      <c r="R31" s="226"/>
      <c r="S31" s="241">
        <v>28</v>
      </c>
      <c r="T31" s="241" t="s">
        <v>260</v>
      </c>
      <c r="U31" s="241" t="s">
        <v>28</v>
      </c>
      <c r="V31" s="241" t="s">
        <v>13</v>
      </c>
      <c r="W31" s="311">
        <v>43.4</v>
      </c>
      <c r="X31" s="311">
        <v>46</v>
      </c>
      <c r="Y31" s="241">
        <v>88</v>
      </c>
      <c r="Z31" s="241">
        <v>1</v>
      </c>
      <c r="AA31" s="241">
        <f t="shared" ref="AA31:AA51" si="5">+IF(p&gt;3,0,1)</f>
        <v>1</v>
      </c>
      <c r="AB31" s="40">
        <v>28</v>
      </c>
      <c r="AC31" s="268">
        <v>1100</v>
      </c>
      <c r="AD31" s="206" t="str">
        <f>+IF(p=1," 1,100  UMAM ","")</f>
        <v xml:space="preserve"> 1,100  UMAM </v>
      </c>
      <c r="AE31" s="227">
        <v>1.1279999999999999</v>
      </c>
      <c r="AF31" s="228"/>
      <c r="AG31" s="228"/>
      <c r="AH31" s="228"/>
      <c r="AI31" s="228"/>
      <c r="AJ31" s="228"/>
    </row>
    <row r="32" spans="1:36">
      <c r="A32" s="271">
        <v>5</v>
      </c>
      <c r="B32" s="272">
        <f ca="1">+'CAPTURA DP'!CH104</f>
        <v>0</v>
      </c>
      <c r="D32"/>
      <c r="E32" s="38">
        <v>3</v>
      </c>
      <c r="F32" s="302">
        <v>0.2</v>
      </c>
      <c r="G32" s="38">
        <v>0.88890000000000002</v>
      </c>
      <c r="H32" s="38">
        <v>9</v>
      </c>
      <c r="I32" s="38" t="str">
        <f t="shared" si="0"/>
        <v>39</v>
      </c>
      <c r="J32" s="225">
        <v>95000</v>
      </c>
      <c r="K32" s="218">
        <v>1.0176069999999999</v>
      </c>
      <c r="L32" s="38">
        <v>1</v>
      </c>
      <c r="M32" s="39">
        <v>29</v>
      </c>
      <c r="N32" s="39">
        <v>33</v>
      </c>
      <c r="O32" s="290">
        <f>+IF('DATOS GENERALES'!$C$15="n",Q32,P32)</f>
        <v>0.52029999999999998</v>
      </c>
      <c r="P32" s="296">
        <v>0.4773</v>
      </c>
      <c r="Q32" s="296">
        <v>0.52029999999999998</v>
      </c>
      <c r="R32" s="226"/>
      <c r="S32" s="241">
        <v>29</v>
      </c>
      <c r="T32" s="241" t="s">
        <v>269</v>
      </c>
      <c r="U32" s="241" t="s">
        <v>287</v>
      </c>
      <c r="V32" s="241" t="s">
        <v>15</v>
      </c>
      <c r="W32" s="311">
        <v>53.24</v>
      </c>
      <c r="X32" s="311">
        <v>56.43</v>
      </c>
      <c r="Y32" s="241">
        <v>88</v>
      </c>
      <c r="Z32" s="241">
        <v>1</v>
      </c>
      <c r="AA32" s="241">
        <f t="shared" si="5"/>
        <v>1</v>
      </c>
      <c r="AB32" s="40">
        <v>29</v>
      </c>
      <c r="AC32" s="268">
        <v>1115</v>
      </c>
      <c r="AD32" s="206" t="str">
        <f>+IF(p=1," 1,115  UMAM ","")</f>
        <v xml:space="preserve"> 1,115  UMAM </v>
      </c>
      <c r="AE32" s="227">
        <v>1.1289</v>
      </c>
      <c r="AF32" s="228"/>
      <c r="AG32" s="228"/>
      <c r="AH32" s="228"/>
      <c r="AI32" s="228"/>
      <c r="AJ32" s="228"/>
    </row>
    <row r="33" spans="1:36">
      <c r="A33" s="271">
        <v>6</v>
      </c>
      <c r="B33" s="272">
        <f ca="1">+'CAPTURA DP'!CO104</f>
        <v>0</v>
      </c>
      <c r="D33"/>
      <c r="E33" s="38">
        <v>3</v>
      </c>
      <c r="F33" s="302">
        <v>0.2</v>
      </c>
      <c r="G33" s="38">
        <v>0.88890000000000002</v>
      </c>
      <c r="H33" s="38">
        <v>10</v>
      </c>
      <c r="I33" s="38" t="str">
        <f t="shared" si="0"/>
        <v>310</v>
      </c>
      <c r="J33" s="225">
        <v>100000</v>
      </c>
      <c r="K33" s="218">
        <v>1.0161210000000001</v>
      </c>
      <c r="L33" s="38">
        <v>1</v>
      </c>
      <c r="M33" s="39">
        <v>30</v>
      </c>
      <c r="N33" s="39">
        <v>34</v>
      </c>
      <c r="O33" s="290">
        <f>+IF('DATOS GENERALES'!$C$15="n",Q33,P33)</f>
        <v>0.51439999999999997</v>
      </c>
      <c r="P33" s="296">
        <v>0.47139999999999999</v>
      </c>
      <c r="Q33" s="296">
        <v>0.51439999999999997</v>
      </c>
      <c r="R33" s="226"/>
      <c r="S33" s="241">
        <v>30</v>
      </c>
      <c r="T33" s="241" t="s">
        <v>272</v>
      </c>
      <c r="U33" s="241" t="s">
        <v>99</v>
      </c>
      <c r="V33" s="241" t="s">
        <v>13</v>
      </c>
      <c r="W33" s="311">
        <v>43.54</v>
      </c>
      <c r="X33" s="311">
        <v>46.15</v>
      </c>
      <c r="Y33" s="241">
        <v>88</v>
      </c>
      <c r="Z33" s="241">
        <v>1</v>
      </c>
      <c r="AA33" s="241">
        <f t="shared" si="5"/>
        <v>1</v>
      </c>
      <c r="AB33" s="40">
        <v>30</v>
      </c>
      <c r="AC33" s="268">
        <v>1150</v>
      </c>
      <c r="AD33" s="206" t="str">
        <f>+IF(p=1," 1,150  UMAM ","")</f>
        <v xml:space="preserve"> 1,150  UMAM </v>
      </c>
      <c r="AE33" s="227">
        <v>1.1311</v>
      </c>
      <c r="AF33" s="228"/>
      <c r="AG33" s="228"/>
      <c r="AH33" s="228"/>
      <c r="AI33" s="228"/>
      <c r="AJ33" s="228"/>
    </row>
    <row r="34" spans="1:36">
      <c r="D34"/>
      <c r="E34" s="38">
        <v>4</v>
      </c>
      <c r="F34" s="302">
        <v>0.25</v>
      </c>
      <c r="G34" s="38">
        <v>0.83330000000000004</v>
      </c>
      <c r="H34" s="38">
        <v>1</v>
      </c>
      <c r="I34" s="38" t="str">
        <f t="shared" si="0"/>
        <v>41</v>
      </c>
      <c r="J34" s="38">
        <v>0</v>
      </c>
      <c r="K34" s="218">
        <v>1</v>
      </c>
      <c r="L34" s="38">
        <v>1</v>
      </c>
      <c r="M34" s="39">
        <v>31</v>
      </c>
      <c r="N34" s="39">
        <v>35</v>
      </c>
      <c r="O34" s="290">
        <f>+IF('DATOS GENERALES'!$C$15="n",Q34,P34)</f>
        <v>0.50870000000000004</v>
      </c>
      <c r="P34" s="296">
        <v>0.46579999999999999</v>
      </c>
      <c r="Q34" s="296">
        <v>0.50870000000000004</v>
      </c>
      <c r="R34" s="226"/>
      <c r="S34" s="241">
        <v>31</v>
      </c>
      <c r="T34" s="241" t="s">
        <v>268</v>
      </c>
      <c r="U34" s="241" t="s">
        <v>95</v>
      </c>
      <c r="V34" s="241" t="s">
        <v>13</v>
      </c>
      <c r="W34" s="311">
        <v>54.52</v>
      </c>
      <c r="X34" s="311">
        <v>57.79</v>
      </c>
      <c r="Y34" s="241">
        <v>88</v>
      </c>
      <c r="Z34" s="241">
        <v>0</v>
      </c>
      <c r="AA34" s="241">
        <f t="shared" si="5"/>
        <v>1</v>
      </c>
      <c r="AB34" s="40">
        <v>31</v>
      </c>
      <c r="AC34" s="268">
        <v>1160</v>
      </c>
      <c r="AD34" s="206" t="str">
        <f>+IF(p=1," 1,160  UMAM ","")</f>
        <v xml:space="preserve"> 1,160  UMAM </v>
      </c>
      <c r="AE34" s="227">
        <v>1.1316999999999999</v>
      </c>
      <c r="AF34" s="228"/>
      <c r="AG34" s="228"/>
      <c r="AH34" s="228"/>
      <c r="AI34" s="228"/>
      <c r="AJ34" s="228"/>
    </row>
    <row r="35" spans="1:36">
      <c r="B35" s="282" t="s">
        <v>369</v>
      </c>
      <c r="D35"/>
      <c r="E35" s="38">
        <v>4</v>
      </c>
      <c r="F35" s="302">
        <v>0.25</v>
      </c>
      <c r="G35" s="38">
        <v>0.83330000000000004</v>
      </c>
      <c r="H35" s="38">
        <v>2</v>
      </c>
      <c r="I35" s="38" t="str">
        <f t="shared" si="0"/>
        <v>42</v>
      </c>
      <c r="J35" s="225">
        <v>50000</v>
      </c>
      <c r="K35" s="218">
        <v>1.054764</v>
      </c>
      <c r="L35" s="38">
        <v>1</v>
      </c>
      <c r="M35" s="39">
        <v>32</v>
      </c>
      <c r="N35" s="39">
        <v>36</v>
      </c>
      <c r="O35" s="290">
        <f>+IF('DATOS GENERALES'!$C$15="n",Q35,P35)</f>
        <v>0.50319999999999998</v>
      </c>
      <c r="P35" s="296">
        <v>0.46039999999999998</v>
      </c>
      <c r="Q35" s="296">
        <v>0.50319999999999998</v>
      </c>
      <c r="R35" s="226"/>
      <c r="S35" s="241">
        <v>32</v>
      </c>
      <c r="T35" s="241" t="s">
        <v>295</v>
      </c>
      <c r="U35" s="241" t="s">
        <v>296</v>
      </c>
      <c r="V35" s="241" t="s">
        <v>15</v>
      </c>
      <c r="W35" s="311">
        <v>43.54</v>
      </c>
      <c r="X35" s="311">
        <v>46.15</v>
      </c>
      <c r="Y35" s="241">
        <v>88</v>
      </c>
      <c r="Z35" s="241">
        <v>0</v>
      </c>
      <c r="AA35" s="241">
        <f t="shared" si="5"/>
        <v>1</v>
      </c>
      <c r="AB35" s="40">
        <v>32</v>
      </c>
      <c r="AC35" s="268">
        <v>1200</v>
      </c>
      <c r="AD35" s="206" t="str">
        <f>+IF(p=1," 1,200  UMAM ","")</f>
        <v xml:space="preserve"> 1,200  UMAM </v>
      </c>
      <c r="AE35" s="227">
        <v>1.1342000000000001</v>
      </c>
      <c r="AF35" s="228"/>
      <c r="AG35" s="228"/>
      <c r="AH35" s="228"/>
      <c r="AI35" s="228"/>
      <c r="AJ35" s="228"/>
    </row>
    <row r="36" spans="1:36">
      <c r="A36" s="282">
        <v>0</v>
      </c>
      <c r="B36" s="282">
        <v>49</v>
      </c>
      <c r="C36" s="283">
        <f>+'CAPTURA DP'!CT3</f>
        <v>0.18</v>
      </c>
      <c r="D36"/>
      <c r="E36" s="38">
        <v>4</v>
      </c>
      <c r="F36" s="302">
        <v>0.25</v>
      </c>
      <c r="G36" s="38">
        <v>0.83330000000000004</v>
      </c>
      <c r="H36" s="38">
        <v>3</v>
      </c>
      <c r="I36" s="38" t="str">
        <f t="shared" si="0"/>
        <v>43</v>
      </c>
      <c r="J36" s="225">
        <v>60000</v>
      </c>
      <c r="K36" s="218">
        <v>1.0468660000000001</v>
      </c>
      <c r="L36" s="38">
        <v>1</v>
      </c>
      <c r="M36" s="39">
        <v>33</v>
      </c>
      <c r="N36" s="39">
        <v>37</v>
      </c>
      <c r="O36" s="290">
        <f>+IF('DATOS GENERALES'!$C$15="n",Q36,P36)</f>
        <v>0.49790000000000001</v>
      </c>
      <c r="P36" s="296">
        <v>0.45519999999999999</v>
      </c>
      <c r="Q36" s="296">
        <v>0.49790000000000001</v>
      </c>
      <c r="R36" s="226"/>
      <c r="S36" s="241">
        <v>33</v>
      </c>
      <c r="T36" s="241" t="s">
        <v>261</v>
      </c>
      <c r="U36" s="241" t="s">
        <v>30</v>
      </c>
      <c r="V36" s="241" t="s">
        <v>13</v>
      </c>
      <c r="W36" s="311">
        <v>60.25</v>
      </c>
      <c r="X36" s="311">
        <v>63.87</v>
      </c>
      <c r="Y36" s="241">
        <v>88</v>
      </c>
      <c r="Z36" s="241">
        <v>0</v>
      </c>
      <c r="AA36" s="241">
        <f t="shared" si="5"/>
        <v>1</v>
      </c>
      <c r="AB36" s="40">
        <v>33</v>
      </c>
      <c r="AC36" s="268">
        <v>1250</v>
      </c>
      <c r="AD36" s="206" t="str">
        <f>+IF(p=1," 1,250  UMAM ","")</f>
        <v xml:space="preserve"> 1,250  UMAM </v>
      </c>
      <c r="AE36" s="227">
        <v>1.1372</v>
      </c>
      <c r="AF36" s="228"/>
      <c r="AG36" s="228"/>
      <c r="AH36" s="228"/>
      <c r="AI36" s="228"/>
      <c r="AJ36" s="228"/>
    </row>
    <row r="37" spans="1:36">
      <c r="A37" s="282">
        <v>50</v>
      </c>
      <c r="B37" s="282">
        <v>59</v>
      </c>
      <c r="C37" s="283">
        <f>+'CAPTURA DP'!CT53</f>
        <v>0.15</v>
      </c>
      <c r="D37"/>
      <c r="E37" s="38">
        <v>4</v>
      </c>
      <c r="F37" s="302">
        <v>0.25</v>
      </c>
      <c r="G37" s="38">
        <v>0.83330000000000004</v>
      </c>
      <c r="H37" s="38">
        <v>4</v>
      </c>
      <c r="I37" s="38" t="str">
        <f t="shared" si="0"/>
        <v>44</v>
      </c>
      <c r="J37" s="225">
        <v>70000</v>
      </c>
      <c r="K37" s="218">
        <v>1.039595</v>
      </c>
      <c r="L37" s="38">
        <v>1</v>
      </c>
      <c r="M37" s="39">
        <v>34</v>
      </c>
      <c r="N37" s="39">
        <v>38</v>
      </c>
      <c r="O37" s="290">
        <f>+IF('DATOS GENERALES'!$C$15="n",Q37,P37)</f>
        <v>0.4929</v>
      </c>
      <c r="P37" s="296">
        <v>0.45019999999999999</v>
      </c>
      <c r="Q37" s="296">
        <v>0.4929</v>
      </c>
      <c r="R37" s="226"/>
      <c r="S37" s="241">
        <v>34</v>
      </c>
      <c r="T37" s="241" t="s">
        <v>313</v>
      </c>
      <c r="U37" s="241" t="s">
        <v>315</v>
      </c>
      <c r="V37" s="241" t="s">
        <v>13</v>
      </c>
      <c r="W37" s="311">
        <v>53.77</v>
      </c>
      <c r="X37" s="311">
        <v>70.150000000000006</v>
      </c>
      <c r="Y37" s="241">
        <v>88</v>
      </c>
      <c r="Z37" s="241">
        <v>0</v>
      </c>
      <c r="AA37" s="241">
        <f t="shared" si="5"/>
        <v>1</v>
      </c>
      <c r="AB37" s="40">
        <v>34</v>
      </c>
      <c r="AC37" s="268">
        <v>1300</v>
      </c>
      <c r="AD37" s="206" t="str">
        <f>+IF(p=1," 1,300  UMAM ","")</f>
        <v xml:space="preserve"> 1,300  UMAM </v>
      </c>
      <c r="AE37" s="227">
        <v>1.1403000000000001</v>
      </c>
      <c r="AF37" s="228"/>
      <c r="AG37" s="228"/>
      <c r="AH37" s="228"/>
      <c r="AI37" s="228"/>
      <c r="AJ37" s="228"/>
    </row>
    <row r="38" spans="1:36">
      <c r="A38" s="282">
        <v>60</v>
      </c>
      <c r="B38" s="282">
        <v>99</v>
      </c>
      <c r="C38" s="283">
        <f>+'CAPTURA DP'!CT63</f>
        <v>0.12</v>
      </c>
      <c r="D38"/>
      <c r="E38" s="38">
        <v>4</v>
      </c>
      <c r="F38" s="302">
        <v>0.25</v>
      </c>
      <c r="G38" s="38">
        <v>0.83330000000000004</v>
      </c>
      <c r="H38" s="38">
        <v>5</v>
      </c>
      <c r="I38" s="38" t="str">
        <f t="shared" si="0"/>
        <v>45</v>
      </c>
      <c r="J38" s="225">
        <v>75000</v>
      </c>
      <c r="K38" s="218">
        <v>1.0363070000000001</v>
      </c>
      <c r="L38" s="38">
        <v>1</v>
      </c>
      <c r="M38" s="39">
        <v>35</v>
      </c>
      <c r="N38" s="39">
        <v>39</v>
      </c>
      <c r="O38" s="290">
        <f>+IF('DATOS GENERALES'!$C$15="n",Q38,P38)</f>
        <v>0.48799999999999999</v>
      </c>
      <c r="P38" s="296">
        <v>0.44529999999999997</v>
      </c>
      <c r="Q38" s="296">
        <v>0.48799999999999999</v>
      </c>
      <c r="R38" s="226"/>
      <c r="S38" s="241">
        <v>35</v>
      </c>
      <c r="T38" s="241" t="s">
        <v>309</v>
      </c>
      <c r="U38" s="241" t="s">
        <v>31</v>
      </c>
      <c r="V38" s="241" t="s">
        <v>13</v>
      </c>
      <c r="W38" s="311">
        <v>60.25</v>
      </c>
      <c r="X38" s="311">
        <v>63.87</v>
      </c>
      <c r="Y38" s="241">
        <v>88</v>
      </c>
      <c r="Z38" s="241">
        <v>1</v>
      </c>
      <c r="AA38" s="241">
        <f t="shared" si="5"/>
        <v>1</v>
      </c>
      <c r="AB38" s="40">
        <v>35</v>
      </c>
      <c r="AC38" s="268">
        <v>1400</v>
      </c>
      <c r="AD38" s="206" t="str">
        <f>+IF(p=1," 1,400  UMAM ","")</f>
        <v xml:space="preserve"> 1,400  UMAM </v>
      </c>
      <c r="AE38" s="227">
        <v>1.1464000000000001</v>
      </c>
      <c r="AF38" s="228"/>
      <c r="AG38" s="228"/>
      <c r="AH38" s="228"/>
      <c r="AI38" s="228"/>
      <c r="AJ38" s="228"/>
    </row>
    <row r="39" spans="1:36">
      <c r="D39"/>
      <c r="E39" s="38">
        <v>4</v>
      </c>
      <c r="F39" s="302">
        <v>0.25</v>
      </c>
      <c r="G39" s="38">
        <v>0.83330000000000004</v>
      </c>
      <c r="H39" s="38">
        <v>6</v>
      </c>
      <c r="I39" s="38" t="str">
        <f t="shared" si="0"/>
        <v>46</v>
      </c>
      <c r="J39" s="225">
        <v>80000</v>
      </c>
      <c r="K39" s="218">
        <v>1.033282</v>
      </c>
      <c r="L39" s="38">
        <v>1</v>
      </c>
      <c r="M39" s="39">
        <v>36</v>
      </c>
      <c r="N39" s="39">
        <v>40</v>
      </c>
      <c r="O39" s="290">
        <f>+IF('DATOS GENERALES'!$C$15="n",Q39,P39)</f>
        <v>0.48330000000000001</v>
      </c>
      <c r="P39" s="296">
        <v>0.44069999999999998</v>
      </c>
      <c r="Q39" s="296">
        <v>0.48330000000000001</v>
      </c>
      <c r="R39" s="226"/>
      <c r="S39" s="241">
        <v>36</v>
      </c>
      <c r="T39" s="241" t="s">
        <v>262</v>
      </c>
      <c r="U39" s="241" t="s">
        <v>32</v>
      </c>
      <c r="V39" s="241" t="s">
        <v>15</v>
      </c>
      <c r="W39" s="311">
        <v>53.24</v>
      </c>
      <c r="X39" s="311">
        <v>56.43</v>
      </c>
      <c r="Y39" s="241">
        <v>88</v>
      </c>
      <c r="Z39" s="241">
        <v>1</v>
      </c>
      <c r="AA39" s="241">
        <f t="shared" si="5"/>
        <v>1</v>
      </c>
      <c r="AB39" s="40">
        <v>36</v>
      </c>
      <c r="AC39" s="268">
        <v>1500</v>
      </c>
      <c r="AD39" s="206" t="str">
        <f>+IF(p=1," 1,500  UMAM ","")</f>
        <v xml:space="preserve"> 1,500  UMAM </v>
      </c>
      <c r="AE39" s="227">
        <v>1.1526000000000001</v>
      </c>
      <c r="AF39" s="228"/>
      <c r="AG39" s="228"/>
      <c r="AH39" s="228"/>
      <c r="AI39" s="228"/>
      <c r="AJ39" s="228"/>
    </row>
    <row r="40" spans="1:36">
      <c r="D40"/>
      <c r="E40" s="38">
        <v>4</v>
      </c>
      <c r="F40" s="302">
        <v>0.25</v>
      </c>
      <c r="G40" s="38">
        <v>0.83330000000000004</v>
      </c>
      <c r="H40" s="38">
        <v>7</v>
      </c>
      <c r="I40" s="38" t="str">
        <f t="shared" si="0"/>
        <v>47</v>
      </c>
      <c r="J40" s="225">
        <v>85000</v>
      </c>
      <c r="K40" s="218">
        <v>1.0305010000000001</v>
      </c>
      <c r="L40" s="38">
        <v>1</v>
      </c>
      <c r="M40" s="39">
        <v>37</v>
      </c>
      <c r="N40" s="39">
        <v>41</v>
      </c>
      <c r="O40" s="290">
        <f>+IF('DATOS GENERALES'!$C$15="n",Q40,P40)</f>
        <v>0.47870000000000001</v>
      </c>
      <c r="P40" s="296">
        <v>0.43619999999999998</v>
      </c>
      <c r="Q40" s="296">
        <v>0.47870000000000001</v>
      </c>
      <c r="R40" s="226"/>
      <c r="S40" s="241">
        <v>37</v>
      </c>
      <c r="T40" s="241" t="s">
        <v>263</v>
      </c>
      <c r="U40" s="241" t="s">
        <v>65</v>
      </c>
      <c r="V40" s="241" t="s">
        <v>18</v>
      </c>
      <c r="W40" s="311">
        <v>57.29</v>
      </c>
      <c r="X40" s="311">
        <v>60.73</v>
      </c>
      <c r="Y40" s="241">
        <v>88</v>
      </c>
      <c r="Z40" s="241">
        <v>1</v>
      </c>
      <c r="AA40" s="241">
        <f t="shared" si="5"/>
        <v>1</v>
      </c>
      <c r="AB40" s="40">
        <v>37</v>
      </c>
      <c r="AC40" s="268">
        <v>1600</v>
      </c>
      <c r="AD40" s="206" t="str">
        <f>+IF(p=1," 1,600  UMAM ","")</f>
        <v xml:space="preserve"> 1,600  UMAM </v>
      </c>
      <c r="AE40" s="227">
        <v>1.1569</v>
      </c>
      <c r="AF40" s="228"/>
      <c r="AG40" s="228"/>
      <c r="AH40" s="228"/>
      <c r="AI40" s="228"/>
      <c r="AJ40" s="228"/>
    </row>
    <row r="41" spans="1:36">
      <c r="A41" s="284" t="s">
        <v>377</v>
      </c>
      <c r="D41"/>
      <c r="E41" s="38">
        <v>4</v>
      </c>
      <c r="F41" s="302">
        <v>0.25</v>
      </c>
      <c r="G41" s="38">
        <v>0.83330000000000004</v>
      </c>
      <c r="H41" s="38">
        <v>8</v>
      </c>
      <c r="I41" s="38" t="str">
        <f t="shared" si="0"/>
        <v>48</v>
      </c>
      <c r="J41" s="225">
        <v>90000</v>
      </c>
      <c r="K41" s="218">
        <v>1.027944</v>
      </c>
      <c r="L41" s="38">
        <v>1</v>
      </c>
      <c r="M41" s="39">
        <v>38</v>
      </c>
      <c r="N41" s="39">
        <v>42</v>
      </c>
      <c r="O41" s="290">
        <f>+IF('DATOS GENERALES'!$C$15="n",Q41,P41)</f>
        <v>0.4743</v>
      </c>
      <c r="P41" s="296">
        <v>0.43190000000000001</v>
      </c>
      <c r="Q41" s="296">
        <v>0.4743</v>
      </c>
      <c r="R41" s="226"/>
      <c r="S41" s="241">
        <v>38</v>
      </c>
      <c r="T41" s="241" t="s">
        <v>310</v>
      </c>
      <c r="U41" s="241" t="s">
        <v>292</v>
      </c>
      <c r="V41" s="241" t="s">
        <v>13</v>
      </c>
      <c r="W41" s="311">
        <v>43.4</v>
      </c>
      <c r="X41" s="311">
        <v>46</v>
      </c>
      <c r="Y41" s="241">
        <v>88</v>
      </c>
      <c r="Z41" s="241">
        <v>1</v>
      </c>
      <c r="AA41" s="241">
        <f t="shared" si="5"/>
        <v>1</v>
      </c>
      <c r="AB41" s="40">
        <v>38</v>
      </c>
      <c r="AC41" s="268">
        <v>1604</v>
      </c>
      <c r="AD41" s="206" t="str">
        <f>+IF(p=1," 1,604  UMAM ","")</f>
        <v xml:space="preserve"> 1,604  UMAM </v>
      </c>
      <c r="AE41" s="227">
        <v>1.1571</v>
      </c>
      <c r="AF41" s="228"/>
      <c r="AG41" s="228"/>
      <c r="AH41" s="228"/>
      <c r="AI41" s="228"/>
      <c r="AJ41" s="228"/>
    </row>
    <row r="42" spans="1:36">
      <c r="A42" s="284" t="s">
        <v>378</v>
      </c>
      <c r="D42"/>
      <c r="E42" s="38">
        <v>4</v>
      </c>
      <c r="F42" s="302">
        <v>0.25</v>
      </c>
      <c r="G42" s="38">
        <v>0.83330000000000004</v>
      </c>
      <c r="H42" s="38">
        <v>9</v>
      </c>
      <c r="I42" s="38" t="str">
        <f t="shared" si="0"/>
        <v>49</v>
      </c>
      <c r="J42" s="225">
        <v>95000</v>
      </c>
      <c r="K42" s="218">
        <v>1.0255939999999999</v>
      </c>
      <c r="L42" s="38">
        <v>1</v>
      </c>
      <c r="M42" s="39">
        <v>39</v>
      </c>
      <c r="N42" s="39">
        <v>43</v>
      </c>
      <c r="O42" s="290">
        <f>+IF('DATOS GENERALES'!$C$15="n",Q42,P42)</f>
        <v>0.47</v>
      </c>
      <c r="P42" s="296">
        <v>0.42770000000000002</v>
      </c>
      <c r="Q42" s="296">
        <v>0.47</v>
      </c>
      <c r="R42" s="226"/>
      <c r="S42" s="241">
        <v>39</v>
      </c>
      <c r="T42" s="241" t="s">
        <v>265</v>
      </c>
      <c r="U42" s="241" t="s">
        <v>57</v>
      </c>
      <c r="V42" s="241" t="s">
        <v>18</v>
      </c>
      <c r="W42" s="311">
        <v>53.24</v>
      </c>
      <c r="X42" s="311">
        <v>56.43</v>
      </c>
      <c r="Y42" s="241">
        <v>88</v>
      </c>
      <c r="Z42" s="241">
        <v>1</v>
      </c>
      <c r="AA42" s="241">
        <f t="shared" si="5"/>
        <v>1</v>
      </c>
      <c r="AB42" s="40">
        <v>39</v>
      </c>
      <c r="AC42" s="268">
        <v>1650</v>
      </c>
      <c r="AD42" s="206" t="str">
        <f>+IF(p=1," 1,650  UMAM ","")</f>
        <v xml:space="preserve"> 1,650  UMAM </v>
      </c>
      <c r="AE42" s="227">
        <v>1.1591</v>
      </c>
      <c r="AF42" s="228"/>
      <c r="AG42" s="228"/>
      <c r="AH42" s="228"/>
      <c r="AI42" s="228"/>
      <c r="AJ42" s="228"/>
    </row>
    <row r="43" spans="1:36">
      <c r="D43"/>
      <c r="E43" s="38">
        <v>4</v>
      </c>
      <c r="F43" s="302">
        <v>0.25</v>
      </c>
      <c r="G43" s="38">
        <v>0.83330000000000004</v>
      </c>
      <c r="H43" s="38">
        <v>10</v>
      </c>
      <c r="I43" s="38" t="str">
        <f t="shared" si="0"/>
        <v>410</v>
      </c>
      <c r="J43" s="225">
        <v>100000</v>
      </c>
      <c r="K43" s="218">
        <v>1.023434</v>
      </c>
      <c r="L43" s="38">
        <v>1</v>
      </c>
      <c r="M43" s="39">
        <v>40</v>
      </c>
      <c r="N43" s="39">
        <v>44</v>
      </c>
      <c r="O43" s="290">
        <f>+IF('DATOS GENERALES'!$C$15="n",Q43,P43)</f>
        <v>0.46589999999999998</v>
      </c>
      <c r="P43" s="296">
        <v>0.42359999999999998</v>
      </c>
      <c r="Q43" s="296">
        <v>0.46589999999999998</v>
      </c>
      <c r="R43" s="226"/>
      <c r="S43" s="241">
        <v>40</v>
      </c>
      <c r="T43" s="241" t="s">
        <v>442</v>
      </c>
      <c r="U43" s="241" t="s">
        <v>443</v>
      </c>
      <c r="V43" s="241" t="s">
        <v>13</v>
      </c>
      <c r="W43" s="311">
        <v>53.24</v>
      </c>
      <c r="X43" s="311">
        <v>56.43</v>
      </c>
      <c r="Y43" s="241">
        <v>88</v>
      </c>
      <c r="Z43" s="241">
        <v>0</v>
      </c>
      <c r="AA43" s="241">
        <f t="shared" si="5"/>
        <v>1</v>
      </c>
      <c r="AB43" s="40">
        <v>40</v>
      </c>
      <c r="AC43" s="268">
        <v>1700</v>
      </c>
      <c r="AD43" s="206" t="str">
        <f>+IF(p=1," 1,700  UMAM ","")</f>
        <v xml:space="preserve"> 1,700  UMAM </v>
      </c>
      <c r="AE43" s="227">
        <v>1.1613</v>
      </c>
      <c r="AF43" s="228"/>
      <c r="AG43" s="228"/>
      <c r="AH43" s="228"/>
      <c r="AI43" s="228"/>
      <c r="AJ43" s="228"/>
    </row>
    <row r="44" spans="1:36">
      <c r="D44"/>
      <c r="E44" s="38">
        <v>5</v>
      </c>
      <c r="F44" s="302">
        <v>0.3</v>
      </c>
      <c r="G44" s="38">
        <v>0.77780000000000005</v>
      </c>
      <c r="H44" s="38">
        <v>1</v>
      </c>
      <c r="I44" s="38" t="str">
        <f t="shared" si="0"/>
        <v>51</v>
      </c>
      <c r="J44" s="38">
        <v>0</v>
      </c>
      <c r="K44" s="218">
        <v>1</v>
      </c>
      <c r="L44" s="38">
        <v>1</v>
      </c>
      <c r="M44" s="39">
        <v>41</v>
      </c>
      <c r="N44" s="39">
        <v>45</v>
      </c>
      <c r="O44" s="290">
        <f>+IF('DATOS GENERALES'!$C$15="n",Q44,P44)</f>
        <v>0.46189999999999998</v>
      </c>
      <c r="P44" s="296">
        <v>0.41970000000000002</v>
      </c>
      <c r="Q44" s="296">
        <v>0.46189999999999998</v>
      </c>
      <c r="R44" s="226"/>
      <c r="S44" s="241">
        <v>41</v>
      </c>
      <c r="T44" s="241" t="s">
        <v>266</v>
      </c>
      <c r="U44" s="241" t="s">
        <v>33</v>
      </c>
      <c r="V44" s="241" t="s">
        <v>15</v>
      </c>
      <c r="W44" s="311">
        <v>53.24</v>
      </c>
      <c r="X44" s="311">
        <v>56.43</v>
      </c>
      <c r="Y44" s="241">
        <v>88</v>
      </c>
      <c r="Z44" s="241">
        <v>0</v>
      </c>
      <c r="AA44" s="241">
        <f t="shared" si="5"/>
        <v>1</v>
      </c>
      <c r="AB44" s="40">
        <v>41</v>
      </c>
      <c r="AC44" s="268">
        <v>1750</v>
      </c>
      <c r="AD44" s="206" t="str">
        <f>+IF(p=1," 1,750  UMAM ","")</f>
        <v xml:space="preserve"> 1,750  UMAM </v>
      </c>
      <c r="AE44" s="227">
        <v>1.1635</v>
      </c>
      <c r="AF44" s="228"/>
      <c r="AG44" s="228"/>
      <c r="AH44" s="228"/>
      <c r="AI44" s="228"/>
      <c r="AJ44" s="228"/>
    </row>
    <row r="45" spans="1:36">
      <c r="D45"/>
      <c r="E45" s="38">
        <v>5</v>
      </c>
      <c r="F45" s="302">
        <v>0.3</v>
      </c>
      <c r="G45" s="38">
        <v>0.77780000000000005</v>
      </c>
      <c r="H45" s="38">
        <v>2</v>
      </c>
      <c r="I45" s="38" t="str">
        <f t="shared" si="0"/>
        <v>52</v>
      </c>
      <c r="J45" s="225">
        <v>50000</v>
      </c>
      <c r="K45" s="218">
        <v>1.0784</v>
      </c>
      <c r="L45" s="38">
        <v>1</v>
      </c>
      <c r="M45" s="39">
        <v>42</v>
      </c>
      <c r="N45" s="39">
        <v>46</v>
      </c>
      <c r="O45" s="290">
        <f>+IF('DATOS GENERALES'!$C$15="n",Q45,P45)</f>
        <v>0.45800000000000002</v>
      </c>
      <c r="P45" s="296">
        <v>0.41589999999999999</v>
      </c>
      <c r="Q45" s="296">
        <v>0.45800000000000002</v>
      </c>
      <c r="R45" s="226"/>
      <c r="S45" s="241">
        <v>42</v>
      </c>
      <c r="T45" s="241" t="s">
        <v>444</v>
      </c>
      <c r="U45" s="241" t="s">
        <v>445</v>
      </c>
      <c r="V45" s="241" t="s">
        <v>13</v>
      </c>
      <c r="W45" s="311">
        <v>60.25</v>
      </c>
      <c r="X45" s="311">
        <v>63.87</v>
      </c>
      <c r="Y45" s="241">
        <v>88</v>
      </c>
      <c r="Z45" s="241">
        <v>0</v>
      </c>
      <c r="AA45" s="241">
        <f t="shared" si="5"/>
        <v>1</v>
      </c>
      <c r="AB45" s="40">
        <v>42</v>
      </c>
      <c r="AC45" s="268">
        <v>1800</v>
      </c>
      <c r="AD45" s="206" t="str">
        <f>+IF(p=1," 1,800  UMAM ","")</f>
        <v xml:space="preserve"> 1,800  UMAM </v>
      </c>
      <c r="AE45" s="227">
        <v>1.1656</v>
      </c>
      <c r="AF45" s="228"/>
      <c r="AG45" s="228"/>
      <c r="AH45" s="228"/>
      <c r="AI45" s="228"/>
      <c r="AJ45" s="228"/>
    </row>
    <row r="46" spans="1:36">
      <c r="A46" s="285">
        <v>0</v>
      </c>
      <c r="D46"/>
      <c r="E46" s="38">
        <v>5</v>
      </c>
      <c r="F46" s="302">
        <v>0.3</v>
      </c>
      <c r="G46" s="38">
        <v>0.77780000000000005</v>
      </c>
      <c r="H46" s="38">
        <v>3</v>
      </c>
      <c r="I46" s="38" t="str">
        <f t="shared" si="0"/>
        <v>53</v>
      </c>
      <c r="J46" s="225">
        <v>60000</v>
      </c>
      <c r="K46" s="218">
        <v>1.0670930000000001</v>
      </c>
      <c r="L46" s="38">
        <v>1</v>
      </c>
      <c r="M46" s="39">
        <v>43</v>
      </c>
      <c r="N46" s="39">
        <v>47</v>
      </c>
      <c r="O46" s="290">
        <f>+IF('DATOS GENERALES'!$C$15="n",Q46,P46)</f>
        <v>0.45419999999999999</v>
      </c>
      <c r="P46" s="296">
        <v>0.41220000000000001</v>
      </c>
      <c r="Q46" s="296">
        <v>0.45419999999999999</v>
      </c>
      <c r="R46" s="226"/>
      <c r="S46" s="241">
        <v>43</v>
      </c>
      <c r="T46" s="241" t="s">
        <v>311</v>
      </c>
      <c r="U46" s="241" t="s">
        <v>293</v>
      </c>
      <c r="V46" s="241" t="s">
        <v>18</v>
      </c>
      <c r="W46" s="311">
        <v>53.24</v>
      </c>
      <c r="X46" s="311">
        <v>56.43</v>
      </c>
      <c r="Y46" s="241">
        <v>88</v>
      </c>
      <c r="Z46" s="241">
        <v>1</v>
      </c>
      <c r="AA46" s="241">
        <f t="shared" si="5"/>
        <v>1</v>
      </c>
      <c r="AB46" s="40">
        <v>43</v>
      </c>
      <c r="AC46" s="268">
        <v>1900</v>
      </c>
      <c r="AD46" s="206" t="str">
        <f>+IF(p=1," 1,900  UMAM ","")</f>
        <v xml:space="preserve"> 1,900  UMAM </v>
      </c>
      <c r="AE46" s="227">
        <v>1.17</v>
      </c>
      <c r="AF46" s="228"/>
      <c r="AG46" s="228"/>
      <c r="AH46" s="228"/>
      <c r="AI46" s="228"/>
      <c r="AJ46" s="228"/>
    </row>
    <row r="47" spans="1:36">
      <c r="A47" s="285">
        <v>0.01</v>
      </c>
      <c r="D47"/>
      <c r="E47" s="38">
        <v>5</v>
      </c>
      <c r="F47" s="302">
        <v>0.3</v>
      </c>
      <c r="G47" s="38">
        <v>0.77780000000000005</v>
      </c>
      <c r="H47" s="38">
        <v>4</v>
      </c>
      <c r="I47" s="38" t="str">
        <f t="shared" si="0"/>
        <v>54</v>
      </c>
      <c r="J47" s="225">
        <v>70000</v>
      </c>
      <c r="K47" s="218">
        <v>1.056684</v>
      </c>
      <c r="L47" s="38">
        <v>1</v>
      </c>
      <c r="M47" s="39">
        <v>44</v>
      </c>
      <c r="N47" s="39">
        <v>48</v>
      </c>
      <c r="O47" s="290">
        <f>+IF('DATOS GENERALES'!$C$15="n",Q47,P47)</f>
        <v>0.4506</v>
      </c>
      <c r="P47" s="296">
        <v>0.40860000000000002</v>
      </c>
      <c r="Q47" s="296">
        <v>0.4506</v>
      </c>
      <c r="R47" s="226"/>
      <c r="S47" s="241">
        <v>44</v>
      </c>
      <c r="T47" s="241" t="s">
        <v>316</v>
      </c>
      <c r="U47" s="241" t="s">
        <v>109</v>
      </c>
      <c r="V47" s="241" t="s">
        <v>13</v>
      </c>
      <c r="W47" s="311">
        <v>43.54</v>
      </c>
      <c r="X47" s="311">
        <v>46.15</v>
      </c>
      <c r="Y47" s="241">
        <v>88</v>
      </c>
      <c r="Z47" s="241">
        <v>1</v>
      </c>
      <c r="AA47" s="241">
        <f t="shared" si="5"/>
        <v>1</v>
      </c>
      <c r="AB47" s="40">
        <v>44</v>
      </c>
      <c r="AC47" s="268">
        <v>2000</v>
      </c>
      <c r="AD47" s="206" t="str">
        <f>+IF(p=1," 2,000  UMAM ","")</f>
        <v xml:space="preserve"> 2,000  UMAM </v>
      </c>
      <c r="AE47" s="227">
        <v>1.1744000000000001</v>
      </c>
      <c r="AF47" s="228"/>
      <c r="AG47" s="228"/>
      <c r="AH47" s="228"/>
      <c r="AI47" s="228"/>
      <c r="AJ47" s="228"/>
    </row>
    <row r="48" spans="1:36">
      <c r="A48" s="285">
        <v>0.02</v>
      </c>
      <c r="D48"/>
      <c r="E48" s="38">
        <v>5</v>
      </c>
      <c r="F48" s="302">
        <v>0.3</v>
      </c>
      <c r="G48" s="38">
        <v>0.77780000000000005</v>
      </c>
      <c r="H48" s="38">
        <v>5</v>
      </c>
      <c r="I48" s="38" t="str">
        <f t="shared" si="0"/>
        <v>55</v>
      </c>
      <c r="J48" s="225">
        <v>75000</v>
      </c>
      <c r="K48" s="218">
        <v>1.0519769999999999</v>
      </c>
      <c r="L48" s="38">
        <v>1</v>
      </c>
      <c r="M48" s="39">
        <v>45</v>
      </c>
      <c r="N48" s="39">
        <v>49</v>
      </c>
      <c r="O48" s="290">
        <f>+IF('DATOS GENERALES'!$C$15="n",Q48,P48)</f>
        <v>0.44700000000000001</v>
      </c>
      <c r="P48" s="296">
        <v>0.40510000000000002</v>
      </c>
      <c r="Q48" s="296">
        <v>0.44700000000000001</v>
      </c>
      <c r="R48" s="226"/>
      <c r="S48" s="241">
        <v>45</v>
      </c>
      <c r="T48" s="241" t="s">
        <v>267</v>
      </c>
      <c r="U48" s="241" t="s">
        <v>34</v>
      </c>
      <c r="V48" s="241" t="s">
        <v>13</v>
      </c>
      <c r="W48" s="311">
        <v>43.54</v>
      </c>
      <c r="X48" s="311">
        <v>46.15</v>
      </c>
      <c r="Y48" s="241">
        <v>88</v>
      </c>
      <c r="Z48" s="241">
        <v>1</v>
      </c>
      <c r="AA48" s="241">
        <f t="shared" si="5"/>
        <v>1</v>
      </c>
      <c r="AB48" s="40">
        <v>45</v>
      </c>
      <c r="AC48" s="268">
        <v>2500</v>
      </c>
      <c r="AD48" s="206" t="str">
        <f>+IF(p=1," 2,500  UMAM ","")</f>
        <v xml:space="preserve"> 2,500  UMAM </v>
      </c>
      <c r="AE48" s="227">
        <v>1.1913</v>
      </c>
      <c r="AF48" s="228"/>
      <c r="AG48" s="228"/>
      <c r="AH48" s="228"/>
      <c r="AI48" s="228"/>
      <c r="AJ48" s="228"/>
    </row>
    <row r="49" spans="1:36">
      <c r="A49" s="285">
        <v>0.03</v>
      </c>
      <c r="D49"/>
      <c r="E49" s="38">
        <v>5</v>
      </c>
      <c r="F49" s="302">
        <v>0.3</v>
      </c>
      <c r="G49" s="38">
        <v>0.77780000000000005</v>
      </c>
      <c r="H49" s="38">
        <v>6</v>
      </c>
      <c r="I49" s="38" t="str">
        <f t="shared" si="0"/>
        <v>56</v>
      </c>
      <c r="J49" s="225">
        <v>80000</v>
      </c>
      <c r="K49" s="218">
        <v>1.047647</v>
      </c>
      <c r="L49" s="38">
        <v>1</v>
      </c>
      <c r="M49" s="39">
        <v>46</v>
      </c>
      <c r="N49" s="39">
        <v>50</v>
      </c>
      <c r="O49" s="290">
        <f>+IF('DATOS GENERALES'!$C$15="n",Q49,P49)</f>
        <v>0.44019999999999998</v>
      </c>
      <c r="P49" s="296">
        <v>0.39839999999999998</v>
      </c>
      <c r="Q49" s="296">
        <v>0.44019999999999998</v>
      </c>
      <c r="R49" s="226"/>
      <c r="S49" s="241">
        <v>46</v>
      </c>
      <c r="T49" s="241" t="s">
        <v>264</v>
      </c>
      <c r="U49" s="241" t="s">
        <v>83</v>
      </c>
      <c r="V49" s="241" t="s">
        <v>13</v>
      </c>
      <c r="W49" s="311">
        <v>43.54</v>
      </c>
      <c r="X49" s="311">
        <v>46.15</v>
      </c>
      <c r="Y49" s="241">
        <v>88</v>
      </c>
      <c r="Z49" s="241">
        <v>0</v>
      </c>
      <c r="AA49" s="241">
        <f t="shared" si="5"/>
        <v>1</v>
      </c>
      <c r="AB49" s="40">
        <v>46</v>
      </c>
      <c r="AC49" s="268">
        <v>2570</v>
      </c>
      <c r="AD49" s="206" t="str">
        <f>+IF(p=1," 2,570  UMAM ","")</f>
        <v xml:space="preserve"> 2,570  UMAM </v>
      </c>
      <c r="AE49" s="227">
        <v>1.1932</v>
      </c>
      <c r="AF49" s="228"/>
      <c r="AG49" s="228"/>
      <c r="AH49" s="228"/>
      <c r="AI49" s="228"/>
      <c r="AJ49" s="228"/>
    </row>
    <row r="50" spans="1:36">
      <c r="A50" s="285">
        <v>0.04</v>
      </c>
      <c r="D50"/>
      <c r="E50" s="38">
        <v>5</v>
      </c>
      <c r="F50" s="302">
        <v>0.3</v>
      </c>
      <c r="G50" s="38">
        <v>0.77780000000000005</v>
      </c>
      <c r="H50" s="38">
        <v>7</v>
      </c>
      <c r="I50" s="38" t="str">
        <f t="shared" si="0"/>
        <v>57</v>
      </c>
      <c r="J50" s="225">
        <v>85000</v>
      </c>
      <c r="K50" s="218">
        <v>1.0436650000000001</v>
      </c>
      <c r="L50" s="38">
        <v>1</v>
      </c>
      <c r="M50" s="39">
        <v>47</v>
      </c>
      <c r="N50" s="294">
        <v>2000</v>
      </c>
      <c r="O50" s="297">
        <v>1</v>
      </c>
      <c r="P50" s="295"/>
      <c r="Q50" s="295"/>
      <c r="R50" s="226"/>
      <c r="S50" s="241">
        <v>47</v>
      </c>
      <c r="T50" s="241" t="s">
        <v>437</v>
      </c>
      <c r="U50" s="241" t="s">
        <v>438</v>
      </c>
      <c r="V50" s="241" t="s">
        <v>13</v>
      </c>
      <c r="W50" s="311">
        <v>43.54</v>
      </c>
      <c r="X50" s="311">
        <v>46.15</v>
      </c>
      <c r="Y50" s="241">
        <v>88</v>
      </c>
      <c r="Z50" s="241">
        <v>0</v>
      </c>
      <c r="AA50" s="241">
        <f t="shared" si="5"/>
        <v>1</v>
      </c>
      <c r="AB50" s="40">
        <v>47</v>
      </c>
      <c r="AC50" s="268">
        <v>2573</v>
      </c>
      <c r="AD50" s="206" t="str">
        <f>+IF(p=1," 2,573  UMAM ","")</f>
        <v xml:space="preserve"> 2,573  UMAM </v>
      </c>
      <c r="AE50" s="227">
        <v>1.1933</v>
      </c>
      <c r="AF50" s="228"/>
      <c r="AG50" s="228"/>
      <c r="AH50" s="228"/>
      <c r="AI50" s="228"/>
      <c r="AJ50" s="228"/>
    </row>
    <row r="51" spans="1:36">
      <c r="A51" s="285">
        <v>0.05</v>
      </c>
      <c r="D51"/>
      <c r="E51" s="38">
        <v>5</v>
      </c>
      <c r="F51" s="302">
        <v>0.3</v>
      </c>
      <c r="G51" s="38">
        <v>0.77780000000000005</v>
      </c>
      <c r="H51" s="38">
        <v>8</v>
      </c>
      <c r="I51" s="38" t="str">
        <f t="shared" si="0"/>
        <v>58</v>
      </c>
      <c r="J51" s="225">
        <v>90000</v>
      </c>
      <c r="K51" s="218">
        <v>1.0400039999999999</v>
      </c>
      <c r="L51" s="38">
        <v>1</v>
      </c>
      <c r="M51" s="39">
        <v>48</v>
      </c>
      <c r="N51" s="294">
        <v>2500</v>
      </c>
      <c r="O51" s="290">
        <v>0.96450000000000002</v>
      </c>
      <c r="P51" s="295"/>
      <c r="Q51" s="295"/>
      <c r="R51" s="226"/>
      <c r="S51" s="241">
        <v>48</v>
      </c>
      <c r="T51" s="241" t="s">
        <v>409</v>
      </c>
      <c r="U51" s="241" t="s">
        <v>410</v>
      </c>
      <c r="V51" s="241" t="s">
        <v>13</v>
      </c>
      <c r="W51" s="311">
        <v>43.4</v>
      </c>
      <c r="X51" s="311">
        <v>46</v>
      </c>
      <c r="Y51" s="241">
        <v>88</v>
      </c>
      <c r="Z51" s="241">
        <v>0</v>
      </c>
      <c r="AA51" s="241">
        <f t="shared" si="5"/>
        <v>1</v>
      </c>
      <c r="AB51" s="40">
        <v>48</v>
      </c>
      <c r="AC51" s="268">
        <v>2675</v>
      </c>
      <c r="AD51" s="206" t="str">
        <f>+IF(p=1," 2,675  UMAM ","")</f>
        <v xml:space="preserve"> 2,675  UMAM </v>
      </c>
      <c r="AE51" s="227">
        <v>1.1960999999999999</v>
      </c>
      <c r="AF51" s="228"/>
      <c r="AG51" s="228"/>
      <c r="AH51" s="228"/>
      <c r="AI51" s="228"/>
      <c r="AJ51" s="228"/>
    </row>
    <row r="52" spans="1:36">
      <c r="A52" s="285">
        <v>0.06</v>
      </c>
      <c r="D52"/>
      <c r="E52" s="38">
        <v>5</v>
      </c>
      <c r="F52" s="302">
        <v>0.3</v>
      </c>
      <c r="G52" s="38">
        <v>0.77780000000000005</v>
      </c>
      <c r="H52" s="38">
        <v>9</v>
      </c>
      <c r="I52" s="38" t="str">
        <f t="shared" si="0"/>
        <v>59</v>
      </c>
      <c r="J52" s="225">
        <v>95000</v>
      </c>
      <c r="K52" s="218">
        <v>1.03664</v>
      </c>
      <c r="L52" s="38">
        <v>1</v>
      </c>
      <c r="M52" s="39">
        <v>49</v>
      </c>
      <c r="N52" s="294">
        <v>3000</v>
      </c>
      <c r="O52" s="290">
        <v>0.94799999999999995</v>
      </c>
      <c r="P52" s="295"/>
      <c r="Q52" s="295"/>
      <c r="R52" s="226"/>
      <c r="AA52"/>
      <c r="AB52" s="40">
        <v>49</v>
      </c>
      <c r="AC52" s="268">
        <v>2690</v>
      </c>
      <c r="AD52" s="206" t="str">
        <f>+IF(p=1," 2,690  UMAM ","")</f>
        <v xml:space="preserve"> 2,690  UMAM </v>
      </c>
      <c r="AE52" s="227">
        <v>1.1964999999999999</v>
      </c>
      <c r="AF52" s="228"/>
      <c r="AG52" s="228"/>
      <c r="AH52" s="228"/>
      <c r="AI52" s="228"/>
      <c r="AJ52" s="228"/>
    </row>
    <row r="53" spans="1:36">
      <c r="A53" s="285">
        <v>7.0000000000000007E-2</v>
      </c>
      <c r="D53"/>
      <c r="E53" s="38">
        <v>5</v>
      </c>
      <c r="F53" s="302">
        <v>0.3</v>
      </c>
      <c r="G53" s="38">
        <v>0.77780000000000005</v>
      </c>
      <c r="H53" s="38">
        <v>10</v>
      </c>
      <c r="I53" s="38" t="str">
        <f t="shared" si="0"/>
        <v>510</v>
      </c>
      <c r="J53" s="225">
        <v>100000</v>
      </c>
      <c r="K53" s="218">
        <v>1.0335479999999999</v>
      </c>
      <c r="L53" s="38">
        <v>1</v>
      </c>
      <c r="M53" s="39">
        <v>50</v>
      </c>
      <c r="N53" s="294">
        <v>3500</v>
      </c>
      <c r="O53" s="290">
        <v>0.87880000000000003</v>
      </c>
      <c r="P53" s="295"/>
      <c r="Q53" s="295"/>
      <c r="R53" s="226"/>
      <c r="AA53"/>
      <c r="AB53" s="40">
        <v>50</v>
      </c>
      <c r="AC53" s="268">
        <v>2700</v>
      </c>
      <c r="AD53" s="206" t="str">
        <f>+IF(p=1," 2,700  UMAM ","")</f>
        <v xml:space="preserve"> 2,700  UMAM </v>
      </c>
      <c r="AE53" s="227">
        <v>1.1968000000000001</v>
      </c>
      <c r="AF53" s="228"/>
      <c r="AG53" s="228"/>
      <c r="AH53" s="228"/>
      <c r="AI53" s="228"/>
      <c r="AJ53" s="228"/>
    </row>
    <row r="54" spans="1:36">
      <c r="A54" s="285">
        <v>0.08</v>
      </c>
      <c r="D54"/>
      <c r="E54" s="38">
        <v>6</v>
      </c>
      <c r="F54" s="302">
        <v>0.35</v>
      </c>
      <c r="G54" s="38">
        <v>0.72219999999999995</v>
      </c>
      <c r="H54" s="38">
        <v>1</v>
      </c>
      <c r="I54" s="38" t="str">
        <f t="shared" si="0"/>
        <v>61</v>
      </c>
      <c r="J54" s="38">
        <v>0</v>
      </c>
      <c r="K54" s="218">
        <v>1</v>
      </c>
      <c r="L54" s="38">
        <v>1</v>
      </c>
      <c r="M54" s="39">
        <v>51</v>
      </c>
      <c r="N54" s="294">
        <v>4000</v>
      </c>
      <c r="O54" s="290">
        <v>0.84699999999999998</v>
      </c>
      <c r="P54" s="295"/>
      <c r="Q54" s="295"/>
      <c r="AA54"/>
      <c r="AB54" s="40">
        <v>51</v>
      </c>
      <c r="AC54" s="268">
        <v>2800</v>
      </c>
      <c r="AD54" s="206" t="str">
        <f>+IF(p=1," 2,800  UMAM ","")</f>
        <v xml:space="preserve"> 2,800  UMAM </v>
      </c>
      <c r="AE54" s="227">
        <v>1.1995</v>
      </c>
      <c r="AF54" s="228"/>
      <c r="AG54" s="228"/>
      <c r="AH54" s="228"/>
      <c r="AI54" s="228"/>
      <c r="AJ54" s="228"/>
    </row>
    <row r="55" spans="1:36">
      <c r="A55" s="285">
        <v>0.09</v>
      </c>
      <c r="D55"/>
      <c r="E55" s="38">
        <v>6</v>
      </c>
      <c r="F55" s="302">
        <v>0.35</v>
      </c>
      <c r="G55" s="38">
        <v>0.72219999999999995</v>
      </c>
      <c r="H55" s="38">
        <v>2</v>
      </c>
      <c r="I55" s="38" t="str">
        <f t="shared" si="0"/>
        <v>62</v>
      </c>
      <c r="J55" s="225">
        <v>50000</v>
      </c>
      <c r="K55" s="218">
        <v>1.109064</v>
      </c>
      <c r="L55" s="38">
        <v>1</v>
      </c>
      <c r="M55" s="39">
        <v>52</v>
      </c>
      <c r="N55" s="294">
        <v>4500</v>
      </c>
      <c r="O55" s="290">
        <v>0.82</v>
      </c>
      <c r="P55" s="295"/>
      <c r="Q55" s="295"/>
      <c r="AB55" s="40">
        <v>52</v>
      </c>
      <c r="AC55" s="268">
        <v>3000</v>
      </c>
      <c r="AD55" s="206" t="str">
        <f>+IF(p=1," 3,000  UMAM ","")</f>
        <v xml:space="preserve"> 3,000  UMAM </v>
      </c>
      <c r="AE55" s="227">
        <v>1.2051000000000001</v>
      </c>
      <c r="AF55" s="228"/>
      <c r="AG55" s="228"/>
      <c r="AH55" s="228"/>
      <c r="AI55" s="228"/>
      <c r="AJ55" s="228"/>
    </row>
    <row r="56" spans="1:36">
      <c r="A56" s="285">
        <v>0.1</v>
      </c>
      <c r="D56"/>
      <c r="E56" s="38">
        <v>6</v>
      </c>
      <c r="F56" s="302">
        <v>0.35</v>
      </c>
      <c r="G56" s="38">
        <v>0.72219999999999995</v>
      </c>
      <c r="H56" s="38">
        <v>3</v>
      </c>
      <c r="I56" s="38" t="str">
        <f t="shared" si="0"/>
        <v>63</v>
      </c>
      <c r="J56" s="225">
        <v>60000</v>
      </c>
      <c r="K56" s="218">
        <v>1.0933360000000001</v>
      </c>
      <c r="L56" s="38">
        <v>1</v>
      </c>
      <c r="M56" s="39">
        <v>53</v>
      </c>
      <c r="N56" s="294">
        <v>5000</v>
      </c>
      <c r="O56" s="290">
        <v>0.79659999999999997</v>
      </c>
      <c r="P56" s="295"/>
      <c r="Q56" s="295"/>
      <c r="AB56" s="40">
        <v>53</v>
      </c>
      <c r="AC56" s="268">
        <v>3485</v>
      </c>
      <c r="AD56" s="206" t="str">
        <f>+IF(p=1," 3,485  UMAM ","")</f>
        <v xml:space="preserve"> 3,485  UMAM </v>
      </c>
      <c r="AE56" s="227">
        <v>1.2163999999999999</v>
      </c>
      <c r="AF56" s="228"/>
      <c r="AG56" s="228"/>
      <c r="AH56" s="228"/>
      <c r="AI56" s="228"/>
      <c r="AJ56" s="228"/>
    </row>
    <row r="57" spans="1:36">
      <c r="A57" s="285">
        <v>0.11</v>
      </c>
      <c r="D57"/>
      <c r="E57" s="38">
        <v>6</v>
      </c>
      <c r="F57" s="302">
        <v>0.35</v>
      </c>
      <c r="G57" s="38">
        <v>0.72219999999999995</v>
      </c>
      <c r="H57" s="38">
        <v>4</v>
      </c>
      <c r="I57" s="38" t="str">
        <f t="shared" si="0"/>
        <v>64</v>
      </c>
      <c r="J57" s="225">
        <v>70000</v>
      </c>
      <c r="K57" s="218">
        <v>1.0788549999999999</v>
      </c>
      <c r="L57" s="38">
        <v>1</v>
      </c>
      <c r="M57" s="289"/>
      <c r="AB57" s="40">
        <v>54</v>
      </c>
      <c r="AC57" s="268">
        <v>3500</v>
      </c>
      <c r="AD57" s="206" t="str">
        <f>+IF(p=1," 3,500  UMAM ","")</f>
        <v xml:space="preserve"> 3,500  UMAM </v>
      </c>
      <c r="AE57" s="227">
        <v>1.2166999999999999</v>
      </c>
      <c r="AF57" s="228"/>
      <c r="AG57" s="228"/>
      <c r="AH57" s="228"/>
      <c r="AI57" s="228"/>
      <c r="AJ57" s="228"/>
    </row>
    <row r="58" spans="1:36">
      <c r="A58" s="285">
        <v>0.12</v>
      </c>
      <c r="D58"/>
      <c r="E58" s="38">
        <v>6</v>
      </c>
      <c r="F58" s="302">
        <v>0.35</v>
      </c>
      <c r="G58" s="38">
        <v>0.72219999999999995</v>
      </c>
      <c r="H58" s="38">
        <v>5</v>
      </c>
      <c r="I58" s="38" t="str">
        <f t="shared" si="0"/>
        <v>65</v>
      </c>
      <c r="J58" s="225">
        <v>75000</v>
      </c>
      <c r="K58" s="218">
        <v>1.072306</v>
      </c>
      <c r="L58" s="38">
        <v>1</v>
      </c>
      <c r="M58" s="289"/>
      <c r="AB58" s="40">
        <v>55</v>
      </c>
      <c r="AC58" s="268">
        <v>3600</v>
      </c>
      <c r="AD58" s="206" t="str">
        <f>+IF(p=1," 3,600  UMAM ","")</f>
        <v xml:space="preserve"> 3,600  UMAM </v>
      </c>
      <c r="AE58" s="227">
        <v>1.2188000000000001</v>
      </c>
      <c r="AF58" s="228"/>
      <c r="AG58" s="228"/>
      <c r="AH58" s="228"/>
      <c r="AI58" s="228"/>
      <c r="AJ58" s="228"/>
    </row>
    <row r="59" spans="1:36">
      <c r="A59" s="285">
        <v>0.13</v>
      </c>
      <c r="D59"/>
      <c r="E59" s="38">
        <v>6</v>
      </c>
      <c r="F59" s="302">
        <v>0.35</v>
      </c>
      <c r="G59" s="38">
        <v>0.72219999999999995</v>
      </c>
      <c r="H59" s="38">
        <v>6</v>
      </c>
      <c r="I59" s="38" t="str">
        <f t="shared" si="0"/>
        <v>66</v>
      </c>
      <c r="J59" s="225">
        <v>80000</v>
      </c>
      <c r="K59" s="218">
        <v>1.0662830000000001</v>
      </c>
      <c r="L59" s="38">
        <v>1</v>
      </c>
      <c r="M59" s="289"/>
      <c r="AB59" s="40">
        <v>56</v>
      </c>
      <c r="AC59" s="268">
        <v>4000</v>
      </c>
      <c r="AD59" s="206" t="str">
        <f>+IF(p=1," 4,000  UMAM ","")</f>
        <v xml:space="preserve"> 4,000  UMAM </v>
      </c>
      <c r="AE59" s="227">
        <v>1.2267999999999999</v>
      </c>
      <c r="AF59" s="228"/>
      <c r="AG59" s="228"/>
      <c r="AH59" s="228"/>
      <c r="AI59" s="228"/>
      <c r="AJ59" s="228"/>
    </row>
    <row r="60" spans="1:36">
      <c r="A60" s="285">
        <v>0.14000000000000001</v>
      </c>
      <c r="D60"/>
      <c r="E60" s="38">
        <v>6</v>
      </c>
      <c r="F60" s="302">
        <v>0.35</v>
      </c>
      <c r="G60" s="38">
        <v>0.72219999999999995</v>
      </c>
      <c r="H60" s="38">
        <v>7</v>
      </c>
      <c r="I60" s="38" t="str">
        <f t="shared" si="0"/>
        <v>67</v>
      </c>
      <c r="J60" s="225">
        <v>85000</v>
      </c>
      <c r="K60" s="218">
        <v>1.060743</v>
      </c>
      <c r="L60" s="38">
        <v>1</v>
      </c>
      <c r="M60" s="289"/>
      <c r="AB60" s="40">
        <v>57</v>
      </c>
      <c r="AC60" s="268">
        <v>4500</v>
      </c>
      <c r="AD60" s="206" t="str">
        <f>+IF(p=1," 4,500  UMAM ","")</f>
        <v xml:space="preserve"> 4,500  UMAM </v>
      </c>
      <c r="AE60" s="227">
        <v>1.2358</v>
      </c>
      <c r="AF60" s="228"/>
      <c r="AG60" s="228"/>
      <c r="AH60" s="228"/>
      <c r="AI60" s="228"/>
      <c r="AJ60" s="228"/>
    </row>
    <row r="61" spans="1:36">
      <c r="A61" s="285">
        <v>0.15</v>
      </c>
      <c r="D61"/>
      <c r="E61" s="38">
        <v>6</v>
      </c>
      <c r="F61" s="302">
        <v>0.35</v>
      </c>
      <c r="G61" s="38">
        <v>0.72219999999999995</v>
      </c>
      <c r="H61" s="38">
        <v>8</v>
      </c>
      <c r="I61" s="38" t="str">
        <f t="shared" si="0"/>
        <v>68</v>
      </c>
      <c r="J61" s="225">
        <v>90000</v>
      </c>
      <c r="K61" s="218">
        <v>1.0556509999999999</v>
      </c>
      <c r="L61" s="38">
        <v>1</v>
      </c>
      <c r="M61" s="289"/>
      <c r="AB61" s="40">
        <v>58</v>
      </c>
      <c r="AC61" s="268">
        <v>4800</v>
      </c>
      <c r="AD61" s="206" t="str">
        <f>+IF(p=1," 4,800  UMAM ","")</f>
        <v xml:space="preserve"> 4,800  UMAM </v>
      </c>
      <c r="AE61" s="227">
        <v>1.2404999999999999</v>
      </c>
      <c r="AF61" s="228"/>
      <c r="AG61" s="228"/>
      <c r="AH61" s="228"/>
      <c r="AI61" s="228"/>
      <c r="AJ61" s="228"/>
    </row>
    <row r="62" spans="1:36">
      <c r="A62" s="285">
        <v>0.16</v>
      </c>
      <c r="D62"/>
      <c r="E62" s="38">
        <v>6</v>
      </c>
      <c r="F62" s="302">
        <v>0.35</v>
      </c>
      <c r="G62" s="38">
        <v>0.72219999999999995</v>
      </c>
      <c r="H62" s="38">
        <v>9</v>
      </c>
      <c r="I62" s="38" t="str">
        <f t="shared" si="0"/>
        <v>69</v>
      </c>
      <c r="J62" s="225">
        <v>95000</v>
      </c>
      <c r="K62" s="218">
        <v>1.05097</v>
      </c>
      <c r="L62" s="38">
        <v>1</v>
      </c>
      <c r="M62" s="289"/>
      <c r="AB62" s="40">
        <v>59</v>
      </c>
      <c r="AC62" s="268">
        <v>5000</v>
      </c>
      <c r="AD62" s="206" t="str">
        <f>+IF(p=1," 5,000  UMAM ","")</f>
        <v xml:space="preserve"> 5,000  UMAM </v>
      </c>
      <c r="AE62" s="227">
        <v>1.2437</v>
      </c>
      <c r="AF62" s="228"/>
      <c r="AG62" s="228"/>
      <c r="AH62" s="228"/>
      <c r="AI62" s="228"/>
      <c r="AJ62" s="228"/>
    </row>
    <row r="63" spans="1:36">
      <c r="A63" s="285">
        <v>0.17</v>
      </c>
      <c r="D63"/>
      <c r="E63" s="38">
        <v>6</v>
      </c>
      <c r="F63" s="302">
        <v>0.35</v>
      </c>
      <c r="G63" s="38">
        <v>0.72219999999999995</v>
      </c>
      <c r="H63" s="38">
        <v>10</v>
      </c>
      <c r="I63" s="38" t="str">
        <f t="shared" si="0"/>
        <v>610</v>
      </c>
      <c r="J63" s="225">
        <v>100000</v>
      </c>
      <c r="K63" s="218">
        <v>1.04667</v>
      </c>
      <c r="L63" s="38">
        <v>1</v>
      </c>
      <c r="M63" s="289"/>
      <c r="AB63" s="40">
        <v>60</v>
      </c>
      <c r="AC63" s="268">
        <v>5500</v>
      </c>
      <c r="AD63" s="206" t="str">
        <f>+IF(p=1," 5,500  UMAM ","")</f>
        <v xml:space="preserve"> 5,500  UMAM </v>
      </c>
      <c r="AE63" s="227">
        <v>1.2509999999999999</v>
      </c>
      <c r="AF63" s="228"/>
      <c r="AG63" s="228"/>
      <c r="AH63" s="228"/>
      <c r="AI63" s="228"/>
      <c r="AJ63" s="228"/>
    </row>
    <row r="64" spans="1:36">
      <c r="A64" s="285">
        <v>0.18</v>
      </c>
      <c r="D64"/>
      <c r="E64" s="38">
        <v>7</v>
      </c>
      <c r="F64" s="302">
        <v>0.4</v>
      </c>
      <c r="G64" s="38">
        <v>0.66669999999999996</v>
      </c>
      <c r="H64" s="38">
        <v>1</v>
      </c>
      <c r="I64" s="38" t="str">
        <f t="shared" si="0"/>
        <v>71</v>
      </c>
      <c r="J64" s="38">
        <v>0</v>
      </c>
      <c r="K64" s="218">
        <v>1</v>
      </c>
      <c r="L64" s="38">
        <v>1</v>
      </c>
      <c r="M64" s="289"/>
      <c r="AB64" s="40">
        <v>61</v>
      </c>
      <c r="AC64" s="268">
        <v>6000</v>
      </c>
      <c r="AD64" s="206" t="str">
        <f>+IF(p=1," 6,000  UMAM ","")</f>
        <v xml:space="preserve"> 6,000  UMAM </v>
      </c>
      <c r="AE64" s="227">
        <v>1.2575000000000001</v>
      </c>
      <c r="AF64" s="228"/>
      <c r="AG64" s="228"/>
      <c r="AH64" s="228"/>
      <c r="AI64" s="228"/>
      <c r="AJ64" s="228"/>
    </row>
    <row r="65" spans="1:36">
      <c r="A65" s="285"/>
      <c r="D65"/>
      <c r="E65" s="38">
        <v>7</v>
      </c>
      <c r="F65" s="302">
        <v>0.4</v>
      </c>
      <c r="G65" s="38">
        <v>0.66669999999999996</v>
      </c>
      <c r="H65" s="38">
        <v>2</v>
      </c>
      <c r="I65" s="38" t="str">
        <f t="shared" si="0"/>
        <v>72</v>
      </c>
      <c r="J65" s="225">
        <v>50000</v>
      </c>
      <c r="K65" s="218">
        <v>1.1477459999999999</v>
      </c>
      <c r="L65" s="38">
        <v>1</v>
      </c>
      <c r="M65" s="289"/>
      <c r="AB65" s="40">
        <v>62</v>
      </c>
      <c r="AC65" s="268">
        <v>6500</v>
      </c>
      <c r="AD65" s="206" t="str">
        <f>+IF(p=1," 6,500  UMAM ","")</f>
        <v xml:space="preserve"> 6,500  UMAM </v>
      </c>
      <c r="AE65" s="227">
        <v>1.2636000000000001</v>
      </c>
      <c r="AF65" s="228"/>
      <c r="AG65" s="228"/>
      <c r="AH65" s="228"/>
      <c r="AI65" s="228"/>
      <c r="AJ65" s="228"/>
    </row>
    <row r="66" spans="1:36">
      <c r="A66" s="285"/>
      <c r="D66"/>
      <c r="E66" s="38">
        <v>7</v>
      </c>
      <c r="F66" s="302">
        <v>0.4</v>
      </c>
      <c r="G66" s="38">
        <v>0.66669999999999996</v>
      </c>
      <c r="H66" s="38">
        <v>3</v>
      </c>
      <c r="I66" s="38" t="str">
        <f t="shared" si="0"/>
        <v>73</v>
      </c>
      <c r="J66" s="225">
        <v>60000</v>
      </c>
      <c r="K66" s="218">
        <v>1.126439</v>
      </c>
      <c r="L66" s="38">
        <v>1</v>
      </c>
      <c r="M66" s="289"/>
      <c r="AB66" s="40">
        <v>63</v>
      </c>
      <c r="AC66" s="268">
        <v>6700</v>
      </c>
      <c r="AD66" s="206" t="str">
        <f>+IF(p=1," 6,700  UMAM ","")</f>
        <v xml:space="preserve"> 6,700  UMAM </v>
      </c>
      <c r="AE66" s="227">
        <v>1.2659</v>
      </c>
      <c r="AF66" s="228"/>
      <c r="AG66" s="228"/>
      <c r="AH66" s="228"/>
      <c r="AI66" s="228"/>
      <c r="AJ66" s="228"/>
    </row>
    <row r="67" spans="1:36" ht="15.5">
      <c r="A67" s="237" t="s">
        <v>520</v>
      </c>
      <c r="B67" s="237">
        <f>+IF(p=2,0,IF(A71=1,0,56))</f>
        <v>0</v>
      </c>
      <c r="D67"/>
      <c r="E67" s="38">
        <v>7</v>
      </c>
      <c r="F67" s="302">
        <v>0.4</v>
      </c>
      <c r="G67" s="38">
        <v>0.66669999999999996</v>
      </c>
      <c r="H67" s="38">
        <v>4</v>
      </c>
      <c r="I67" s="38" t="str">
        <f t="shared" si="0"/>
        <v>74</v>
      </c>
      <c r="J67" s="225">
        <v>70000</v>
      </c>
      <c r="K67" s="218">
        <v>1.106822</v>
      </c>
      <c r="L67" s="38">
        <v>1</v>
      </c>
      <c r="M67" s="289"/>
      <c r="AB67" s="40">
        <v>64</v>
      </c>
      <c r="AC67" s="268">
        <v>6800</v>
      </c>
      <c r="AD67" s="206" t="str">
        <f>+IF(p=1," 6,800  UMAM ","")</f>
        <v xml:space="preserve"> 6,800  UMAM </v>
      </c>
      <c r="AE67" s="227">
        <v>1.2669999999999999</v>
      </c>
      <c r="AF67" s="228"/>
      <c r="AG67" s="228"/>
      <c r="AH67" s="228"/>
      <c r="AI67" s="228"/>
      <c r="AJ67" s="228"/>
    </row>
    <row r="68" spans="1:36" ht="15.5">
      <c r="A68" s="237" t="s">
        <v>516</v>
      </c>
      <c r="B68" s="237">
        <f>+IF(p=2,64,IF(A71=1,55,64))</f>
        <v>55</v>
      </c>
      <c r="D68"/>
      <c r="E68" s="38">
        <v>7</v>
      </c>
      <c r="F68" s="302">
        <v>0.4</v>
      </c>
      <c r="G68" s="38">
        <v>0.66669999999999996</v>
      </c>
      <c r="H68" s="38">
        <v>5</v>
      </c>
      <c r="I68" s="38" t="str">
        <f t="shared" ref="I68:I93" si="6">+E68&amp;H68</f>
        <v>75</v>
      </c>
      <c r="J68" s="225">
        <v>75000</v>
      </c>
      <c r="K68" s="218">
        <v>1.097952</v>
      </c>
      <c r="L68" s="38">
        <v>1</v>
      </c>
      <c r="M68" s="289"/>
      <c r="AB68" s="40">
        <v>65</v>
      </c>
      <c r="AC68" s="268">
        <v>7000</v>
      </c>
      <c r="AD68" s="206" t="str">
        <f>+IF(p=1," 7,000  UMAM ","")</f>
        <v xml:space="preserve"> 7,000  UMAM </v>
      </c>
      <c r="AE68" s="227">
        <v>1.2692000000000001</v>
      </c>
      <c r="AF68" s="228"/>
      <c r="AG68" s="228"/>
      <c r="AH68" s="228"/>
      <c r="AI68" s="228"/>
      <c r="AJ68" s="228"/>
    </row>
    <row r="69" spans="1:36">
      <c r="D69"/>
      <c r="E69" s="38">
        <v>7</v>
      </c>
      <c r="F69" s="302">
        <v>0.4</v>
      </c>
      <c r="G69" s="38">
        <v>0.66669999999999996</v>
      </c>
      <c r="H69" s="38">
        <v>6</v>
      </c>
      <c r="I69" s="38" t="str">
        <f t="shared" si="6"/>
        <v>76</v>
      </c>
      <c r="J69" s="225">
        <v>80000</v>
      </c>
      <c r="K69" s="218">
        <v>1.0897920000000001</v>
      </c>
      <c r="L69" s="38">
        <v>1</v>
      </c>
      <c r="M69" s="289"/>
      <c r="AB69" s="40">
        <v>66</v>
      </c>
      <c r="AC69" s="268">
        <v>7500</v>
      </c>
      <c r="AD69" s="206" t="str">
        <f>+IF(p=1," 7,500  UMAM ","")</f>
        <v xml:space="preserve"> 7,500  UMAM </v>
      </c>
      <c r="AE69" s="227">
        <v>1.2744</v>
      </c>
      <c r="AF69" s="228"/>
      <c r="AG69" s="228"/>
      <c r="AH69" s="228"/>
      <c r="AI69" s="228"/>
      <c r="AJ69" s="228"/>
    </row>
    <row r="70" spans="1:36" ht="15.5">
      <c r="A70" s="237" t="s">
        <v>521</v>
      </c>
      <c r="B70" s="533" t="s">
        <v>525</v>
      </c>
      <c r="D70"/>
      <c r="E70" s="38">
        <v>7</v>
      </c>
      <c r="F70" s="302">
        <v>0.4</v>
      </c>
      <c r="G70" s="38">
        <v>0.66669999999999996</v>
      </c>
      <c r="H70" s="38">
        <v>7</v>
      </c>
      <c r="I70" s="38" t="str">
        <f t="shared" si="6"/>
        <v>77</v>
      </c>
      <c r="J70" s="225">
        <v>85000</v>
      </c>
      <c r="K70" s="218">
        <v>1.082287</v>
      </c>
      <c r="L70" s="38">
        <v>1</v>
      </c>
      <c r="M70" s="289"/>
      <c r="AB70" s="40">
        <v>67</v>
      </c>
      <c r="AC70" s="268">
        <v>7900</v>
      </c>
      <c r="AD70" s="206" t="str">
        <f>+IF(p=1," 7,900  UMAM ","")</f>
        <v xml:space="preserve"> 7,900  UMAM </v>
      </c>
      <c r="AE70" s="227">
        <v>1.2784</v>
      </c>
      <c r="AF70" s="228"/>
      <c r="AG70" s="228"/>
      <c r="AH70" s="228"/>
      <c r="AI70" s="228"/>
      <c r="AJ70" s="228"/>
    </row>
    <row r="71" spans="1:36" ht="15.5">
      <c r="A71" s="532">
        <v>1</v>
      </c>
      <c r="B71" s="533" t="s">
        <v>526</v>
      </c>
      <c r="D71"/>
      <c r="E71" s="38">
        <v>7</v>
      </c>
      <c r="F71" s="302">
        <v>0.4</v>
      </c>
      <c r="G71" s="38">
        <v>0.66669999999999996</v>
      </c>
      <c r="H71" s="38">
        <v>8</v>
      </c>
      <c r="I71" s="38" t="str">
        <f t="shared" si="6"/>
        <v>78</v>
      </c>
      <c r="J71" s="225">
        <v>90000</v>
      </c>
      <c r="K71" s="218">
        <v>1.0753889999999999</v>
      </c>
      <c r="L71" s="38">
        <v>1</v>
      </c>
      <c r="M71" s="289"/>
      <c r="AB71" s="40">
        <v>68</v>
      </c>
      <c r="AC71" s="268">
        <v>8000</v>
      </c>
      <c r="AD71" s="206" t="str">
        <f>+IF(p=1," 8,000  UMAM ","")</f>
        <v xml:space="preserve"> 8,000  UMAM </v>
      </c>
      <c r="AE71" s="227">
        <v>1.2793000000000001</v>
      </c>
      <c r="AF71" s="228"/>
      <c r="AG71" s="228"/>
      <c r="AH71" s="228"/>
      <c r="AI71" s="228"/>
      <c r="AJ71" s="228"/>
    </row>
    <row r="72" spans="1:36">
      <c r="A72" s="285"/>
      <c r="D72"/>
      <c r="E72" s="38">
        <v>7</v>
      </c>
      <c r="F72" s="302">
        <v>0.4</v>
      </c>
      <c r="G72" s="38">
        <v>0.66669999999999996</v>
      </c>
      <c r="H72" s="38">
        <v>9</v>
      </c>
      <c r="I72" s="38" t="str">
        <f t="shared" si="6"/>
        <v>79</v>
      </c>
      <c r="J72" s="225">
        <v>95000</v>
      </c>
      <c r="K72" s="218">
        <v>1.069048</v>
      </c>
      <c r="L72" s="38">
        <v>1</v>
      </c>
      <c r="M72" s="289"/>
      <c r="AB72" s="40">
        <v>69</v>
      </c>
      <c r="AC72" s="268">
        <v>8500</v>
      </c>
      <c r="AD72" s="206" t="str">
        <f>+IF(p=1," 8,500  UMAM ","")</f>
        <v xml:space="preserve"> 8,500  UMAM </v>
      </c>
      <c r="AE72" s="227">
        <v>1.2839</v>
      </c>
      <c r="AF72" s="228"/>
      <c r="AG72" s="228"/>
      <c r="AH72" s="228"/>
      <c r="AI72" s="228"/>
      <c r="AJ72" s="228"/>
    </row>
    <row r="73" spans="1:36">
      <c r="D73"/>
      <c r="E73" s="38">
        <v>7</v>
      </c>
      <c r="F73" s="302">
        <v>0.4</v>
      </c>
      <c r="G73" s="38">
        <v>0.66669999999999996</v>
      </c>
      <c r="H73" s="38">
        <v>10</v>
      </c>
      <c r="I73" s="38" t="str">
        <f t="shared" si="6"/>
        <v>710</v>
      </c>
      <c r="J73" s="225">
        <v>100000</v>
      </c>
      <c r="K73" s="218">
        <v>1.063223</v>
      </c>
      <c r="L73" s="38">
        <v>1</v>
      </c>
      <c r="M73" s="289"/>
      <c r="AB73" s="40">
        <v>70</v>
      </c>
      <c r="AC73" s="268">
        <v>9000</v>
      </c>
      <c r="AD73" s="206" t="str">
        <f>+IF(p=1," 9,000  UMAM ","")</f>
        <v xml:space="preserve"> 9,000  UMAM </v>
      </c>
      <c r="AE73" s="227">
        <v>1.2882</v>
      </c>
      <c r="AF73" s="228"/>
      <c r="AG73" s="228"/>
      <c r="AH73" s="228"/>
      <c r="AI73" s="228"/>
      <c r="AJ73" s="228"/>
    </row>
    <row r="74" spans="1:36">
      <c r="D74"/>
      <c r="E74" s="38">
        <v>8</v>
      </c>
      <c r="F74" s="302">
        <v>0.45</v>
      </c>
      <c r="G74" s="38">
        <v>0.61109999999999998</v>
      </c>
      <c r="H74" s="38">
        <v>1</v>
      </c>
      <c r="I74" s="38" t="str">
        <f t="shared" si="6"/>
        <v>81</v>
      </c>
      <c r="J74" s="38">
        <v>0</v>
      </c>
      <c r="K74" s="218">
        <v>1</v>
      </c>
      <c r="L74" s="38">
        <v>1</v>
      </c>
      <c r="M74" s="289"/>
      <c r="AB74" s="40">
        <v>71</v>
      </c>
      <c r="AC74" s="268">
        <v>9500</v>
      </c>
      <c r="AD74" s="206" t="str">
        <f>+IF(p=1," 9,500  UMAM ","")</f>
        <v xml:space="preserve"> 9,500  UMAM </v>
      </c>
      <c r="AE74" s="227">
        <v>1.2923</v>
      </c>
      <c r="AF74" s="228"/>
      <c r="AG74" s="228"/>
      <c r="AH74" s="228"/>
      <c r="AI74" s="228"/>
      <c r="AJ74" s="228"/>
    </row>
    <row r="75" spans="1:36">
      <c r="D75"/>
      <c r="E75" s="38">
        <v>8</v>
      </c>
      <c r="F75" s="302">
        <v>0.45</v>
      </c>
      <c r="G75" s="38">
        <v>0.61109999999999998</v>
      </c>
      <c r="H75" s="38">
        <v>2</v>
      </c>
      <c r="I75" s="38" t="str">
        <f t="shared" si="6"/>
        <v>82</v>
      </c>
      <c r="J75" s="225">
        <v>50000</v>
      </c>
      <c r="K75" s="218">
        <v>1.1943999999999999</v>
      </c>
      <c r="L75" s="38">
        <v>1</v>
      </c>
      <c r="M75" s="289"/>
      <c r="AB75" s="40">
        <v>72</v>
      </c>
      <c r="AC75" s="268">
        <v>10000</v>
      </c>
      <c r="AD75" s="206" t="str">
        <f>+IF(p=1," 10,000  UMAM ","")</f>
        <v xml:space="preserve"> 10,000  UMAM </v>
      </c>
      <c r="AE75" s="227">
        <v>1.2962</v>
      </c>
      <c r="AF75" s="228"/>
      <c r="AG75" s="228"/>
      <c r="AH75" s="228"/>
      <c r="AI75" s="228"/>
      <c r="AJ75" s="228"/>
    </row>
    <row r="76" spans="1:36">
      <c r="D76"/>
      <c r="E76" s="38">
        <v>8</v>
      </c>
      <c r="F76" s="302">
        <v>0.45</v>
      </c>
      <c r="G76" s="38">
        <v>0.61109999999999998</v>
      </c>
      <c r="H76" s="38">
        <v>3</v>
      </c>
      <c r="I76" s="38" t="str">
        <f t="shared" si="6"/>
        <v>83</v>
      </c>
      <c r="J76" s="225">
        <v>60000</v>
      </c>
      <c r="K76" s="218">
        <v>1.1663650000000001</v>
      </c>
      <c r="L76" s="38">
        <v>1</v>
      </c>
      <c r="M76" s="289"/>
      <c r="AB76" s="40">
        <v>73</v>
      </c>
      <c r="AC76" s="268">
        <v>10500</v>
      </c>
      <c r="AD76" s="206" t="str">
        <f>+IF(p=1," 10,500  UMAM ","")</f>
        <v xml:space="preserve"> 10,500  UMAM </v>
      </c>
      <c r="AE76" s="227">
        <v>1.2999000000000001</v>
      </c>
      <c r="AF76" s="228"/>
      <c r="AG76" s="228"/>
      <c r="AH76" s="228"/>
      <c r="AI76" s="228"/>
      <c r="AJ76" s="228"/>
    </row>
    <row r="77" spans="1:36">
      <c r="D77"/>
      <c r="E77" s="38">
        <v>8</v>
      </c>
      <c r="F77" s="302">
        <v>0.45</v>
      </c>
      <c r="G77" s="38">
        <v>0.61109999999999998</v>
      </c>
      <c r="H77" s="38">
        <v>4</v>
      </c>
      <c r="I77" s="38" t="str">
        <f t="shared" si="6"/>
        <v>84</v>
      </c>
      <c r="J77" s="225">
        <v>70000</v>
      </c>
      <c r="K77" s="218">
        <v>1.1405529999999999</v>
      </c>
      <c r="L77" s="38">
        <v>1</v>
      </c>
      <c r="M77" s="289"/>
      <c r="AB77" s="40">
        <v>74</v>
      </c>
      <c r="AC77" s="268">
        <v>11000</v>
      </c>
      <c r="AD77" s="206" t="str">
        <f>+IF(p=1," 11,000  UMAM ","")</f>
        <v xml:space="preserve"> 11,000  UMAM </v>
      </c>
      <c r="AE77" s="227">
        <v>1.3033999999999999</v>
      </c>
      <c r="AF77" s="228"/>
      <c r="AG77" s="228"/>
      <c r="AH77" s="228"/>
      <c r="AI77" s="228"/>
      <c r="AJ77" s="228"/>
    </row>
    <row r="78" spans="1:36">
      <c r="D78"/>
      <c r="E78" s="38">
        <v>8</v>
      </c>
      <c r="F78" s="302">
        <v>0.45</v>
      </c>
      <c r="G78" s="38">
        <v>0.61109999999999998</v>
      </c>
      <c r="H78" s="38">
        <v>5</v>
      </c>
      <c r="I78" s="38" t="str">
        <f t="shared" si="6"/>
        <v>85</v>
      </c>
      <c r="J78" s="225">
        <v>75000</v>
      </c>
      <c r="K78" s="218">
        <v>1.1288819999999999</v>
      </c>
      <c r="L78" s="38">
        <v>1</v>
      </c>
      <c r="M78" s="289"/>
      <c r="AB78" s="40">
        <v>75</v>
      </c>
      <c r="AC78" s="268">
        <v>11500</v>
      </c>
      <c r="AD78" s="206" t="str">
        <f>+IF(p=1," 11,500  UMAM ","")</f>
        <v xml:space="preserve"> 11,500  UMAM </v>
      </c>
      <c r="AE78" s="227">
        <v>1.3068</v>
      </c>
      <c r="AF78" s="228"/>
      <c r="AG78" s="228"/>
      <c r="AH78" s="228"/>
      <c r="AI78" s="228"/>
      <c r="AJ78" s="228"/>
    </row>
    <row r="79" spans="1:36">
      <c r="D79"/>
      <c r="E79" s="38">
        <v>8</v>
      </c>
      <c r="F79" s="302">
        <v>0.45</v>
      </c>
      <c r="G79" s="38">
        <v>0.61109999999999998</v>
      </c>
      <c r="H79" s="38">
        <v>6</v>
      </c>
      <c r="I79" s="38" t="str">
        <f t="shared" si="6"/>
        <v>86</v>
      </c>
      <c r="J79" s="225">
        <v>80000</v>
      </c>
      <c r="K79" s="218">
        <v>1.1181449999999999</v>
      </c>
      <c r="L79" s="38">
        <v>1</v>
      </c>
      <c r="M79" s="289"/>
      <c r="AB79" s="40">
        <v>76</v>
      </c>
      <c r="AC79" s="268">
        <v>12000</v>
      </c>
      <c r="AD79" s="206" t="str">
        <f>+IF(p=1," 12,000  UMAM ","")</f>
        <v xml:space="preserve"> 12,000  UMAM </v>
      </c>
      <c r="AE79" s="227">
        <v>1.31</v>
      </c>
      <c r="AF79" s="228"/>
      <c r="AG79" s="228"/>
      <c r="AH79" s="228"/>
      <c r="AI79" s="228"/>
      <c r="AJ79" s="228"/>
    </row>
    <row r="80" spans="1:36">
      <c r="D80"/>
      <c r="E80" s="38">
        <v>8</v>
      </c>
      <c r="F80" s="302">
        <v>0.45</v>
      </c>
      <c r="G80" s="38">
        <v>0.61109999999999998</v>
      </c>
      <c r="H80" s="38">
        <v>7</v>
      </c>
      <c r="I80" s="38" t="str">
        <f t="shared" si="6"/>
        <v>87</v>
      </c>
      <c r="J80" s="225">
        <v>85000</v>
      </c>
      <c r="K80" s="218">
        <v>1.108271</v>
      </c>
      <c r="L80" s="38">
        <v>1</v>
      </c>
      <c r="M80" s="289"/>
      <c r="AB80" s="40">
        <v>77</v>
      </c>
      <c r="AC80" s="268">
        <v>12500</v>
      </c>
      <c r="AD80" s="206" t="str">
        <f>+IF(p=1," 12,500  UMAM ","")</f>
        <v xml:space="preserve"> 12,500  UMAM </v>
      </c>
      <c r="AE80" s="227">
        <v>1.3130999999999999</v>
      </c>
      <c r="AF80" s="228"/>
      <c r="AG80" s="228"/>
      <c r="AH80" s="228"/>
      <c r="AI80" s="228"/>
      <c r="AJ80" s="228"/>
    </row>
    <row r="81" spans="4:36">
      <c r="D81"/>
      <c r="E81" s="38">
        <v>8</v>
      </c>
      <c r="F81" s="302">
        <v>0.45</v>
      </c>
      <c r="G81" s="38">
        <v>0.61109999999999998</v>
      </c>
      <c r="H81" s="38">
        <v>8</v>
      </c>
      <c r="I81" s="38" t="str">
        <f t="shared" si="6"/>
        <v>88</v>
      </c>
      <c r="J81" s="225">
        <v>90000</v>
      </c>
      <c r="K81" s="218">
        <v>1.099194</v>
      </c>
      <c r="L81" s="38">
        <v>1</v>
      </c>
      <c r="M81" s="289"/>
      <c r="AB81" s="40">
        <v>78</v>
      </c>
      <c r="AC81" s="268">
        <v>13000</v>
      </c>
      <c r="AD81" s="206" t="str">
        <f>+IF(p=1," 13,000  UMAM ","")</f>
        <v xml:space="preserve"> 13,000  UMAM </v>
      </c>
      <c r="AE81" s="227">
        <v>1.3161</v>
      </c>
      <c r="AF81" s="228"/>
      <c r="AG81" s="228"/>
      <c r="AH81" s="228"/>
      <c r="AI81" s="228"/>
      <c r="AJ81" s="228"/>
    </row>
    <row r="82" spans="4:36">
      <c r="D82"/>
      <c r="E82" s="38">
        <v>8</v>
      </c>
      <c r="F82" s="302">
        <v>0.45</v>
      </c>
      <c r="G82" s="38">
        <v>0.61109999999999998</v>
      </c>
      <c r="H82" s="38">
        <v>9</v>
      </c>
      <c r="I82" s="38" t="str">
        <f t="shared" si="6"/>
        <v>89</v>
      </c>
      <c r="J82" s="225">
        <v>95000</v>
      </c>
      <c r="K82" s="218">
        <v>1.090851</v>
      </c>
      <c r="L82" s="38">
        <v>1</v>
      </c>
      <c r="M82" s="289"/>
      <c r="AB82" s="40">
        <v>79</v>
      </c>
      <c r="AC82" s="268">
        <v>14000</v>
      </c>
      <c r="AD82" s="206" t="str">
        <f>+IF(p=1," 14,000  UMAM ","")</f>
        <v xml:space="preserve"> 14,000  UMAM </v>
      </c>
      <c r="AE82" s="227">
        <v>1.3217000000000001</v>
      </c>
      <c r="AF82" s="228"/>
      <c r="AG82" s="228"/>
      <c r="AH82" s="228"/>
      <c r="AI82" s="228"/>
      <c r="AJ82" s="228"/>
    </row>
    <row r="83" spans="4:36">
      <c r="D83"/>
      <c r="E83" s="38">
        <v>8</v>
      </c>
      <c r="F83" s="302">
        <v>0.45</v>
      </c>
      <c r="G83" s="38">
        <v>0.61109999999999998</v>
      </c>
      <c r="H83" s="38">
        <v>10</v>
      </c>
      <c r="I83" s="38" t="str">
        <f t="shared" si="6"/>
        <v>810</v>
      </c>
      <c r="J83" s="225">
        <v>100000</v>
      </c>
      <c r="K83" s="218">
        <v>1.083186</v>
      </c>
      <c r="L83" s="38">
        <v>1</v>
      </c>
      <c r="M83" s="289"/>
      <c r="AB83" s="40">
        <v>80</v>
      </c>
      <c r="AC83" s="268">
        <v>15000</v>
      </c>
      <c r="AD83" s="206" t="str">
        <f>+IF(p=1," 15,000  UMAM ","")</f>
        <v xml:space="preserve"> 15,000  UMAM </v>
      </c>
      <c r="AE83" s="227">
        <v>1.3269</v>
      </c>
      <c r="AF83" s="228"/>
      <c r="AG83" s="228"/>
      <c r="AH83" s="228"/>
      <c r="AI83" s="228"/>
      <c r="AJ83" s="228"/>
    </row>
    <row r="84" spans="4:36">
      <c r="D84"/>
      <c r="E84" s="38">
        <v>9</v>
      </c>
      <c r="F84" s="302">
        <v>0.5</v>
      </c>
      <c r="G84" s="38">
        <v>0.55559999999999998</v>
      </c>
      <c r="H84" s="38">
        <v>1</v>
      </c>
      <c r="I84" s="38" t="str">
        <f t="shared" si="6"/>
        <v>91</v>
      </c>
      <c r="J84" s="38">
        <v>0</v>
      </c>
      <c r="K84" s="218">
        <v>1</v>
      </c>
      <c r="L84" s="38">
        <v>1</v>
      </c>
      <c r="M84" s="289"/>
      <c r="AB84" s="40">
        <v>81</v>
      </c>
      <c r="AC84" s="268">
        <v>15500</v>
      </c>
      <c r="AD84" s="206" t="str">
        <f>+IF(p=1," 15,500  UMAM ","")</f>
        <v xml:space="preserve"> 15,500  UMAM </v>
      </c>
      <c r="AE84" s="227">
        <v>1.3293999999999999</v>
      </c>
      <c r="AF84" s="228"/>
      <c r="AG84" s="228"/>
      <c r="AH84" s="228"/>
      <c r="AI84" s="228"/>
      <c r="AJ84" s="228"/>
    </row>
    <row r="85" spans="4:36">
      <c r="D85"/>
      <c r="E85" s="38">
        <v>9</v>
      </c>
      <c r="F85" s="302">
        <v>0.5</v>
      </c>
      <c r="G85" s="38">
        <v>0.55559999999999998</v>
      </c>
      <c r="H85" s="38">
        <v>2</v>
      </c>
      <c r="I85" s="38" t="str">
        <f t="shared" si="6"/>
        <v>92</v>
      </c>
      <c r="J85" s="225">
        <v>50000</v>
      </c>
      <c r="K85" s="218">
        <v>1.250721</v>
      </c>
      <c r="L85" s="38">
        <v>1</v>
      </c>
      <c r="M85" s="289"/>
      <c r="AB85" s="40">
        <v>82</v>
      </c>
      <c r="AC85" s="268">
        <v>16000</v>
      </c>
      <c r="AD85" s="206" t="str">
        <f>+IF(p=1," 16,000  UMAM ","")</f>
        <v xml:space="preserve"> 16,000  UMAM </v>
      </c>
      <c r="AE85" s="227">
        <v>1.3318000000000001</v>
      </c>
      <c r="AF85" s="228"/>
      <c r="AG85" s="228"/>
      <c r="AH85" s="228"/>
      <c r="AI85" s="228"/>
      <c r="AJ85" s="228"/>
    </row>
    <row r="86" spans="4:36">
      <c r="D86"/>
      <c r="E86" s="38">
        <v>9</v>
      </c>
      <c r="F86" s="302">
        <v>0.5</v>
      </c>
      <c r="G86" s="38">
        <v>0.55559999999999998</v>
      </c>
      <c r="H86" s="38">
        <v>3</v>
      </c>
      <c r="I86" s="38" t="str">
        <f t="shared" si="6"/>
        <v>93</v>
      </c>
      <c r="J86" s="225">
        <v>60000</v>
      </c>
      <c r="K86" s="218">
        <v>1.214564</v>
      </c>
      <c r="L86" s="38">
        <v>1</v>
      </c>
      <c r="M86" s="289"/>
      <c r="AB86" s="40">
        <v>83</v>
      </c>
      <c r="AC86" s="268">
        <v>17000</v>
      </c>
      <c r="AD86" s="206" t="str">
        <f>+IF(p=1," 17,000  UMAM ","")</f>
        <v xml:space="preserve"> 17,000  UMAM </v>
      </c>
      <c r="AE86" s="227">
        <v>1.3364</v>
      </c>
      <c r="AF86" s="228"/>
      <c r="AG86" s="228"/>
      <c r="AH86" s="228"/>
      <c r="AI86" s="228"/>
      <c r="AJ86" s="228"/>
    </row>
    <row r="87" spans="4:36">
      <c r="D87"/>
      <c r="E87" s="38">
        <v>9</v>
      </c>
      <c r="F87" s="302">
        <v>0.5</v>
      </c>
      <c r="G87" s="38">
        <v>0.55559999999999998</v>
      </c>
      <c r="H87" s="38">
        <v>4</v>
      </c>
      <c r="I87" s="38" t="str">
        <f t="shared" si="6"/>
        <v>94</v>
      </c>
      <c r="J87" s="225">
        <v>70000</v>
      </c>
      <c r="K87" s="218">
        <v>1.1812739999999999</v>
      </c>
      <c r="L87" s="38">
        <v>1</v>
      </c>
      <c r="M87" s="289"/>
      <c r="AB87" s="40">
        <v>84</v>
      </c>
      <c r="AC87" s="268">
        <v>18000</v>
      </c>
      <c r="AD87" s="206" t="str">
        <f>+IF(p=1," 18,000  UMAM ","")</f>
        <v xml:space="preserve"> 18,000  UMAM </v>
      </c>
      <c r="AE87" s="227">
        <v>1.3407</v>
      </c>
      <c r="AF87" s="228"/>
      <c r="AG87" s="228"/>
      <c r="AH87" s="228"/>
      <c r="AI87" s="228"/>
      <c r="AJ87" s="228"/>
    </row>
    <row r="88" spans="4:36">
      <c r="D88"/>
      <c r="E88" s="38">
        <v>9</v>
      </c>
      <c r="F88" s="302">
        <v>0.5</v>
      </c>
      <c r="G88" s="38">
        <v>0.55559999999999998</v>
      </c>
      <c r="H88" s="38">
        <v>5</v>
      </c>
      <c r="I88" s="38" t="str">
        <f t="shared" si="6"/>
        <v>95</v>
      </c>
      <c r="J88" s="225">
        <v>75000</v>
      </c>
      <c r="K88" s="218">
        <v>1.166221</v>
      </c>
      <c r="L88" s="38">
        <v>1</v>
      </c>
      <c r="M88" s="289"/>
      <c r="AB88" s="40">
        <v>85</v>
      </c>
      <c r="AC88" s="268">
        <v>18500</v>
      </c>
      <c r="AD88" s="206" t="str">
        <f>+IF(p=1," 18,500  UMAM ","")</f>
        <v xml:space="preserve"> 18,500  UMAM </v>
      </c>
      <c r="AE88" s="227">
        <v>1.3428</v>
      </c>
      <c r="AF88" s="228"/>
      <c r="AG88" s="228"/>
      <c r="AH88" s="228"/>
      <c r="AI88" s="228"/>
      <c r="AJ88" s="228"/>
    </row>
    <row r="89" spans="4:36">
      <c r="D89"/>
      <c r="E89" s="38">
        <v>9</v>
      </c>
      <c r="F89" s="302">
        <v>0.5</v>
      </c>
      <c r="G89" s="38">
        <v>0.55559999999999998</v>
      </c>
      <c r="H89" s="38">
        <v>6</v>
      </c>
      <c r="I89" s="38" t="str">
        <f t="shared" si="6"/>
        <v>96</v>
      </c>
      <c r="J89" s="225">
        <v>80000</v>
      </c>
      <c r="K89" s="218">
        <v>1.152374</v>
      </c>
      <c r="L89" s="38">
        <v>1</v>
      </c>
      <c r="M89" s="289"/>
      <c r="AB89" s="40">
        <v>86</v>
      </c>
      <c r="AC89" s="268">
        <v>20000</v>
      </c>
      <c r="AD89" s="206" t="str">
        <f>+IF(p=1," 20,000  UMAM ","")</f>
        <v xml:space="preserve"> 20,000  UMAM </v>
      </c>
      <c r="AE89" s="227">
        <v>1.3487</v>
      </c>
      <c r="AF89" s="228"/>
      <c r="AG89" s="228"/>
      <c r="AH89" s="228"/>
      <c r="AI89" s="228"/>
      <c r="AJ89" s="228"/>
    </row>
    <row r="90" spans="4:36">
      <c r="D90"/>
      <c r="E90" s="38">
        <v>9</v>
      </c>
      <c r="F90" s="302">
        <v>0.5</v>
      </c>
      <c r="G90" s="38">
        <v>0.55559999999999998</v>
      </c>
      <c r="H90" s="38">
        <v>7</v>
      </c>
      <c r="I90" s="38" t="str">
        <f t="shared" si="6"/>
        <v>97</v>
      </c>
      <c r="J90" s="225">
        <v>85000</v>
      </c>
      <c r="K90" s="218">
        <v>1.1396390000000001</v>
      </c>
      <c r="L90" s="38">
        <v>1</v>
      </c>
      <c r="M90" s="289"/>
      <c r="AB90" s="40">
        <v>87</v>
      </c>
      <c r="AC90" s="268">
        <v>20500</v>
      </c>
      <c r="AD90" s="206" t="str">
        <f>+IF(p=1," 20,500  UMAM ","")</f>
        <v xml:space="preserve"> 20,500  UMAM </v>
      </c>
      <c r="AE90" s="227">
        <v>1.3506</v>
      </c>
      <c r="AF90" s="228"/>
      <c r="AG90" s="228"/>
      <c r="AH90" s="228"/>
      <c r="AI90" s="228"/>
      <c r="AJ90" s="228"/>
    </row>
    <row r="91" spans="4:36">
      <c r="D91"/>
      <c r="E91" s="38">
        <v>9</v>
      </c>
      <c r="F91" s="302">
        <v>0.5</v>
      </c>
      <c r="G91" s="38">
        <v>0.55559999999999998</v>
      </c>
      <c r="H91" s="38">
        <v>8</v>
      </c>
      <c r="I91" s="38" t="str">
        <f t="shared" si="6"/>
        <v>98</v>
      </c>
      <c r="J91" s="225">
        <v>90000</v>
      </c>
      <c r="K91" s="218">
        <v>1.1279319999999999</v>
      </c>
      <c r="L91" s="38">
        <v>1</v>
      </c>
      <c r="M91" s="289"/>
      <c r="AB91" s="40">
        <v>88</v>
      </c>
      <c r="AC91" s="268">
        <v>21000</v>
      </c>
      <c r="AD91" s="206" t="str">
        <f>+IF(p=1," 21,000  UMAM ","")</f>
        <v xml:space="preserve"> 21,000  UMAM </v>
      </c>
      <c r="AE91" s="227">
        <v>1.3524</v>
      </c>
      <c r="AF91" s="228"/>
      <c r="AG91" s="228"/>
      <c r="AH91" s="228"/>
      <c r="AI91" s="228"/>
      <c r="AJ91" s="228"/>
    </row>
    <row r="92" spans="4:36">
      <c r="D92"/>
      <c r="E92" s="38">
        <v>9</v>
      </c>
      <c r="F92" s="302">
        <v>0.5</v>
      </c>
      <c r="G92" s="38">
        <v>0.55559999999999998</v>
      </c>
      <c r="H92" s="38">
        <v>9</v>
      </c>
      <c r="I92" s="38" t="str">
        <f t="shared" si="6"/>
        <v>99</v>
      </c>
      <c r="J92" s="225">
        <v>95000</v>
      </c>
      <c r="K92" s="218">
        <v>1.117173</v>
      </c>
      <c r="L92" s="38">
        <v>1</v>
      </c>
      <c r="M92" s="289"/>
      <c r="AB92" s="40">
        <v>89</v>
      </c>
      <c r="AC92" s="268">
        <v>21500</v>
      </c>
      <c r="AD92" s="206" t="str">
        <f>+IF(p=1," 21,500  UMAM ","")</f>
        <v xml:space="preserve"> 21,500  UMAM </v>
      </c>
      <c r="AE92" s="227">
        <v>1.3542000000000001</v>
      </c>
      <c r="AF92" s="228"/>
      <c r="AG92" s="228"/>
      <c r="AH92" s="228"/>
      <c r="AI92" s="228"/>
      <c r="AJ92" s="228"/>
    </row>
    <row r="93" spans="4:36">
      <c r="D93"/>
      <c r="E93" s="38">
        <v>9</v>
      </c>
      <c r="F93" s="302">
        <v>0.5</v>
      </c>
      <c r="G93" s="38">
        <v>0.55559999999999998</v>
      </c>
      <c r="H93" s="38">
        <v>10</v>
      </c>
      <c r="I93" s="38" t="str">
        <f t="shared" si="6"/>
        <v>910</v>
      </c>
      <c r="J93" s="225">
        <v>100000</v>
      </c>
      <c r="K93" s="218">
        <v>1.1072869999999999</v>
      </c>
      <c r="L93" s="38">
        <v>1</v>
      </c>
      <c r="M93" s="289"/>
      <c r="AB93" s="40">
        <v>90</v>
      </c>
      <c r="AC93" s="268">
        <v>22000</v>
      </c>
      <c r="AD93" s="206" t="str">
        <f>+IF(p=1," 22,000  UMAM ","")</f>
        <v xml:space="preserve"> 22,000  UMAM </v>
      </c>
      <c r="AE93" s="227">
        <v>1.3559000000000001</v>
      </c>
      <c r="AF93" s="228"/>
      <c r="AG93" s="228"/>
      <c r="AH93" s="228"/>
      <c r="AI93" s="228"/>
      <c r="AJ93" s="228"/>
    </row>
    <row r="94" spans="4:36">
      <c r="D94"/>
      <c r="M94" s="289"/>
      <c r="AB94" s="40">
        <v>91</v>
      </c>
      <c r="AC94" s="268">
        <v>22500</v>
      </c>
      <c r="AD94" s="206" t="str">
        <f>+IF(p=1," 22,500  UMAM ","")</f>
        <v xml:space="preserve"> 22,500  UMAM </v>
      </c>
      <c r="AE94" s="227">
        <v>1.3575999999999999</v>
      </c>
      <c r="AF94" s="228"/>
      <c r="AG94" s="228"/>
      <c r="AH94" s="228"/>
      <c r="AI94" s="228"/>
      <c r="AJ94" s="228"/>
    </row>
    <row r="95" spans="4:36">
      <c r="D95"/>
      <c r="F95" s="192"/>
      <c r="G95" s="192"/>
      <c r="H95" s="192"/>
      <c r="J95" s="193"/>
      <c r="K95" s="193"/>
      <c r="M95" s="289"/>
      <c r="AB95" s="40">
        <v>92</v>
      </c>
      <c r="AC95" s="268">
        <v>23000</v>
      </c>
      <c r="AD95" s="206" t="str">
        <f>+IF(p=1," 23,000  UMAM ","")</f>
        <v xml:space="preserve"> 23,000  UMAM </v>
      </c>
      <c r="AE95" s="227">
        <v>1.3593</v>
      </c>
      <c r="AF95" s="228"/>
      <c r="AG95" s="228"/>
      <c r="AH95" s="228"/>
      <c r="AI95" s="228"/>
      <c r="AJ95" s="228"/>
    </row>
    <row r="96" spans="4:36">
      <c r="D96"/>
      <c r="M96" s="289"/>
      <c r="AB96" s="40">
        <v>93</v>
      </c>
      <c r="AC96" s="268">
        <v>23500</v>
      </c>
      <c r="AD96" s="206" t="str">
        <f>+IF(p=1," 23,500  UMAM ","")</f>
        <v xml:space="preserve"> 23,500  UMAM </v>
      </c>
      <c r="AE96" s="227">
        <v>1.3609</v>
      </c>
      <c r="AF96" s="228"/>
      <c r="AG96" s="228"/>
      <c r="AH96" s="228"/>
      <c r="AI96" s="228"/>
      <c r="AJ96" s="228"/>
    </row>
    <row r="97" spans="4:36">
      <c r="D97"/>
      <c r="M97" s="289"/>
      <c r="AB97" s="40">
        <v>94</v>
      </c>
      <c r="AC97" s="268">
        <v>24000</v>
      </c>
      <c r="AD97" s="206" t="str">
        <f>+IF(p=1," 24,000  UMAM ","")</f>
        <v xml:space="preserve"> 24,000  UMAM </v>
      </c>
      <c r="AE97" s="227">
        <v>1.3625</v>
      </c>
      <c r="AF97" s="228"/>
      <c r="AG97" s="228"/>
      <c r="AH97" s="228"/>
      <c r="AI97" s="228"/>
      <c r="AJ97" s="228"/>
    </row>
    <row r="98" spans="4:36">
      <c r="D98"/>
      <c r="AB98" s="40">
        <v>95</v>
      </c>
      <c r="AC98" s="268">
        <v>25000</v>
      </c>
      <c r="AD98" s="206" t="str">
        <f>+IF(p=1," 25,000  UMAM ","")</f>
        <v xml:space="preserve"> 25,000  UMAM </v>
      </c>
      <c r="AE98" s="227">
        <v>1.3625</v>
      </c>
      <c r="AF98" s="228"/>
      <c r="AG98" s="228"/>
      <c r="AH98" s="228"/>
      <c r="AI98" s="228"/>
      <c r="AJ98" s="228"/>
    </row>
    <row r="99" spans="4:36">
      <c r="D99"/>
      <c r="AB99" s="40">
        <v>96</v>
      </c>
      <c r="AC99" s="268">
        <v>30000</v>
      </c>
      <c r="AD99" s="206" t="str">
        <f>+IF(p=1," 30,000  UMAM ","")</f>
        <v xml:space="preserve"> 30,000  UMAM </v>
      </c>
      <c r="AE99" s="227">
        <v>1.3625</v>
      </c>
      <c r="AF99" s="228"/>
      <c r="AJ99" s="228"/>
    </row>
    <row r="100" spans="4:36">
      <c r="D100"/>
      <c r="AB100" s="40">
        <v>97</v>
      </c>
      <c r="AC100" s="268">
        <v>40000</v>
      </c>
      <c r="AD100" s="206" t="str">
        <f>+IF(p=1," 40,000  UMAM ","")</f>
        <v xml:space="preserve"> 40,000  UMAM </v>
      </c>
      <c r="AE100" s="227">
        <v>1.3625</v>
      </c>
    </row>
    <row r="101" spans="4:36">
      <c r="D101"/>
    </row>
    <row r="102" spans="4:36">
      <c r="D102"/>
    </row>
    <row r="103" spans="4:36">
      <c r="D103"/>
    </row>
    <row r="104" spans="4:36">
      <c r="D104"/>
    </row>
    <row r="105" spans="4:36">
      <c r="D105"/>
    </row>
    <row r="106" spans="4:36">
      <c r="D106"/>
      <c r="J106" s="222"/>
    </row>
    <row r="107" spans="4:36">
      <c r="D107"/>
      <c r="J107" s="222"/>
      <c r="K107" s="223"/>
    </row>
    <row r="108" spans="4:36">
      <c r="D108"/>
    </row>
    <row r="109" spans="4:36">
      <c r="D109"/>
    </row>
    <row r="110" spans="4:36">
      <c r="D110"/>
      <c r="I110" s="224"/>
      <c r="K110" s="224"/>
    </row>
    <row r="111" spans="4:36">
      <c r="D111"/>
      <c r="I111" s="222"/>
    </row>
    <row r="112" spans="4:36">
      <c r="D112"/>
    </row>
    <row r="113" spans="4:11">
      <c r="D113"/>
    </row>
    <row r="114" spans="4:11">
      <c r="D114"/>
    </row>
    <row r="115" spans="4:11">
      <c r="D115"/>
      <c r="I115" s="224"/>
    </row>
    <row r="116" spans="4:11">
      <c r="D116"/>
    </row>
    <row r="117" spans="4:11">
      <c r="D117"/>
    </row>
    <row r="118" spans="4:11">
      <c r="D118"/>
    </row>
    <row r="119" spans="4:11">
      <c r="D119"/>
      <c r="J119" s="33"/>
      <c r="K119" s="33"/>
    </row>
    <row r="120" spans="4:11">
      <c r="D120"/>
      <c r="J120" s="33"/>
      <c r="K120" s="33"/>
    </row>
    <row r="121" spans="4:11">
      <c r="D121"/>
      <c r="J121" s="33"/>
      <c r="K121" s="33"/>
    </row>
    <row r="122" spans="4:11">
      <c r="D122"/>
      <c r="J122" s="33"/>
      <c r="K122" s="33"/>
    </row>
    <row r="123" spans="4:11">
      <c r="D123"/>
      <c r="J123" s="33"/>
      <c r="K123" s="33"/>
    </row>
    <row r="124" spans="4:11">
      <c r="D124"/>
      <c r="J124" s="33"/>
      <c r="K124" s="33"/>
    </row>
    <row r="125" spans="4:11">
      <c r="D125"/>
      <c r="J125" s="33"/>
      <c r="K125" s="33"/>
    </row>
    <row r="126" spans="4:11">
      <c r="D126"/>
    </row>
    <row r="127" spans="4:11">
      <c r="D127"/>
    </row>
    <row r="128" spans="4:11">
      <c r="D128"/>
    </row>
    <row r="129" spans="4:4">
      <c r="D129"/>
    </row>
    <row r="130" spans="4:4">
      <c r="D130"/>
    </row>
    <row r="131" spans="4:4">
      <c r="D131"/>
    </row>
    <row r="132" spans="4:4">
      <c r="D132"/>
    </row>
    <row r="133" spans="4:4">
      <c r="D133"/>
    </row>
    <row r="134" spans="4:4">
      <c r="D134"/>
    </row>
    <row r="135" spans="4:4">
      <c r="D135"/>
    </row>
    <row r="136" spans="4:4">
      <c r="D136"/>
    </row>
    <row r="137" spans="4:4">
      <c r="D137"/>
    </row>
    <row r="138" spans="4:4">
      <c r="D138"/>
    </row>
    <row r="139" spans="4:4">
      <c r="D139"/>
    </row>
    <row r="140" spans="4:4">
      <c r="D140"/>
    </row>
    <row r="141" spans="4:4">
      <c r="D141"/>
    </row>
    <row r="142" spans="4:4">
      <c r="D142"/>
    </row>
    <row r="143" spans="4:4">
      <c r="D143"/>
    </row>
    <row r="144" spans="4:4">
      <c r="D144"/>
    </row>
    <row r="145" spans="4:4">
      <c r="D145"/>
    </row>
    <row r="146" spans="4:4">
      <c r="D146"/>
    </row>
    <row r="147" spans="4:4">
      <c r="D147"/>
    </row>
    <row r="148" spans="4:4">
      <c r="D148"/>
    </row>
    <row r="149" spans="4:4">
      <c r="D149"/>
    </row>
    <row r="150" spans="4:4">
      <c r="D150"/>
    </row>
    <row r="151" spans="4:4">
      <c r="D151"/>
    </row>
    <row r="152" spans="4:4">
      <c r="D152"/>
    </row>
    <row r="153" spans="4:4">
      <c r="D153"/>
    </row>
    <row r="154" spans="4:4">
      <c r="D154"/>
    </row>
    <row r="155" spans="4:4">
      <c r="D155"/>
    </row>
    <row r="156" spans="4:4">
      <c r="D156"/>
    </row>
    <row r="157" spans="4:4">
      <c r="D157"/>
    </row>
    <row r="158" spans="4:4">
      <c r="D158"/>
    </row>
    <row r="159" spans="4:4">
      <c r="D159"/>
    </row>
    <row r="160" spans="4:4">
      <c r="D160"/>
    </row>
    <row r="161" spans="4:4">
      <c r="D161"/>
    </row>
    <row r="162" spans="4:4">
      <c r="D162"/>
    </row>
    <row r="163" spans="4:4">
      <c r="D163"/>
    </row>
    <row r="164" spans="4:4">
      <c r="D164"/>
    </row>
    <row r="165" spans="4:4">
      <c r="D165"/>
    </row>
    <row r="166" spans="4:4">
      <c r="D166"/>
    </row>
    <row r="167" spans="4:4">
      <c r="D167"/>
    </row>
    <row r="168" spans="4:4">
      <c r="D168"/>
    </row>
    <row r="169" spans="4:4">
      <c r="D169"/>
    </row>
    <row r="170" spans="4:4">
      <c r="D170"/>
    </row>
    <row r="171" spans="4:4">
      <c r="D171"/>
    </row>
    <row r="172" spans="4:4">
      <c r="D172"/>
    </row>
    <row r="173" spans="4:4">
      <c r="D173"/>
    </row>
    <row r="174" spans="4:4">
      <c r="D174"/>
    </row>
    <row r="175" spans="4:4">
      <c r="D175"/>
    </row>
    <row r="176" spans="4:4">
      <c r="D176"/>
    </row>
    <row r="177" spans="4:4">
      <c r="D177"/>
    </row>
    <row r="178" spans="4:4">
      <c r="D178"/>
    </row>
    <row r="179" spans="4:4">
      <c r="D179"/>
    </row>
    <row r="180" spans="4:4">
      <c r="D180"/>
    </row>
    <row r="181" spans="4:4">
      <c r="D181"/>
    </row>
    <row r="182" spans="4:4">
      <c r="D182"/>
    </row>
    <row r="183" spans="4:4">
      <c r="D183"/>
    </row>
  </sheetData>
  <sheetProtection selectLockedCells="1" selectUnlockedCells="1"/>
  <autoFilter ref="S3:Z102"/>
  <mergeCells count="3">
    <mergeCell ref="AR3:AT3"/>
    <mergeCell ref="AR4:AS4"/>
    <mergeCell ref="AT4:AT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R8:AR12"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C1025"/>
  <sheetViews>
    <sheetView zoomScaleNormal="100" workbookViewId="0">
      <pane ySplit="2" topLeftCell="A3" activePane="bottomLeft" state="frozen"/>
      <selection pane="bottomLeft" activeCell="A3" sqref="A3"/>
    </sheetView>
  </sheetViews>
  <sheetFormatPr baseColWidth="10" defaultRowHeight="12.5"/>
  <cols>
    <col min="1" max="4" width="19" customWidth="1"/>
    <col min="5" max="5" width="19" style="1" customWidth="1"/>
    <col min="6" max="7" width="19" customWidth="1"/>
    <col min="8" max="8" width="6.1796875" bestFit="1" customWidth="1"/>
    <col min="9" max="9" width="10.54296875" customWidth="1"/>
    <col min="10" max="10" width="21.453125" customWidth="1"/>
    <col min="11" max="11" width="25.81640625" customWidth="1"/>
    <col min="12" max="12" width="2.81640625" customWidth="1"/>
    <col min="13" max="13" width="10.54296875" customWidth="1"/>
    <col min="14" max="23" width="19" customWidth="1"/>
    <col min="24" max="24" width="19" style="1" customWidth="1"/>
    <col min="25" max="25" width="13.1796875" bestFit="1" customWidth="1"/>
    <col min="26" max="26" width="21.453125" bestFit="1" customWidth="1"/>
    <col min="29" max="29" width="132.54296875" bestFit="1" customWidth="1"/>
  </cols>
  <sheetData>
    <row r="1" spans="1:26" ht="13.5" thickBot="1">
      <c r="A1" s="51" t="s">
        <v>48</v>
      </c>
      <c r="B1" s="51" t="s">
        <v>44</v>
      </c>
      <c r="C1" s="51" t="s">
        <v>42</v>
      </c>
      <c r="D1" s="52" t="s">
        <v>43</v>
      </c>
      <c r="E1" s="47" t="s">
        <v>49</v>
      </c>
      <c r="F1" s="3"/>
      <c r="G1" s="4"/>
      <c r="H1" s="15"/>
      <c r="I1" s="2" t="s">
        <v>62</v>
      </c>
      <c r="J1" s="3"/>
      <c r="K1" s="4"/>
      <c r="L1" s="5"/>
      <c r="M1" s="2" t="s">
        <v>114</v>
      </c>
      <c r="N1" s="2"/>
      <c r="O1" s="2"/>
      <c r="P1" s="2"/>
      <c r="S1" s="2" t="s">
        <v>50</v>
      </c>
      <c r="T1" s="4"/>
      <c r="X1" s="2" t="s">
        <v>80</v>
      </c>
      <c r="Y1" s="3"/>
      <c r="Z1" s="4"/>
    </row>
    <row r="2" spans="1:26" ht="13.5" thickBot="1">
      <c r="A2" s="51" t="str">
        <f ca="1">IF(OR(NOT(ISERR(CODE('CAPTURA LISTADO'!B7)=48)),'CAPTURA LISTADO'!B7&gt;0),'CAPTURA LISTADO'!B7,IF('CAPTURA LISTADO'!A7&lt;&gt;0,INT((TODAY()-'CAPTURA LISTADO'!A7)/365)," "))</f>
        <v xml:space="preserve"> </v>
      </c>
      <c r="B2" s="51" t="str">
        <f>IF('CAPTURA LISTADO'!D7&lt;&gt;"M",IF('CAPTURA LISTADO'!D7&lt;&gt;"F"," ",'CAPTURA LISTADO'!D7),'CAPTURA LISTADO'!D7)</f>
        <v xml:space="preserve"> </v>
      </c>
      <c r="C2" s="51" t="str">
        <f ca="1">+A2</f>
        <v xml:space="preserve"> </v>
      </c>
      <c r="D2" s="51" t="str">
        <f>IF(AND('CAPTURA LISTADO'!C7&lt;&gt;"T",'CAPTURA LISTADO'!C7&lt;&gt;"C",'CAPTURA LISTADO'!C7&lt;&gt;"H")," ",'CAPTURA LISTADO'!C7)</f>
        <v xml:space="preserve"> </v>
      </c>
      <c r="E2" s="48" t="s">
        <v>51</v>
      </c>
      <c r="F2" s="7" t="s">
        <v>45</v>
      </c>
      <c r="G2" s="8" t="s">
        <v>46</v>
      </c>
      <c r="H2" s="16"/>
      <c r="I2" s="6" t="s">
        <v>51</v>
      </c>
      <c r="J2" s="7" t="s">
        <v>45</v>
      </c>
      <c r="K2" s="8" t="s">
        <v>46</v>
      </c>
      <c r="L2" s="5"/>
      <c r="M2" s="6" t="s">
        <v>51</v>
      </c>
      <c r="N2" s="8" t="s">
        <v>116</v>
      </c>
      <c r="O2" s="8" t="s">
        <v>115</v>
      </c>
      <c r="P2" s="8" t="s">
        <v>52</v>
      </c>
      <c r="S2" s="6" t="s">
        <v>51</v>
      </c>
      <c r="T2" s="8" t="s">
        <v>46</v>
      </c>
      <c r="X2" s="6" t="s">
        <v>51</v>
      </c>
      <c r="Y2" s="7" t="s">
        <v>45</v>
      </c>
      <c r="Z2" s="8" t="s">
        <v>46</v>
      </c>
    </row>
    <row r="3" spans="1:26" ht="13.5" thickBot="1">
      <c r="A3" s="51" t="str">
        <f ca="1">IF(OR(NOT(ISERR(CODE('CAPTURA LISTADO'!B8)=48)),'CAPTURA LISTADO'!B8&gt;0),'CAPTURA LISTADO'!B8,IF('CAPTURA LISTADO'!A8&lt;&gt;0,INT((TODAY()-'CAPTURA LISTADO'!A8)/365)," "))</f>
        <v xml:space="preserve"> </v>
      </c>
      <c r="B3" s="51" t="str">
        <f>IF('CAPTURA LISTADO'!D8&lt;&gt;"M",IF('CAPTURA LISTADO'!D8&lt;&gt;"F"," ",'CAPTURA LISTADO'!D8),'CAPTURA LISTADO'!D8)</f>
        <v xml:space="preserve"> </v>
      </c>
      <c r="C3" s="51" t="str">
        <f t="shared" ref="C3:C9" ca="1" si="0">+A3</f>
        <v xml:space="preserve"> </v>
      </c>
      <c r="D3" s="51" t="str">
        <f>IF(AND('CAPTURA LISTADO'!C8&lt;&gt;"T",'CAPTURA LISTADO'!C8&lt;&gt;"C",'CAPTURA LISTADO'!C8&lt;&gt;"H")," ",'CAPTURA LISTADO'!C8)</f>
        <v xml:space="preserve"> </v>
      </c>
      <c r="E3" s="49">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5" thickBot="1">
      <c r="A4" s="51" t="str">
        <f ca="1">IF(OR(NOT(ISERR(CODE('CAPTURA LISTADO'!B9)=48)),'CAPTURA LISTADO'!B9&gt;0),'CAPTURA LISTADO'!B9,IF('CAPTURA LISTADO'!A9&lt;&gt;0,INT((TODAY()-'CAPTURA LISTADO'!A9)/365)," "))</f>
        <v xml:space="preserve"> </v>
      </c>
      <c r="B4" s="51" t="str">
        <f>IF('CAPTURA LISTADO'!D9&lt;&gt;"M",IF('CAPTURA LISTADO'!D9&lt;&gt;"F"," ",'CAPTURA LISTADO'!D9),'CAPTURA LISTADO'!D9)</f>
        <v xml:space="preserve"> </v>
      </c>
      <c r="C4" s="51" t="str">
        <f t="shared" ca="1" si="0"/>
        <v xml:space="preserve"> </v>
      </c>
      <c r="D4" s="51" t="str">
        <f>IF(AND('CAPTURA LISTADO'!C9&lt;&gt;"T",'CAPTURA LISTADO'!C9&lt;&gt;"C",'CAPTURA LISTADO'!C9&lt;&gt;"H")," ",'CAPTURA LISTADO'!C9)</f>
        <v xml:space="preserve"> </v>
      </c>
      <c r="E4" s="50">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5" thickBot="1">
      <c r="A5" s="51" t="str">
        <f ca="1">IF(OR(NOT(ISERR(CODE('CAPTURA LISTADO'!B10)=48)),'CAPTURA LISTADO'!B10&gt;0),'CAPTURA LISTADO'!B10,IF('CAPTURA LISTADO'!A10&lt;&gt;0,INT((TODAY()-'CAPTURA LISTADO'!A10)/365)," "))</f>
        <v xml:space="preserve"> </v>
      </c>
      <c r="B5" s="51" t="str">
        <f>IF('CAPTURA LISTADO'!D10&lt;&gt;"M",IF('CAPTURA LISTADO'!D10&lt;&gt;"F"," ",'CAPTURA LISTADO'!D10),'CAPTURA LISTADO'!D10)</f>
        <v xml:space="preserve"> </v>
      </c>
      <c r="C5" s="51" t="str">
        <f t="shared" ca="1" si="0"/>
        <v xml:space="preserve"> </v>
      </c>
      <c r="D5" s="51" t="str">
        <f>IF(AND('CAPTURA LISTADO'!C10&lt;&gt;"T",'CAPTURA LISTADO'!C10&lt;&gt;"C",'CAPTURA LISTADO'!C10&lt;&gt;"H")," ",'CAPTURA LISTADO'!C10)</f>
        <v xml:space="preserve"> </v>
      </c>
      <c r="E5" s="50">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5" thickBot="1">
      <c r="A6" s="51" t="str">
        <f ca="1">IF(OR(NOT(ISERR(CODE('CAPTURA LISTADO'!B11)=48)),'CAPTURA LISTADO'!B11&gt;0),'CAPTURA LISTADO'!B11,IF('CAPTURA LISTADO'!A11&lt;&gt;0,INT((TODAY()-'CAPTURA LISTADO'!A11)/365)," "))</f>
        <v xml:space="preserve"> </v>
      </c>
      <c r="B6" s="51" t="str">
        <f>IF('CAPTURA LISTADO'!D11&lt;&gt;"M",IF('CAPTURA LISTADO'!D11&lt;&gt;"F"," ",'CAPTURA LISTADO'!D11),'CAPTURA LISTADO'!D11)</f>
        <v xml:space="preserve"> </v>
      </c>
      <c r="C6" s="51" t="str">
        <f t="shared" ca="1" si="0"/>
        <v xml:space="preserve"> </v>
      </c>
      <c r="D6" s="51" t="str">
        <f>IF(AND('CAPTURA LISTADO'!C11&lt;&gt;"T",'CAPTURA LISTADO'!C11&lt;&gt;"C",'CAPTURA LISTADO'!C11&lt;&gt;"H")," ",'CAPTURA LISTADO'!C11)</f>
        <v xml:space="preserve"> </v>
      </c>
      <c r="E6" s="50">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5" thickBot="1">
      <c r="A7" s="51" t="str">
        <f ca="1">IF(OR(NOT(ISERR(CODE('CAPTURA LISTADO'!B12)=48)),'CAPTURA LISTADO'!B12&gt;0),'CAPTURA LISTADO'!B12,IF('CAPTURA LISTADO'!A12&lt;&gt;0,INT((TODAY()-'CAPTURA LISTADO'!A12)/365)," "))</f>
        <v xml:space="preserve"> </v>
      </c>
      <c r="B7" s="51" t="str">
        <f>IF('CAPTURA LISTADO'!D12&lt;&gt;"M",IF('CAPTURA LISTADO'!D12&lt;&gt;"F"," ",'CAPTURA LISTADO'!D12),'CAPTURA LISTADO'!D12)</f>
        <v xml:space="preserve"> </v>
      </c>
      <c r="C7" s="51" t="str">
        <f t="shared" ca="1" si="0"/>
        <v xml:space="preserve"> </v>
      </c>
      <c r="D7" s="51" t="str">
        <f>IF(AND('CAPTURA LISTADO'!C12&lt;&gt;"T",'CAPTURA LISTADO'!C12&lt;&gt;"C",'CAPTURA LISTADO'!C12&lt;&gt;"H")," ",'CAPTURA LISTADO'!C12)</f>
        <v xml:space="preserve"> </v>
      </c>
      <c r="E7" s="50">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5" thickBot="1">
      <c r="A8" s="51" t="str">
        <f ca="1">IF(OR(NOT(ISERR(CODE('CAPTURA LISTADO'!B13)=48)),'CAPTURA LISTADO'!B13&gt;0),'CAPTURA LISTADO'!B13,IF('CAPTURA LISTADO'!A13&lt;&gt;0,INT((TODAY()-'CAPTURA LISTADO'!A13)/365)," "))</f>
        <v xml:space="preserve"> </v>
      </c>
      <c r="B8" s="51" t="str">
        <f>IF('CAPTURA LISTADO'!D13&lt;&gt;"M",IF('CAPTURA LISTADO'!D13&lt;&gt;"F"," ",'CAPTURA LISTADO'!D13),'CAPTURA LISTADO'!D13)</f>
        <v xml:space="preserve"> </v>
      </c>
      <c r="C8" s="51" t="str">
        <f t="shared" ca="1" si="0"/>
        <v xml:space="preserve"> </v>
      </c>
      <c r="D8" s="51" t="str">
        <f>IF(AND('CAPTURA LISTADO'!C13&lt;&gt;"T",'CAPTURA LISTADO'!C13&lt;&gt;"C",'CAPTURA LISTADO'!C13&lt;&gt;"H")," ",'CAPTURA LISTADO'!C13)</f>
        <v xml:space="preserve"> </v>
      </c>
      <c r="E8" s="50">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5" thickBot="1">
      <c r="A9" s="51" t="str">
        <f ca="1">IF(OR(NOT(ISERR(CODE('CAPTURA LISTADO'!B14)=48)),'CAPTURA LISTADO'!B14&gt;0),'CAPTURA LISTADO'!B14,IF('CAPTURA LISTADO'!A14&lt;&gt;0,INT((TODAY()-'CAPTURA LISTADO'!A14)/365)," "))</f>
        <v xml:space="preserve"> </v>
      </c>
      <c r="B9" s="51" t="str">
        <f>IF('CAPTURA LISTADO'!D14&lt;&gt;"M",IF('CAPTURA LISTADO'!D14&lt;&gt;"F"," ",'CAPTURA LISTADO'!D14),'CAPTURA LISTADO'!D14)</f>
        <v xml:space="preserve"> </v>
      </c>
      <c r="C9" s="51" t="str">
        <f t="shared" ca="1" si="0"/>
        <v xml:space="preserve"> </v>
      </c>
      <c r="D9" s="51" t="str">
        <f>IF(AND('CAPTURA LISTADO'!C14&lt;&gt;"T",'CAPTURA LISTADO'!C14&lt;&gt;"C",'CAPTURA LISTADO'!C14&lt;&gt;"H")," ",'CAPTURA LISTADO'!C14)</f>
        <v xml:space="preserve"> </v>
      </c>
      <c r="E9" s="50">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5" thickBot="1">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5" thickBot="1">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5" thickBot="1">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5" thickBot="1">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5" thickBot="1">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5" thickBot="1">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5" thickBot="1">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5" thickBot="1">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5" thickBot="1">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5" thickBot="1">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5" thickBot="1">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5" thickBot="1">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5" thickBot="1">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5" thickBot="1">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5" thickBot="1">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5" thickBot="1">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5" thickBot="1">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5" thickBot="1">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5" thickBot="1">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5" thickBot="1">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5" thickBot="1">
      <c r="E30" s="11">
        <v>27</v>
      </c>
      <c r="F30" s="10">
        <f ca="1">+DCOUNTA($B$1:$C$995,$C$1,E160:G161)</f>
        <v>0</v>
      </c>
      <c r="G30" s="10">
        <f ca="1">+DCOUNTA($B$1:$C$995,$C$1,E362:G363)</f>
        <v>0</v>
      </c>
      <c r="H30" s="5"/>
      <c r="I30" s="11">
        <v>27</v>
      </c>
      <c r="J30" s="10">
        <f ca="1">+DCOUNTA($B$1:$D$995,$C$1,I160:K161)</f>
        <v>0</v>
      </c>
      <c r="K30" s="10">
        <f ca="1">+DCOUNTA($B$1:$D$995,$C$1,I362:K363)</f>
        <v>0</v>
      </c>
      <c r="L30" s="5"/>
      <c r="M30" s="12" t="s">
        <v>52</v>
      </c>
      <c r="N30" s="14">
        <f ca="1">SUM(N3:N29)</f>
        <v>0</v>
      </c>
      <c r="O30" s="14">
        <f ca="1">SUM(O3:O29)</f>
        <v>0</v>
      </c>
      <c r="P30" s="14">
        <f ca="1">SUM(P3:P29)</f>
        <v>0</v>
      </c>
      <c r="S30" s="12" t="s">
        <v>52</v>
      </c>
      <c r="T30" s="14">
        <f ca="1">SUM(T3:T29)</f>
        <v>0</v>
      </c>
      <c r="X30" s="11">
        <v>27</v>
      </c>
      <c r="Y30" s="10">
        <f ca="1">+DCOUNTA($B$1:$D$995,$C$1,X160:Z161)</f>
        <v>0</v>
      </c>
      <c r="Z30" s="10">
        <f ca="1">+DCOUNTA($B$1:$D$995,$C$1,X362:Z363)</f>
        <v>0</v>
      </c>
    </row>
    <row r="31" spans="5:26" ht="13.5" thickBot="1">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5" thickBot="1">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5" thickBot="1">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5" thickBot="1">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5" thickBot="1">
      <c r="E35" s="11">
        <v>32</v>
      </c>
      <c r="F35" s="10">
        <f ca="1">+DCOUNTA($B$1:$C$995,$C$1,E170:G171)</f>
        <v>0</v>
      </c>
      <c r="G35" s="10">
        <f ca="1">+DCOUNTA($B$1:$C$995,$C$1,E372:G373)</f>
        <v>0</v>
      </c>
      <c r="I35" s="11">
        <v>32</v>
      </c>
      <c r="J35" s="10">
        <f ca="1">+DCOUNTA($B$1:$D$995,$C$1,I170:K171)</f>
        <v>0</v>
      </c>
      <c r="K35" s="10">
        <f ca="1">+DCOUNTA($B$1:$D$995,$C$1,I372:K373)</f>
        <v>0</v>
      </c>
      <c r="L35" s="5"/>
      <c r="N35" s="1" t="s">
        <v>42</v>
      </c>
      <c r="O35" s="1" t="s">
        <v>44</v>
      </c>
      <c r="P35" s="1" t="s">
        <v>43</v>
      </c>
      <c r="Q35" s="1"/>
      <c r="R35" s="1"/>
      <c r="T35" s="1" t="s">
        <v>42</v>
      </c>
      <c r="U35" s="1" t="s">
        <v>44</v>
      </c>
      <c r="V35" s="1" t="s">
        <v>43</v>
      </c>
      <c r="X35" s="11">
        <v>32</v>
      </c>
      <c r="Y35" s="10">
        <f ca="1">+DCOUNTA($B$1:$D$995,$C$1,X170:Z171)</f>
        <v>0</v>
      </c>
      <c r="Z35" s="10">
        <f ca="1">+DCOUNTA($B$1:$D$995,$C$1,X372:Z373)</f>
        <v>0</v>
      </c>
    </row>
    <row r="36" spans="5:26" ht="13.5" thickBot="1">
      <c r="E36" s="11">
        <v>33</v>
      </c>
      <c r="F36" s="10">
        <f ca="1">+DCOUNTA($B$1:$C$995,$C$1,E172:G173)</f>
        <v>0</v>
      </c>
      <c r="G36" s="10">
        <f ca="1">+DCOUNTA($B$1:$C$995,$C$1,E374:G375)</f>
        <v>0</v>
      </c>
      <c r="I36" s="11">
        <v>33</v>
      </c>
      <c r="J36" s="10">
        <f ca="1">+DCOUNTA($B$1:$D$995,$C$1,I172:K173)</f>
        <v>0</v>
      </c>
      <c r="K36" s="10">
        <f ca="1">+DCOUNTA($B$1:$D$995,$C$1,I374:K375)</f>
        <v>0</v>
      </c>
      <c r="L36" s="5"/>
      <c r="N36">
        <v>18</v>
      </c>
      <c r="O36" s="1" t="s">
        <v>55</v>
      </c>
      <c r="P36" s="1" t="s">
        <v>64</v>
      </c>
      <c r="Q36" s="1"/>
      <c r="R36" s="1"/>
      <c r="T36">
        <v>18</v>
      </c>
      <c r="U36" s="1" t="s">
        <v>55</v>
      </c>
      <c r="V36" s="1" t="s">
        <v>56</v>
      </c>
      <c r="X36" s="11">
        <v>33</v>
      </c>
      <c r="Y36" s="10">
        <f ca="1">+DCOUNTA($B$1:$D$995,$C$1,X172:Z173)</f>
        <v>0</v>
      </c>
      <c r="Z36" s="10">
        <f ca="1">+DCOUNTA($B$1:$D$995,$C$1,X374:Z375)</f>
        <v>0</v>
      </c>
    </row>
    <row r="37" spans="5:26" ht="13.5" thickBot="1">
      <c r="E37" s="11">
        <v>34</v>
      </c>
      <c r="F37" s="10">
        <f ca="1">+DCOUNTA($B$1:$C$995,$C$1,E174:G175)</f>
        <v>0</v>
      </c>
      <c r="G37" s="10">
        <f ca="1">+DCOUNTA($B$1:$C$995,$C$1,E376:G377)</f>
        <v>0</v>
      </c>
      <c r="I37" s="11">
        <v>34</v>
      </c>
      <c r="J37" s="10">
        <f ca="1">+DCOUNTA($B$1:$D$995,$C$1,I174:K175)</f>
        <v>0</v>
      </c>
      <c r="K37" s="10">
        <f ca="1">+DCOUNTA($B$1:$D$995,$C$1,I376:K377)</f>
        <v>0</v>
      </c>
      <c r="M37" s="1"/>
      <c r="N37" s="1" t="s">
        <v>42</v>
      </c>
      <c r="O37" s="1" t="s">
        <v>44</v>
      </c>
      <c r="P37" s="1" t="s">
        <v>43</v>
      </c>
      <c r="Q37" s="1"/>
      <c r="R37" s="1"/>
      <c r="S37" s="1"/>
      <c r="T37" s="1" t="s">
        <v>42</v>
      </c>
      <c r="U37" s="1" t="s">
        <v>44</v>
      </c>
      <c r="V37" s="1" t="s">
        <v>43</v>
      </c>
      <c r="X37" s="11">
        <v>34</v>
      </c>
      <c r="Y37" s="10">
        <f ca="1">+DCOUNTA($B$1:$D$995,$C$1,X174:Z175)</f>
        <v>0</v>
      </c>
      <c r="Z37" s="10">
        <f ca="1">+DCOUNTA($B$1:$D$995,$C$1,X376:Z377)</f>
        <v>0</v>
      </c>
    </row>
    <row r="38" spans="5:26" ht="13.5" thickBot="1">
      <c r="E38" s="11">
        <v>35</v>
      </c>
      <c r="F38" s="10">
        <f ca="1">+DCOUNTA($B$1:$C$995,$C$1,E176:G177)</f>
        <v>0</v>
      </c>
      <c r="G38" s="10">
        <f ca="1">+DCOUNTA($B$1:$C$995,$C$1,E378:G379)</f>
        <v>0</v>
      </c>
      <c r="I38" s="11">
        <v>35</v>
      </c>
      <c r="J38" s="10">
        <f ca="1">+DCOUNTA($B$1:$D$995,$C$1,I176:K177)</f>
        <v>0</v>
      </c>
      <c r="K38" s="10">
        <f ca="1">+DCOUNTA($B$1:$D$995,$C$1,I378:K379)</f>
        <v>0</v>
      </c>
      <c r="M38" s="1"/>
      <c r="N38">
        <v>19</v>
      </c>
      <c r="O38" s="1" t="s">
        <v>55</v>
      </c>
      <c r="P38" s="1" t="s">
        <v>64</v>
      </c>
      <c r="Q38" s="1"/>
      <c r="R38" s="1"/>
      <c r="S38" s="1"/>
      <c r="T38">
        <v>19</v>
      </c>
      <c r="U38" s="1" t="s">
        <v>55</v>
      </c>
      <c r="V38" s="1" t="s">
        <v>56</v>
      </c>
      <c r="X38" s="11">
        <v>35</v>
      </c>
      <c r="Y38" s="10">
        <f ca="1">+DCOUNTA($B$1:$D$995,$C$1,X176:Z177)</f>
        <v>0</v>
      </c>
      <c r="Z38" s="10">
        <f ca="1">+DCOUNTA($B$1:$D$995,$C$1,X378:Z379)</f>
        <v>0</v>
      </c>
    </row>
    <row r="39" spans="5:26" ht="13.5" thickBot="1">
      <c r="E39" s="11">
        <v>36</v>
      </c>
      <c r="F39" s="10">
        <f ca="1">+DCOUNTA($B$1:$C$995,$C$1,E178:G179)</f>
        <v>0</v>
      </c>
      <c r="G39" s="10">
        <f ca="1">+DCOUNTA($B$1:$C$995,$C$1,E380:G381)</f>
        <v>0</v>
      </c>
      <c r="I39" s="11">
        <v>36</v>
      </c>
      <c r="J39" s="10">
        <f ca="1">+DCOUNTA($B$1:$D$995,$C$1,I178:K179)</f>
        <v>0</v>
      </c>
      <c r="K39" s="10">
        <f ca="1">+DCOUNTA($B$1:$D$995,$C$1,I380:K381)</f>
        <v>0</v>
      </c>
      <c r="M39" s="1"/>
      <c r="N39" s="1" t="s">
        <v>42</v>
      </c>
      <c r="O39" s="1" t="s">
        <v>44</v>
      </c>
      <c r="P39" s="1" t="s">
        <v>43</v>
      </c>
      <c r="Q39" s="1"/>
      <c r="R39" s="1"/>
      <c r="S39" s="1"/>
      <c r="T39" s="1" t="s">
        <v>42</v>
      </c>
      <c r="U39" s="1" t="s">
        <v>44</v>
      </c>
      <c r="V39" s="1" t="s">
        <v>43</v>
      </c>
      <c r="X39" s="11">
        <v>36</v>
      </c>
      <c r="Y39" s="10">
        <f ca="1">+DCOUNTA($B$1:$D$995,$C$1,X178:Z179)</f>
        <v>0</v>
      </c>
      <c r="Z39" s="10">
        <f ca="1">+DCOUNTA($B$1:$D$995,$C$1,X380:Z381)</f>
        <v>0</v>
      </c>
    </row>
    <row r="40" spans="5:26" ht="13.5" thickBot="1">
      <c r="E40" s="11">
        <v>37</v>
      </c>
      <c r="F40" s="10">
        <f ca="1">+DCOUNTA($B$1:$C$995,$C$1,E180:G181)</f>
        <v>0</v>
      </c>
      <c r="G40" s="10">
        <f ca="1">+DCOUNTA($B$1:$C$995,$C$1,E382:G383)</f>
        <v>0</v>
      </c>
      <c r="I40" s="11">
        <v>37</v>
      </c>
      <c r="J40" s="10">
        <f ca="1">+DCOUNTA($B$1:$D$995,$C$1,I180:K181)</f>
        <v>0</v>
      </c>
      <c r="K40" s="10">
        <f ca="1">+DCOUNTA($B$1:$D$995,$C$1,I382:K383)</f>
        <v>0</v>
      </c>
      <c r="M40" s="1"/>
      <c r="N40">
        <v>20</v>
      </c>
      <c r="O40" s="1" t="s">
        <v>55</v>
      </c>
      <c r="P40" s="1" t="s">
        <v>64</v>
      </c>
      <c r="Q40" s="1"/>
      <c r="R40" s="1"/>
      <c r="S40" s="1"/>
      <c r="T40">
        <v>20</v>
      </c>
      <c r="U40" s="1" t="s">
        <v>55</v>
      </c>
      <c r="V40" s="1" t="s">
        <v>56</v>
      </c>
      <c r="X40" s="11">
        <v>37</v>
      </c>
      <c r="Y40" s="10">
        <f ca="1">+DCOUNTA($B$1:$D$995,$C$1,X180:Z181)</f>
        <v>0</v>
      </c>
      <c r="Z40" s="10">
        <f ca="1">+DCOUNTA($B$1:$D$995,$C$1,X382:Z383)</f>
        <v>0</v>
      </c>
    </row>
    <row r="41" spans="5:26" ht="13.5" thickBot="1">
      <c r="E41" s="11">
        <v>38</v>
      </c>
      <c r="F41" s="10">
        <f ca="1">+DCOUNTA($B$1:$C$995,$C$1,E182:G183)</f>
        <v>0</v>
      </c>
      <c r="G41" s="10">
        <f ca="1">+DCOUNTA($B$1:$C$995,$C$1,E384:G385)</f>
        <v>0</v>
      </c>
      <c r="I41" s="11">
        <v>38</v>
      </c>
      <c r="J41" s="10">
        <f ca="1">+DCOUNTA($B$1:$D$995,$C$1,I182:K183)</f>
        <v>0</v>
      </c>
      <c r="K41" s="10">
        <f ca="1">+DCOUNTA($B$1:$D$995,$C$1,I384:K385)</f>
        <v>0</v>
      </c>
      <c r="M41" s="1"/>
      <c r="N41" s="1" t="s">
        <v>42</v>
      </c>
      <c r="O41" s="1" t="s">
        <v>44</v>
      </c>
      <c r="P41" s="1" t="s">
        <v>43</v>
      </c>
      <c r="Q41" s="1"/>
      <c r="R41" s="1"/>
      <c r="S41" s="1"/>
      <c r="T41" s="1" t="s">
        <v>42</v>
      </c>
      <c r="U41" s="1" t="s">
        <v>44</v>
      </c>
      <c r="V41" s="1" t="s">
        <v>43</v>
      </c>
      <c r="X41" s="11">
        <v>38</v>
      </c>
      <c r="Y41" s="10">
        <f ca="1">+DCOUNTA($B$1:$D$995,$C$1,X182:Z183)</f>
        <v>0</v>
      </c>
      <c r="Z41" s="10">
        <f ca="1">+DCOUNTA($B$1:$D$995,$C$1,X384:Z385)</f>
        <v>0</v>
      </c>
    </row>
    <row r="42" spans="5:26" ht="13.5" thickBot="1">
      <c r="E42" s="11">
        <v>39</v>
      </c>
      <c r="F42" s="10">
        <f ca="1">+DCOUNTA($B$1:$C$995,$C$1,E184:G185)</f>
        <v>0</v>
      </c>
      <c r="G42" s="10">
        <f ca="1">+DCOUNTA($B$1:$C$995,$C$1,E386:G387)</f>
        <v>0</v>
      </c>
      <c r="I42" s="11">
        <v>39</v>
      </c>
      <c r="J42" s="10">
        <f ca="1">+DCOUNTA($B$1:$D$995,$C$1,I184:K185)</f>
        <v>0</v>
      </c>
      <c r="K42" s="10">
        <f ca="1">+DCOUNTA($B$1:$D$995,$C$1,I386:K387)</f>
        <v>0</v>
      </c>
      <c r="M42" s="1"/>
      <c r="N42">
        <v>21</v>
      </c>
      <c r="O42" s="1" t="s">
        <v>55</v>
      </c>
      <c r="P42" s="1" t="s">
        <v>64</v>
      </c>
      <c r="Q42" s="1"/>
      <c r="R42" s="1"/>
      <c r="S42" s="1"/>
      <c r="T42">
        <v>21</v>
      </c>
      <c r="U42" s="1" t="s">
        <v>55</v>
      </c>
      <c r="V42" s="1" t="s">
        <v>56</v>
      </c>
      <c r="X42" s="11">
        <v>39</v>
      </c>
      <c r="Y42" s="10">
        <f ca="1">+DCOUNTA($B$1:$D$995,$C$1,X184:Z185)</f>
        <v>0</v>
      </c>
      <c r="Z42" s="10">
        <f ca="1">+DCOUNTA($B$1:$D$995,$C$1,X386:Z387)</f>
        <v>0</v>
      </c>
    </row>
    <row r="43" spans="5:26" ht="13.5" thickBot="1">
      <c r="E43" s="11">
        <v>40</v>
      </c>
      <c r="F43" s="10">
        <f ca="1">+DCOUNTA($B$1:$C$995,$C$1,E186:G187)</f>
        <v>0</v>
      </c>
      <c r="G43" s="10">
        <f ca="1">+DCOUNTA($B$1:$C$995,$C$1,E388:G389)</f>
        <v>0</v>
      </c>
      <c r="I43" s="11">
        <v>40</v>
      </c>
      <c r="J43" s="10">
        <f ca="1">+DCOUNTA($B$1:$D$995,$C$1,I186:K187)</f>
        <v>0</v>
      </c>
      <c r="K43" s="10">
        <f ca="1">+DCOUNTA($B$1:$D$995,$C$1,I388:K389)</f>
        <v>0</v>
      </c>
      <c r="M43" s="1"/>
      <c r="N43" s="1" t="s">
        <v>42</v>
      </c>
      <c r="O43" s="1" t="s">
        <v>44</v>
      </c>
      <c r="P43" s="1" t="s">
        <v>43</v>
      </c>
      <c r="Q43" s="1"/>
      <c r="R43" s="1"/>
      <c r="S43" s="1"/>
      <c r="T43" s="1" t="s">
        <v>42</v>
      </c>
      <c r="U43" s="1" t="s">
        <v>44</v>
      </c>
      <c r="V43" s="1" t="s">
        <v>43</v>
      </c>
      <c r="X43" s="11">
        <v>40</v>
      </c>
      <c r="Y43" s="10">
        <f ca="1">+DCOUNTA($B$1:$D$995,$C$1,X186:Z187)</f>
        <v>0</v>
      </c>
      <c r="Z43" s="10">
        <f ca="1">+DCOUNTA($B$1:$D$995,$C$1,X388:Z389)</f>
        <v>0</v>
      </c>
    </row>
    <row r="44" spans="5:26" ht="13.5" thickBot="1">
      <c r="E44" s="11">
        <v>41</v>
      </c>
      <c r="F44" s="10">
        <f ca="1">+DCOUNTA($B$1:$C$995,$C$1,E188:G189)</f>
        <v>0</v>
      </c>
      <c r="G44" s="10">
        <f ca="1">+DCOUNTA($B$1:$C$995,$C$1,E390:G391)</f>
        <v>0</v>
      </c>
      <c r="I44" s="11">
        <v>41</v>
      </c>
      <c r="J44" s="10">
        <f ca="1">+DCOUNTA($B$1:$D$995,$C$1,I188:K189)</f>
        <v>0</v>
      </c>
      <c r="K44" s="10">
        <f ca="1">+DCOUNTA($B$1:$D$995,$C$1,I390:K391)</f>
        <v>0</v>
      </c>
      <c r="M44" s="1"/>
      <c r="N44">
        <v>22</v>
      </c>
      <c r="O44" s="1" t="s">
        <v>55</v>
      </c>
      <c r="P44" s="1" t="s">
        <v>64</v>
      </c>
      <c r="Q44" s="1"/>
      <c r="R44" s="1"/>
      <c r="S44" s="1"/>
      <c r="T44">
        <v>22</v>
      </c>
      <c r="U44" s="1" t="s">
        <v>55</v>
      </c>
      <c r="V44" s="1" t="s">
        <v>56</v>
      </c>
      <c r="X44" s="11">
        <v>41</v>
      </c>
      <c r="Y44" s="10">
        <f ca="1">+DCOUNTA($B$1:$D$995,$C$1,X188:Z189)</f>
        <v>0</v>
      </c>
      <c r="Z44" s="10">
        <f ca="1">+DCOUNTA($B$1:$D$995,$C$1,X390:Z391)</f>
        <v>0</v>
      </c>
    </row>
    <row r="45" spans="5:26" ht="13.5" thickBot="1">
      <c r="E45" s="11">
        <v>42</v>
      </c>
      <c r="F45" s="10">
        <f ca="1">+DCOUNTA($B$1:$C$995,$C$1,E190:G191)</f>
        <v>0</v>
      </c>
      <c r="G45" s="10">
        <f ca="1">+DCOUNTA($B$1:$C$995,$C$1,E392:G393)</f>
        <v>0</v>
      </c>
      <c r="I45" s="11">
        <v>42</v>
      </c>
      <c r="J45" s="10">
        <f ca="1">+DCOUNTA($B$1:$D$995,$C$1,I190:K191)</f>
        <v>0</v>
      </c>
      <c r="K45" s="10">
        <f ca="1">+DCOUNTA($B$1:$D$995,$C$1,I392:K393)</f>
        <v>0</v>
      </c>
      <c r="M45" s="1"/>
      <c r="N45" s="1" t="s">
        <v>42</v>
      </c>
      <c r="O45" s="1" t="s">
        <v>44</v>
      </c>
      <c r="P45" s="1" t="s">
        <v>43</v>
      </c>
      <c r="Q45" s="1"/>
      <c r="R45" s="1"/>
      <c r="S45" s="1"/>
      <c r="T45" s="1" t="s">
        <v>42</v>
      </c>
      <c r="U45" s="1" t="s">
        <v>44</v>
      </c>
      <c r="V45" s="1" t="s">
        <v>43</v>
      </c>
      <c r="X45" s="11">
        <v>42</v>
      </c>
      <c r="Y45" s="10">
        <f ca="1">+DCOUNTA($B$1:$D$995,$C$1,X190:Z191)</f>
        <v>0</v>
      </c>
      <c r="Z45" s="10">
        <f ca="1">+DCOUNTA($B$1:$D$995,$C$1,X392:Z393)</f>
        <v>0</v>
      </c>
    </row>
    <row r="46" spans="5:26" ht="13.5" thickBot="1">
      <c r="E46" s="11">
        <v>43</v>
      </c>
      <c r="F46" s="10">
        <f ca="1">+DCOUNTA($B$1:$C$995,$C$1,E192:G193)</f>
        <v>0</v>
      </c>
      <c r="G46" s="10">
        <f ca="1">+DCOUNTA($B$1:$C$995,$C$1,E394:G395)</f>
        <v>0</v>
      </c>
      <c r="I46" s="11">
        <v>43</v>
      </c>
      <c r="J46" s="10">
        <f ca="1">+DCOUNTA($B$1:$D$995,$C$1,I192:K193)</f>
        <v>0</v>
      </c>
      <c r="K46" s="10">
        <f ca="1">+DCOUNTA($B$1:$D$995,$C$1,I394:K395)</f>
        <v>0</v>
      </c>
      <c r="M46" s="1"/>
      <c r="N46">
        <v>23</v>
      </c>
      <c r="O46" s="1" t="s">
        <v>55</v>
      </c>
      <c r="P46" s="1" t="s">
        <v>64</v>
      </c>
      <c r="Q46" s="1"/>
      <c r="R46" s="1"/>
      <c r="S46" s="1"/>
      <c r="T46">
        <v>23</v>
      </c>
      <c r="U46" s="1" t="s">
        <v>55</v>
      </c>
      <c r="V46" s="1" t="s">
        <v>56</v>
      </c>
      <c r="X46" s="11">
        <v>43</v>
      </c>
      <c r="Y46" s="10">
        <f ca="1">+DCOUNTA($B$1:$D$995,$C$1,X192:Z193)</f>
        <v>0</v>
      </c>
      <c r="Z46" s="10">
        <f ca="1">+DCOUNTA($B$1:$D$995,$C$1,X394:Z395)</f>
        <v>0</v>
      </c>
    </row>
    <row r="47" spans="5:26" ht="13.5" thickBot="1">
      <c r="E47" s="11">
        <v>44</v>
      </c>
      <c r="F47" s="10">
        <f ca="1">+DCOUNTA($B$1:$C$995,$C$1,E194:G195)</f>
        <v>0</v>
      </c>
      <c r="G47" s="10">
        <f ca="1">+DCOUNTA($B$1:$C$995,$C$1,E396:G397)</f>
        <v>0</v>
      </c>
      <c r="I47" s="11">
        <v>44</v>
      </c>
      <c r="J47" s="10">
        <f ca="1">+DCOUNTA($B$1:$D$995,$C$1,I194:K195)</f>
        <v>0</v>
      </c>
      <c r="K47" s="10">
        <f ca="1">+DCOUNTA($B$1:$D$995,$C$1,I396:K397)</f>
        <v>0</v>
      </c>
      <c r="M47" s="1"/>
      <c r="N47" s="1" t="s">
        <v>42</v>
      </c>
      <c r="O47" s="1" t="s">
        <v>44</v>
      </c>
      <c r="P47" s="1" t="s">
        <v>43</v>
      </c>
      <c r="Q47" s="1"/>
      <c r="R47" s="1"/>
      <c r="S47" s="1"/>
      <c r="T47" s="1" t="s">
        <v>42</v>
      </c>
      <c r="U47" s="1" t="s">
        <v>44</v>
      </c>
      <c r="V47" s="1" t="s">
        <v>43</v>
      </c>
      <c r="X47" s="11">
        <v>44</v>
      </c>
      <c r="Y47" s="10">
        <f ca="1">+DCOUNTA($B$1:$D$995,$C$1,X194:Z195)</f>
        <v>0</v>
      </c>
      <c r="Z47" s="10">
        <f ca="1">+DCOUNTA($B$1:$D$995,$C$1,X396:Z397)</f>
        <v>0</v>
      </c>
    </row>
    <row r="48" spans="5:26" ht="13.5" thickBot="1">
      <c r="E48" s="11">
        <v>45</v>
      </c>
      <c r="F48" s="10">
        <f ca="1">+DCOUNTA($B$1:$C$995,$C$1,E196:G197)</f>
        <v>0</v>
      </c>
      <c r="G48" s="10">
        <f ca="1">+DCOUNTA($B$1:$C$995,$C$1,E398:G399)</f>
        <v>0</v>
      </c>
      <c r="I48" s="11">
        <v>45</v>
      </c>
      <c r="J48" s="10">
        <f ca="1">+DCOUNTA($B$1:$D$995,$C$1,I196:K197)</f>
        <v>0</v>
      </c>
      <c r="K48" s="10">
        <f ca="1">+DCOUNTA($B$1:$D$995,$C$1,I398:K399)</f>
        <v>0</v>
      </c>
      <c r="M48" s="1"/>
      <c r="N48">
        <v>24</v>
      </c>
      <c r="O48" s="1" t="s">
        <v>55</v>
      </c>
      <c r="P48" s="1" t="s">
        <v>64</v>
      </c>
      <c r="Q48" s="1"/>
      <c r="R48" s="1"/>
      <c r="S48" s="1"/>
      <c r="T48">
        <v>24</v>
      </c>
      <c r="U48" s="1" t="s">
        <v>55</v>
      </c>
      <c r="V48" s="1" t="s">
        <v>56</v>
      </c>
      <c r="X48" s="11">
        <v>45</v>
      </c>
      <c r="Y48" s="10">
        <f ca="1">+DCOUNTA($B$1:$D$995,$C$1,X196:Z197)</f>
        <v>0</v>
      </c>
      <c r="Z48" s="10">
        <f ca="1">+DCOUNTA($B$1:$D$995,$C$1,X398:Z399)</f>
        <v>0</v>
      </c>
    </row>
    <row r="49" spans="5:29" ht="13.5" thickBot="1">
      <c r="E49" s="11">
        <v>46</v>
      </c>
      <c r="F49" s="10">
        <f ca="1">+DCOUNTA($B$1:$C$995,$C$1,E198:G199)</f>
        <v>0</v>
      </c>
      <c r="G49" s="10">
        <f ca="1">+DCOUNTA($B$1:$C$995,$C$1,E400:G401)</f>
        <v>0</v>
      </c>
      <c r="I49" s="11">
        <v>46</v>
      </c>
      <c r="J49" s="10">
        <f ca="1">+DCOUNTA($B$1:$D$995,$C$1,I198:K199)</f>
        <v>0</v>
      </c>
      <c r="K49" s="10">
        <f ca="1">+DCOUNTA($B$1:$D$995,$C$1,I400:K401)</f>
        <v>0</v>
      </c>
      <c r="M49" s="1"/>
      <c r="N49" s="1" t="s">
        <v>42</v>
      </c>
      <c r="O49" s="1" t="s">
        <v>44</v>
      </c>
      <c r="P49" s="1" t="s">
        <v>43</v>
      </c>
      <c r="Q49" s="1"/>
      <c r="R49" s="1"/>
      <c r="S49" s="1"/>
      <c r="T49" s="1" t="s">
        <v>42</v>
      </c>
      <c r="U49" s="1" t="s">
        <v>44</v>
      </c>
      <c r="V49" s="1" t="s">
        <v>43</v>
      </c>
      <c r="X49" s="11">
        <v>46</v>
      </c>
      <c r="Y49" s="10">
        <f ca="1">+DCOUNTA($B$1:$D$995,$C$1,X198:Z199)</f>
        <v>0</v>
      </c>
      <c r="Z49" s="10">
        <f ca="1">+DCOUNTA($B$1:$D$995,$C$1,X400:Z401)</f>
        <v>0</v>
      </c>
    </row>
    <row r="50" spans="5:29" ht="13.5" thickBot="1">
      <c r="E50" s="11">
        <v>47</v>
      </c>
      <c r="F50" s="10">
        <f ca="1">+DCOUNTA($B$1:$C$995,$C$1,E200:G201)</f>
        <v>0</v>
      </c>
      <c r="G50" s="10">
        <f ca="1">+DCOUNTA($B$1:$C$995,$C$1,E402:G403)</f>
        <v>0</v>
      </c>
      <c r="I50" s="11">
        <v>47</v>
      </c>
      <c r="J50" s="10">
        <f ca="1">+DCOUNTA($B$1:$D$995,$C$1,I200:K201)</f>
        <v>0</v>
      </c>
      <c r="K50" s="10">
        <f ca="1">+DCOUNTA($B$1:$D$995,$C$1,I402:K403)</f>
        <v>0</v>
      </c>
      <c r="M50" s="1"/>
      <c r="N50">
        <v>25</v>
      </c>
      <c r="O50" s="1" t="s">
        <v>55</v>
      </c>
      <c r="P50" s="1" t="s">
        <v>64</v>
      </c>
      <c r="Q50" s="1"/>
      <c r="R50" s="1"/>
      <c r="S50" s="1"/>
      <c r="T50">
        <v>25</v>
      </c>
      <c r="U50" s="1" t="s">
        <v>55</v>
      </c>
      <c r="V50" s="1" t="s">
        <v>56</v>
      </c>
      <c r="X50" s="11">
        <v>47</v>
      </c>
      <c r="Y50" s="10">
        <f ca="1">+DCOUNTA($B$1:$D$995,$C$1,X200:Z201)</f>
        <v>0</v>
      </c>
      <c r="Z50" s="10">
        <f ca="1">+DCOUNTA($B$1:$D$995,$C$1,X402:Z403)</f>
        <v>0</v>
      </c>
    </row>
    <row r="51" spans="5:29" ht="13.5" thickBot="1">
      <c r="E51" s="11">
        <v>48</v>
      </c>
      <c r="F51" s="10">
        <f ca="1">+DCOUNTA($B$1:$C$995,$C$1,E202:G203)</f>
        <v>0</v>
      </c>
      <c r="G51" s="10">
        <f ca="1">+DCOUNTA($B$1:$C$995,$C$1,E404:G405)</f>
        <v>0</v>
      </c>
      <c r="I51" s="11">
        <v>48</v>
      </c>
      <c r="J51" s="10">
        <f ca="1">+DCOUNTA($B$1:$D$995,$C$1,I202:K203)</f>
        <v>0</v>
      </c>
      <c r="K51" s="10">
        <f ca="1">+DCOUNTA($B$1:$D$995,$C$1,I404:K405)</f>
        <v>0</v>
      </c>
      <c r="M51" s="1"/>
      <c r="N51" s="1" t="s">
        <v>42</v>
      </c>
      <c r="O51" s="1" t="s">
        <v>44</v>
      </c>
      <c r="P51" s="1" t="s">
        <v>43</v>
      </c>
      <c r="Q51" s="1"/>
      <c r="R51" s="1"/>
      <c r="S51" s="1"/>
      <c r="T51" s="1" t="s">
        <v>42</v>
      </c>
      <c r="U51" s="1" t="s">
        <v>44</v>
      </c>
      <c r="V51" s="1" t="s">
        <v>43</v>
      </c>
      <c r="X51" s="11">
        <v>48</v>
      </c>
      <c r="Y51" s="10">
        <f ca="1">+DCOUNTA($B$1:$D$995,$C$1,X202:Z203)</f>
        <v>0</v>
      </c>
      <c r="Z51" s="10">
        <f ca="1">+DCOUNTA($B$1:$D$995,$C$1,X404:Z405)</f>
        <v>0</v>
      </c>
    </row>
    <row r="52" spans="5:29" ht="13.5" thickBot="1">
      <c r="E52" s="11">
        <v>49</v>
      </c>
      <c r="F52" s="10">
        <f ca="1">+DCOUNTA($B$1:$C$995,$C$1,E204:G205)</f>
        <v>0</v>
      </c>
      <c r="G52" s="10">
        <f ca="1">+DCOUNTA($B$1:$C$995,$C$1,E406:G407)</f>
        <v>0</v>
      </c>
      <c r="I52" s="11">
        <v>49</v>
      </c>
      <c r="J52" s="10">
        <f ca="1">+DCOUNTA($B$1:$D$995,$C$1,I204:K205)</f>
        <v>0</v>
      </c>
      <c r="K52" s="10">
        <f ca="1">+DCOUNTA($B$1:$D$995,$C$1,I406:K407)</f>
        <v>0</v>
      </c>
      <c r="M52" s="1"/>
      <c r="N52">
        <v>26</v>
      </c>
      <c r="O52" s="1" t="s">
        <v>55</v>
      </c>
      <c r="P52" s="1" t="s">
        <v>64</v>
      </c>
      <c r="Q52" s="1"/>
      <c r="R52" s="1"/>
      <c r="S52" s="1"/>
      <c r="T52">
        <v>26</v>
      </c>
      <c r="U52" s="1" t="s">
        <v>55</v>
      </c>
      <c r="V52" s="1" t="s">
        <v>56</v>
      </c>
      <c r="X52" s="11">
        <v>49</v>
      </c>
      <c r="Y52" s="10">
        <f ca="1">+DCOUNTA($B$1:$D$995,$C$1,X204:Z205)</f>
        <v>0</v>
      </c>
      <c r="Z52" s="10">
        <f ca="1">+DCOUNTA($B$1:$D$995,$C$1,X406:Z407)</f>
        <v>0</v>
      </c>
    </row>
    <row r="53" spans="5:29" ht="13.5" thickBot="1">
      <c r="E53" s="11">
        <v>50</v>
      </c>
      <c r="F53" s="10">
        <f ca="1">+DCOUNTA($B$1:$C$995,$C$1,E206:G207)</f>
        <v>0</v>
      </c>
      <c r="G53" s="10">
        <f ca="1">+DCOUNTA($B$1:$C$995,$C$1,E408:G409)</f>
        <v>0</v>
      </c>
      <c r="I53" s="11">
        <v>50</v>
      </c>
      <c r="J53" s="10">
        <f ca="1">+DCOUNTA($B$1:$D$995,$C$1,I206:K207)</f>
        <v>0</v>
      </c>
      <c r="K53" s="10">
        <f ca="1">+DCOUNTA($B$1:$D$995,$C$1,I408:K409)</f>
        <v>0</v>
      </c>
      <c r="M53" s="1"/>
      <c r="N53" s="1" t="s">
        <v>42</v>
      </c>
      <c r="O53" s="1" t="s">
        <v>44</v>
      </c>
      <c r="P53" s="1" t="s">
        <v>43</v>
      </c>
      <c r="Q53" s="1"/>
      <c r="R53" s="1"/>
      <c r="S53" s="1"/>
      <c r="T53" s="1" t="s">
        <v>42</v>
      </c>
      <c r="U53" s="1" t="s">
        <v>44</v>
      </c>
      <c r="V53" s="1" t="s">
        <v>43</v>
      </c>
      <c r="X53" s="11">
        <v>50</v>
      </c>
      <c r="Y53" s="10">
        <f ca="1">+DCOUNTA($B$1:$D$995,$C$1,X206:Z207)</f>
        <v>0</v>
      </c>
      <c r="Z53" s="10">
        <f ca="1">+DCOUNTA($B$1:$D$995,$C$1,X408:Z409)</f>
        <v>0</v>
      </c>
    </row>
    <row r="54" spans="5:29" ht="13.5" thickBot="1">
      <c r="E54" s="11">
        <v>51</v>
      </c>
      <c r="F54" s="10">
        <f ca="1">+DCOUNTA($B$1:$C$995,$C$1,E208:G209)</f>
        <v>0</v>
      </c>
      <c r="G54" s="10">
        <f ca="1">+DCOUNTA($B$1:$C$995,$C$1,E410:G411)</f>
        <v>0</v>
      </c>
      <c r="I54" s="11">
        <v>51</v>
      </c>
      <c r="J54" s="10">
        <f ca="1">+DCOUNTA($B$1:$D$995,$C$1,I208:K209)</f>
        <v>0</v>
      </c>
      <c r="K54" s="10">
        <f ca="1">+DCOUNTA($B$1:$D$995,$C$1,I410:K411)</f>
        <v>0</v>
      </c>
      <c r="M54" s="1"/>
      <c r="N54">
        <v>27</v>
      </c>
      <c r="O54" s="1" t="s">
        <v>55</v>
      </c>
      <c r="P54" s="1" t="s">
        <v>64</v>
      </c>
      <c r="Q54" s="1"/>
      <c r="R54" s="1"/>
      <c r="S54" s="1"/>
      <c r="T54">
        <v>27</v>
      </c>
      <c r="U54" s="1" t="s">
        <v>55</v>
      </c>
      <c r="V54" s="1" t="s">
        <v>56</v>
      </c>
      <c r="X54" s="11">
        <v>51</v>
      </c>
      <c r="Y54" s="10">
        <f ca="1">+DCOUNTA($B$1:$D$995,$C$1,X208:Z209)</f>
        <v>0</v>
      </c>
      <c r="Z54" s="10">
        <f ca="1">+DCOUNTA($B$1:$D$995,$C$1,X410:Z411)</f>
        <v>0</v>
      </c>
    </row>
    <row r="55" spans="5:29" ht="13.5" thickBot="1">
      <c r="E55" s="11">
        <v>52</v>
      </c>
      <c r="F55" s="10">
        <f ca="1">+DCOUNTA($B$1:$C$995,$C$1,E210:G211)</f>
        <v>0</v>
      </c>
      <c r="G55" s="10">
        <f ca="1">+DCOUNTA($B$1:$C$995,$C$1,E412:G413)</f>
        <v>0</v>
      </c>
      <c r="I55" s="11">
        <v>52</v>
      </c>
      <c r="J55" s="10">
        <f ca="1">+DCOUNTA($B$1:$D$995,$C$1,I210:K211)</f>
        <v>0</v>
      </c>
      <c r="K55" s="10">
        <f ca="1">+DCOUNTA($B$1:$D$995,$C$1,I412:K413)</f>
        <v>0</v>
      </c>
      <c r="M55" s="1"/>
      <c r="N55" s="1" t="s">
        <v>42</v>
      </c>
      <c r="O55" s="1" t="s">
        <v>44</v>
      </c>
      <c r="P55" s="1" t="s">
        <v>43</v>
      </c>
      <c r="Q55" s="1"/>
      <c r="R55" s="1"/>
      <c r="S55" s="1"/>
      <c r="T55" s="1" t="s">
        <v>42</v>
      </c>
      <c r="U55" s="1" t="s">
        <v>44</v>
      </c>
      <c r="V55" s="1" t="s">
        <v>43</v>
      </c>
      <c r="X55" s="11">
        <v>52</v>
      </c>
      <c r="Y55" s="10">
        <f ca="1">+DCOUNTA($B$1:$D$995,$C$1,X210:Z211)</f>
        <v>0</v>
      </c>
      <c r="Z55" s="10">
        <f ca="1">+DCOUNTA($B$1:$D$995,$C$1,X412:Z413)</f>
        <v>0</v>
      </c>
    </row>
    <row r="56" spans="5:29" ht="13.5" thickBot="1">
      <c r="E56" s="11">
        <v>53</v>
      </c>
      <c r="F56" s="10">
        <f ca="1">+DCOUNTA($B$1:$C$995,$C$1,E212:G213)</f>
        <v>0</v>
      </c>
      <c r="G56" s="10">
        <f ca="1">+DCOUNTA($B$1:$C$995,$C$1,E414:G415)</f>
        <v>0</v>
      </c>
      <c r="I56" s="11">
        <v>53</v>
      </c>
      <c r="J56" s="10">
        <f ca="1">+DCOUNTA($B$1:$D$995,$C$1,I212:K213)</f>
        <v>0</v>
      </c>
      <c r="K56" s="10">
        <f ca="1">+DCOUNTA($B$1:$D$995,$C$1,I414:K415)</f>
        <v>0</v>
      </c>
      <c r="M56" s="1"/>
      <c r="N56">
        <v>28</v>
      </c>
      <c r="O56" s="1" t="s">
        <v>55</v>
      </c>
      <c r="P56" s="1" t="s">
        <v>64</v>
      </c>
      <c r="Q56" s="1"/>
      <c r="R56" s="1"/>
      <c r="S56" s="1"/>
      <c r="T56">
        <v>28</v>
      </c>
      <c r="U56" s="1" t="s">
        <v>55</v>
      </c>
      <c r="V56" s="1" t="s">
        <v>56</v>
      </c>
      <c r="X56" s="11">
        <v>53</v>
      </c>
      <c r="Y56" s="10">
        <f ca="1">+DCOUNTA($B$1:$D$995,$C$1,X212:Z213)</f>
        <v>0</v>
      </c>
      <c r="Z56" s="10">
        <f ca="1">+DCOUNTA($B$1:$D$995,$C$1,X414:Z415)</f>
        <v>0</v>
      </c>
    </row>
    <row r="57" spans="5:29" ht="13.5" thickBot="1">
      <c r="E57" s="11">
        <v>54</v>
      </c>
      <c r="F57" s="10">
        <f ca="1">+DCOUNTA($B$1:$C$995,$C$1,E214:G215)</f>
        <v>0</v>
      </c>
      <c r="G57" s="10">
        <f ca="1">+DCOUNTA($B$1:$C$995,$C$1,E416:G417)</f>
        <v>0</v>
      </c>
      <c r="I57" s="11">
        <v>54</v>
      </c>
      <c r="J57" s="10">
        <f ca="1">+DCOUNTA($B$1:$D$995,$C$1,I214:K215)</f>
        <v>0</v>
      </c>
      <c r="K57" s="10">
        <f ca="1">+DCOUNTA($B$1:$D$995,$C$1,I416:K417)</f>
        <v>0</v>
      </c>
      <c r="M57" s="1"/>
      <c r="N57" s="1" t="s">
        <v>42</v>
      </c>
      <c r="O57" s="1" t="s">
        <v>44</v>
      </c>
      <c r="P57" s="1" t="s">
        <v>43</v>
      </c>
      <c r="Q57" s="1"/>
      <c r="R57" s="1"/>
      <c r="S57" s="1"/>
      <c r="T57" s="1" t="s">
        <v>42</v>
      </c>
      <c r="U57" s="1" t="s">
        <v>44</v>
      </c>
      <c r="V57" s="1" t="s">
        <v>43</v>
      </c>
      <c r="X57" s="11">
        <v>54</v>
      </c>
      <c r="Y57" s="10">
        <f ca="1">+DCOUNTA($B$1:$D$995,$C$1,X214:Z215)</f>
        <v>0</v>
      </c>
      <c r="Z57" s="10">
        <f ca="1">+DCOUNTA($B$1:$D$995,$C$1,X416:Z417)</f>
        <v>0</v>
      </c>
    </row>
    <row r="58" spans="5:29" ht="13.5" thickBot="1">
      <c r="E58" s="11">
        <v>55</v>
      </c>
      <c r="F58" s="10">
        <f ca="1">+DCOUNTA($B$1:$C$995,$C$1,E216:G217)</f>
        <v>0</v>
      </c>
      <c r="G58" s="10">
        <f ca="1">+DCOUNTA($B$1:$C$995,$C$1,E418:G419)</f>
        <v>0</v>
      </c>
      <c r="I58" s="11">
        <v>55</v>
      </c>
      <c r="J58" s="10">
        <f ca="1">+DCOUNTA($B$1:$D$995,$C$1,I216:K217)</f>
        <v>0</v>
      </c>
      <c r="K58" s="10">
        <f ca="1">+DCOUNTA($B$1:$D$995,$C$1,I418:K419)</f>
        <v>0</v>
      </c>
      <c r="M58" s="1"/>
      <c r="N58">
        <v>29</v>
      </c>
      <c r="O58" s="1" t="s">
        <v>55</v>
      </c>
      <c r="P58" s="1" t="s">
        <v>64</v>
      </c>
      <c r="Q58" s="1"/>
      <c r="R58" s="1"/>
      <c r="S58" s="1"/>
      <c r="T58">
        <v>29</v>
      </c>
      <c r="U58" s="1" t="s">
        <v>55</v>
      </c>
      <c r="V58" s="1" t="s">
        <v>56</v>
      </c>
      <c r="X58" s="11">
        <v>55</v>
      </c>
      <c r="Y58" s="10">
        <f ca="1">+DCOUNTA($B$1:$D$995,$C$1,X216:Z217)</f>
        <v>0</v>
      </c>
      <c r="Z58" s="10">
        <f ca="1">+DCOUNTA($B$1:$D$995,$C$1,X418:Z419)</f>
        <v>0</v>
      </c>
    </row>
    <row r="59" spans="5:29" ht="13.5" thickBot="1">
      <c r="E59" s="11">
        <v>56</v>
      </c>
      <c r="F59" s="10">
        <f ca="1">+DCOUNTA($B$1:$C$995,$C$1,E218:G219)</f>
        <v>0</v>
      </c>
      <c r="G59" s="10">
        <f ca="1">+DCOUNTA($B$1:$C$995,$C$1,E420:G421)</f>
        <v>0</v>
      </c>
      <c r="I59" s="11">
        <v>56</v>
      </c>
      <c r="J59" s="10">
        <f ca="1">+DCOUNTA($B$1:$D$995,$C$1,I218:K219)</f>
        <v>0</v>
      </c>
      <c r="K59" s="10">
        <f ca="1">+DCOUNTA($B$1:$D$995,$C$1,I420:K421)</f>
        <v>0</v>
      </c>
      <c r="M59" s="1"/>
      <c r="N59" s="1" t="s">
        <v>42</v>
      </c>
      <c r="O59" s="1" t="s">
        <v>44</v>
      </c>
      <c r="P59" s="1" t="s">
        <v>43</v>
      </c>
      <c r="Q59" s="1"/>
      <c r="R59" s="1"/>
      <c r="S59" s="1"/>
      <c r="T59" s="1" t="s">
        <v>42</v>
      </c>
      <c r="U59" s="1" t="s">
        <v>44</v>
      </c>
      <c r="V59" s="1" t="s">
        <v>43</v>
      </c>
      <c r="X59" s="11">
        <v>56</v>
      </c>
      <c r="Y59" s="10">
        <f ca="1">+DCOUNTA($B$1:$D$995,$C$1,X218:Z219)</f>
        <v>0</v>
      </c>
      <c r="Z59" s="10">
        <f ca="1">+DCOUNTA($B$1:$D$995,$C$1,X420:Z421)</f>
        <v>0</v>
      </c>
    </row>
    <row r="60" spans="5:29" ht="13.5" thickBot="1">
      <c r="E60" s="11">
        <v>57</v>
      </c>
      <c r="F60" s="10">
        <f ca="1">+DCOUNTA($B$1:$C$995,$C$1,E220:G221)</f>
        <v>0</v>
      </c>
      <c r="G60" s="10">
        <f ca="1">+DCOUNTA($B$1:$C$995,$C$1,E422:G423)</f>
        <v>0</v>
      </c>
      <c r="I60" s="11">
        <v>57</v>
      </c>
      <c r="J60" s="10">
        <f ca="1">+DCOUNTA($B$1:$D$995,$C$1,I220:K221)</f>
        <v>0</v>
      </c>
      <c r="K60" s="10">
        <f ca="1">+DCOUNTA($B$1:$D$995,$C$1,I422:K423)</f>
        <v>0</v>
      </c>
      <c r="M60" s="1"/>
      <c r="N60">
        <v>30</v>
      </c>
      <c r="O60" s="1" t="s">
        <v>55</v>
      </c>
      <c r="P60" s="1" t="s">
        <v>64</v>
      </c>
      <c r="Q60" s="1"/>
      <c r="R60" s="1"/>
      <c r="S60" s="1"/>
      <c r="T60">
        <v>30</v>
      </c>
      <c r="U60" s="1" t="s">
        <v>55</v>
      </c>
      <c r="V60" s="1" t="s">
        <v>56</v>
      </c>
      <c r="X60" s="11">
        <v>57</v>
      </c>
      <c r="Y60" s="10">
        <f ca="1">+DCOUNTA($B$1:$D$995,$C$1,X220:Z221)</f>
        <v>0</v>
      </c>
      <c r="Z60" s="10">
        <f ca="1">+DCOUNTA($B$1:$D$995,$C$1,X422:Z423)</f>
        <v>0</v>
      </c>
    </row>
    <row r="61" spans="5:29" ht="13.5" thickBot="1">
      <c r="E61" s="11">
        <v>58</v>
      </c>
      <c r="F61" s="10">
        <f ca="1">+DCOUNTA($B$1:$C$995,$C$1,E222:G223)</f>
        <v>0</v>
      </c>
      <c r="G61" s="10">
        <f ca="1">+DCOUNTA($B$1:$C$995,$C$1,E424:G425)</f>
        <v>0</v>
      </c>
      <c r="I61" s="11">
        <v>58</v>
      </c>
      <c r="J61" s="10">
        <f ca="1">+DCOUNTA($B$1:$D$995,$C$1,I222:K223)</f>
        <v>0</v>
      </c>
      <c r="K61" s="10">
        <f ca="1">+DCOUNTA($B$1:$D$995,$C$1,I424:K425)</f>
        <v>0</v>
      </c>
      <c r="M61" s="1"/>
      <c r="N61" s="1" t="s">
        <v>42</v>
      </c>
      <c r="O61" s="1" t="s">
        <v>44</v>
      </c>
      <c r="P61" s="1" t="s">
        <v>43</v>
      </c>
      <c r="Q61" s="1"/>
      <c r="R61" s="1"/>
      <c r="S61" s="1"/>
      <c r="T61" s="1" t="s">
        <v>42</v>
      </c>
      <c r="U61" s="1" t="s">
        <v>44</v>
      </c>
      <c r="V61" s="1" t="s">
        <v>43</v>
      </c>
      <c r="X61" s="11">
        <v>58</v>
      </c>
      <c r="Y61" s="10">
        <f ca="1">+DCOUNTA($B$1:$D$995,$C$1,X222:Z223)</f>
        <v>0</v>
      </c>
      <c r="Z61" s="10">
        <f ca="1">+DCOUNTA($B$1:$D$995,$C$1,X424:Z425)</f>
        <v>0</v>
      </c>
    </row>
    <row r="62" spans="5:29" ht="13.5" thickBot="1">
      <c r="E62" s="11">
        <v>59</v>
      </c>
      <c r="F62" s="10">
        <f ca="1">+DCOUNTA($B$1:$C$995,$C$1,E224:G225)</f>
        <v>0</v>
      </c>
      <c r="G62" s="10">
        <f ca="1">+DCOUNTA($B$1:$C$995,$C$1,E426:G427)</f>
        <v>0</v>
      </c>
      <c r="I62" s="11">
        <v>59</v>
      </c>
      <c r="J62" s="10">
        <f ca="1">+DCOUNTA($B$1:$D$995,$C$1,I224:K225)</f>
        <v>0</v>
      </c>
      <c r="K62" s="10">
        <f ca="1">+DCOUNTA($B$1:$D$995,$C$1,I426:K427)</f>
        <v>0</v>
      </c>
      <c r="M62" s="1"/>
      <c r="N62">
        <v>31</v>
      </c>
      <c r="O62" s="1" t="s">
        <v>55</v>
      </c>
      <c r="P62" s="1" t="s">
        <v>64</v>
      </c>
      <c r="Q62" s="1"/>
      <c r="R62" s="1"/>
      <c r="S62" s="1"/>
      <c r="T62">
        <v>31</v>
      </c>
      <c r="U62" s="1" t="s">
        <v>55</v>
      </c>
      <c r="V62" s="1" t="s">
        <v>56</v>
      </c>
      <c r="X62" s="11">
        <v>59</v>
      </c>
      <c r="Y62" s="10">
        <f ca="1">+DCOUNTA($B$1:$D$995,$C$1,X224:Z225)</f>
        <v>0</v>
      </c>
      <c r="Z62" s="10">
        <f ca="1">+DCOUNTA($B$1:$D$995,$C$1,X426:Z427)</f>
        <v>0</v>
      </c>
      <c r="AA62" s="18">
        <f ca="1">SUM(Y3:Y62)</f>
        <v>0</v>
      </c>
      <c r="AB62" s="18">
        <f ca="1">SUM(Z3:Z62)</f>
        <v>0</v>
      </c>
      <c r="AC62" t="s">
        <v>93</v>
      </c>
    </row>
    <row r="63" spans="5:29" ht="13.5" thickBot="1">
      <c r="E63" s="11">
        <v>60</v>
      </c>
      <c r="F63" s="10">
        <f ca="1">+DCOUNTA($B$1:$C$995,$C$1,E226:G227)</f>
        <v>0</v>
      </c>
      <c r="G63" s="10">
        <f ca="1">+DCOUNTA($B$1:$C$995,$C$1,E428:G429)</f>
        <v>0</v>
      </c>
      <c r="I63" s="11">
        <v>60</v>
      </c>
      <c r="J63" s="10">
        <f ca="1">+DCOUNTA($B$1:$D$995,$C$1,I226:K227)</f>
        <v>0</v>
      </c>
      <c r="K63" s="10">
        <f ca="1">+DCOUNTA($B$1:$D$995,$C$1,I428:K429)</f>
        <v>0</v>
      </c>
      <c r="M63" s="1"/>
      <c r="N63" s="1" t="s">
        <v>42</v>
      </c>
      <c r="O63" s="1" t="s">
        <v>44</v>
      </c>
      <c r="P63" s="1" t="s">
        <v>43</v>
      </c>
      <c r="Q63" s="1"/>
      <c r="R63" s="1"/>
      <c r="S63" s="1"/>
      <c r="T63" s="1" t="s">
        <v>42</v>
      </c>
      <c r="U63" s="1" t="s">
        <v>44</v>
      </c>
      <c r="V63" s="1" t="s">
        <v>43</v>
      </c>
      <c r="X63" s="11">
        <v>60</v>
      </c>
      <c r="Y63" s="10">
        <f ca="1">+DCOUNTA($B$1:$D$995,$C$1,X226:Z227)</f>
        <v>0</v>
      </c>
      <c r="Z63" s="10">
        <f ca="1">+DCOUNTA($B$1:$D$995,$C$1,X428:Z429)</f>
        <v>0</v>
      </c>
    </row>
    <row r="64" spans="5:29" ht="13.5" thickBot="1">
      <c r="E64" s="11">
        <v>61</v>
      </c>
      <c r="F64" s="10">
        <f ca="1">+DCOUNTA($B$1:$C$995,$C$1,E228:G229)</f>
        <v>0</v>
      </c>
      <c r="G64" s="10">
        <f ca="1">+DCOUNTA($B$1:$C$995,$C$1,E430:G431)</f>
        <v>0</v>
      </c>
      <c r="I64" s="11">
        <v>61</v>
      </c>
      <c r="J64" s="10">
        <f ca="1">+DCOUNTA($B$1:$D$995,$C$1,I228:K229)</f>
        <v>0</v>
      </c>
      <c r="K64" s="10">
        <f ca="1">+DCOUNTA($B$1:$D$995,$C$1,I430:K431)</f>
        <v>0</v>
      </c>
      <c r="M64" s="1"/>
      <c r="N64">
        <v>32</v>
      </c>
      <c r="O64" s="1" t="s">
        <v>55</v>
      </c>
      <c r="P64" s="1" t="s">
        <v>64</v>
      </c>
      <c r="Q64" s="1"/>
      <c r="R64" s="1"/>
      <c r="S64" s="1"/>
      <c r="T64">
        <v>32</v>
      </c>
      <c r="U64" s="1" t="s">
        <v>55</v>
      </c>
      <c r="V64" s="1" t="s">
        <v>56</v>
      </c>
      <c r="X64" s="11">
        <v>61</v>
      </c>
      <c r="Y64" s="10">
        <f ca="1">+DCOUNTA($B$1:$D$995,$C$1,X228:Z229)</f>
        <v>0</v>
      </c>
      <c r="Z64" s="10">
        <f ca="1">+DCOUNTA($B$1:$D$995,$C$1,X430:Z431)</f>
        <v>0</v>
      </c>
    </row>
    <row r="65" spans="5:29" ht="13.5" thickBot="1">
      <c r="E65" s="11">
        <v>62</v>
      </c>
      <c r="F65" s="10">
        <f ca="1">+DCOUNTA($B$1:$C$995,$C$1,E230:G231)</f>
        <v>0</v>
      </c>
      <c r="G65" s="10">
        <f ca="1">+DCOUNTA($B$1:$C$995,$C$1,E432:G433)</f>
        <v>0</v>
      </c>
      <c r="I65" s="11">
        <v>62</v>
      </c>
      <c r="J65" s="10">
        <f ca="1">+DCOUNTA($B$1:$D$995,$C$1,I230:K231)</f>
        <v>0</v>
      </c>
      <c r="K65" s="10">
        <f ca="1">+DCOUNTA($B$1:$D$995,$C$1,I432:K433)</f>
        <v>0</v>
      </c>
      <c r="M65" s="1"/>
      <c r="N65" s="1" t="s">
        <v>42</v>
      </c>
      <c r="O65" s="1" t="s">
        <v>44</v>
      </c>
      <c r="P65" s="1" t="s">
        <v>43</v>
      </c>
      <c r="Q65" s="1"/>
      <c r="R65" s="1"/>
      <c r="S65" s="1"/>
      <c r="T65" s="1" t="s">
        <v>42</v>
      </c>
      <c r="U65" s="1" t="s">
        <v>44</v>
      </c>
      <c r="V65" s="1" t="s">
        <v>43</v>
      </c>
      <c r="X65" s="11">
        <v>62</v>
      </c>
      <c r="Y65" s="10">
        <f ca="1">+DCOUNTA($B$1:$D$995,$C$1,X230:Z231)</f>
        <v>0</v>
      </c>
      <c r="Z65" s="10">
        <f ca="1">+DCOUNTA($B$1:$D$995,$C$1,X432:Z433)</f>
        <v>0</v>
      </c>
    </row>
    <row r="66" spans="5:29" ht="13.5" thickBot="1">
      <c r="E66" s="11">
        <v>63</v>
      </c>
      <c r="F66" s="10">
        <f ca="1">+DCOUNTA($B$1:$C$995,$C$1,E232:G233)</f>
        <v>0</v>
      </c>
      <c r="G66" s="10">
        <f ca="1">+DCOUNTA($B$1:$C$995,$C$1,E434:G435)</f>
        <v>0</v>
      </c>
      <c r="I66" s="11">
        <v>63</v>
      </c>
      <c r="J66" s="10">
        <f ca="1">+DCOUNTA($B$1:$D$995,$C$1,I232:K233)</f>
        <v>0</v>
      </c>
      <c r="K66" s="10">
        <f ca="1">+DCOUNTA($B$1:$D$995,$C$1,I434:K435)</f>
        <v>0</v>
      </c>
      <c r="M66" s="1"/>
      <c r="N66">
        <v>33</v>
      </c>
      <c r="O66" s="1" t="s">
        <v>55</v>
      </c>
      <c r="P66" s="1" t="s">
        <v>64</v>
      </c>
      <c r="Q66" s="1"/>
      <c r="R66" s="1"/>
      <c r="S66" s="1"/>
      <c r="T66">
        <v>33</v>
      </c>
      <c r="U66" s="1" t="s">
        <v>55</v>
      </c>
      <c r="V66" s="1" t="s">
        <v>56</v>
      </c>
      <c r="X66" s="11">
        <v>63</v>
      </c>
      <c r="Y66" s="10">
        <f ca="1">+DCOUNTA($B$1:$D$995,$C$1,X232:Z233)</f>
        <v>0</v>
      </c>
      <c r="Z66" s="10">
        <f ca="1">+DCOUNTA($B$1:$D$995,$C$1,X434:Z435)</f>
        <v>0</v>
      </c>
    </row>
    <row r="67" spans="5:29" ht="13.5" thickBot="1">
      <c r="E67" s="11">
        <v>64</v>
      </c>
      <c r="F67" s="10">
        <f ca="1">+DCOUNTA($B$1:$C$995,$C$1,E234:G235)</f>
        <v>0</v>
      </c>
      <c r="G67" s="10">
        <f ca="1">+DCOUNTA($B$1:$C$995,$C$1,E436:G437)</f>
        <v>0</v>
      </c>
      <c r="I67" s="11">
        <v>64</v>
      </c>
      <c r="J67" s="10">
        <f ca="1">+DCOUNTA($B$1:$D$995,$C$1,I234:K235)</f>
        <v>0</v>
      </c>
      <c r="K67" s="10">
        <f ca="1">+DCOUNTA($B$1:$D$995,$C$1,I436:K437)</f>
        <v>0</v>
      </c>
      <c r="N67" s="1" t="s">
        <v>42</v>
      </c>
      <c r="O67" s="1" t="s">
        <v>44</v>
      </c>
      <c r="P67" s="1" t="s">
        <v>43</v>
      </c>
      <c r="Q67" s="1"/>
      <c r="R67" s="1"/>
      <c r="T67" s="1" t="s">
        <v>42</v>
      </c>
      <c r="U67" s="1" t="s">
        <v>44</v>
      </c>
      <c r="V67" s="1" t="s">
        <v>43</v>
      </c>
      <c r="X67" s="11">
        <v>64</v>
      </c>
      <c r="Y67" s="10">
        <f ca="1">+DCOUNTA($B$1:$D$995,$C$1,X234:Z235)</f>
        <v>0</v>
      </c>
      <c r="Z67" s="10">
        <f ca="1">+DCOUNTA($B$1:$D$995,$C$1,X436:Z437)</f>
        <v>0</v>
      </c>
      <c r="AA67" s="18">
        <f ca="1">SUM(Y3:Y67)</f>
        <v>0</v>
      </c>
      <c r="AB67" s="18">
        <f ca="1">SUM(Z3:Z67)</f>
        <v>0</v>
      </c>
      <c r="AC67" t="s">
        <v>94</v>
      </c>
    </row>
    <row r="68" spans="5:29" ht="13.5" thickBot="1">
      <c r="E68" s="11">
        <v>65</v>
      </c>
      <c r="F68" s="10">
        <f ca="1">+DCOUNTA($B$1:$C$995,$C$1,E236:G237)</f>
        <v>0</v>
      </c>
      <c r="G68" s="10">
        <f ca="1">+DCOUNTA($B$1:$C$995,$C$1,E438:G439)</f>
        <v>0</v>
      </c>
      <c r="I68" s="11">
        <v>65</v>
      </c>
      <c r="J68" s="10">
        <f ca="1">+DCOUNTA($B$1:$D$995,$C$1,I236:K237)</f>
        <v>0</v>
      </c>
      <c r="K68" s="10">
        <f ca="1">+DCOUNTA($B$1:$D$995,$C$1,I438:K439)</f>
        <v>0</v>
      </c>
      <c r="N68">
        <v>34</v>
      </c>
      <c r="O68" s="1" t="s">
        <v>55</v>
      </c>
      <c r="P68" s="1" t="s">
        <v>64</v>
      </c>
      <c r="Q68" s="1"/>
      <c r="R68" s="1"/>
      <c r="T68">
        <v>34</v>
      </c>
      <c r="U68" s="1" t="s">
        <v>55</v>
      </c>
      <c r="V68" s="1" t="s">
        <v>56</v>
      </c>
      <c r="X68" s="11">
        <v>65</v>
      </c>
      <c r="Y68" s="10">
        <f ca="1">+DCOUNTA($B$1:$D$995,$C$1,X236:Z237)</f>
        <v>0</v>
      </c>
      <c r="Z68" s="10">
        <f ca="1">+DCOUNTA($B$1:$D$995,$C$1,X438:Z439)</f>
        <v>0</v>
      </c>
    </row>
    <row r="69" spans="5:29" ht="13.5" thickBot="1">
      <c r="E69" s="11">
        <v>66</v>
      </c>
      <c r="F69" s="10">
        <f ca="1">+DCOUNTA($B$1:$C$995,$C$1,E238:G239)</f>
        <v>0</v>
      </c>
      <c r="G69" s="10">
        <f ca="1">+DCOUNTA($B$1:$C$995,$C$1,E440:G441)</f>
        <v>0</v>
      </c>
      <c r="I69" s="11">
        <v>66</v>
      </c>
      <c r="J69" s="10">
        <f ca="1">+DCOUNTA($B$1:$D$995,$C$1,I238:K239)</f>
        <v>0</v>
      </c>
      <c r="K69" s="10">
        <f ca="1">+DCOUNTA($B$1:$D$995,$C$1,I440:K441)</f>
        <v>0</v>
      </c>
      <c r="N69" s="1" t="s">
        <v>42</v>
      </c>
      <c r="O69" s="1" t="s">
        <v>44</v>
      </c>
      <c r="P69" s="1" t="s">
        <v>43</v>
      </c>
      <c r="Q69" s="1"/>
      <c r="R69" s="1"/>
      <c r="T69" s="1" t="s">
        <v>42</v>
      </c>
      <c r="U69" s="1" t="s">
        <v>44</v>
      </c>
      <c r="V69" s="1" t="s">
        <v>43</v>
      </c>
      <c r="X69" s="11">
        <v>66</v>
      </c>
      <c r="Y69" s="10">
        <f ca="1">+DCOUNTA($B$1:$D$995,$C$1,X238:Z239)</f>
        <v>0</v>
      </c>
      <c r="Z69" s="10">
        <f ca="1">+DCOUNTA($B$1:$D$995,$C$1,X440:Z441)</f>
        <v>0</v>
      </c>
    </row>
    <row r="70" spans="5:29" ht="13.5" thickBot="1">
      <c r="E70" s="11">
        <v>67</v>
      </c>
      <c r="F70" s="10">
        <f ca="1">+DCOUNTA($B$1:$C$995,$C$1,E240:G241)</f>
        <v>0</v>
      </c>
      <c r="G70" s="10">
        <f ca="1">+DCOUNTA($B$1:$C$995,$C$1,E442:G443)</f>
        <v>0</v>
      </c>
      <c r="I70" s="11">
        <v>67</v>
      </c>
      <c r="J70" s="10">
        <f ca="1">+DCOUNTA($B$1:$D$995,$C$1,I240:K241)</f>
        <v>0</v>
      </c>
      <c r="K70" s="10">
        <f ca="1">+DCOUNTA($B$1:$D$995,$C$1,I442:K443)</f>
        <v>0</v>
      </c>
      <c r="N70">
        <v>35</v>
      </c>
      <c r="O70" s="1" t="s">
        <v>55</v>
      </c>
      <c r="P70" s="1" t="s">
        <v>64</v>
      </c>
      <c r="Q70" s="1"/>
      <c r="R70" s="1"/>
      <c r="T70">
        <v>35</v>
      </c>
      <c r="U70" s="1" t="s">
        <v>55</v>
      </c>
      <c r="V70" s="1" t="s">
        <v>56</v>
      </c>
      <c r="X70" s="11">
        <v>67</v>
      </c>
      <c r="Y70" s="10">
        <f ca="1">+DCOUNTA($B$1:$D$995,$C$1,X240:Z241)</f>
        <v>0</v>
      </c>
      <c r="Z70" s="10">
        <f ca="1">+DCOUNTA($B$1:$D$995,$C$1,X442:Z443)</f>
        <v>0</v>
      </c>
    </row>
    <row r="71" spans="5:29" ht="13.5" thickBot="1">
      <c r="E71" s="11">
        <v>68</v>
      </c>
      <c r="F71" s="10">
        <f ca="1">+DCOUNTA($B$1:$C$995,$C$1,E242:G243)</f>
        <v>0</v>
      </c>
      <c r="G71" s="10">
        <f ca="1">+DCOUNTA($B$1:$C$995,$C$1,E444:G445)</f>
        <v>0</v>
      </c>
      <c r="I71" s="11">
        <v>68</v>
      </c>
      <c r="J71" s="10">
        <f ca="1">+DCOUNTA($B$1:$D$995,$C$1,I242:K243)</f>
        <v>0</v>
      </c>
      <c r="K71" s="10">
        <f ca="1">+DCOUNTA($B$1:$D$995,$C$1,I444:K445)</f>
        <v>0</v>
      </c>
      <c r="N71" s="1" t="s">
        <v>42</v>
      </c>
      <c r="O71" s="1" t="s">
        <v>44</v>
      </c>
      <c r="P71" s="1" t="s">
        <v>43</v>
      </c>
      <c r="Q71" s="1"/>
      <c r="R71" s="1"/>
      <c r="T71" s="1" t="s">
        <v>42</v>
      </c>
      <c r="U71" s="1" t="s">
        <v>44</v>
      </c>
      <c r="V71" s="1" t="s">
        <v>43</v>
      </c>
      <c r="X71" s="11">
        <v>68</v>
      </c>
      <c r="Y71" s="10">
        <f ca="1">+DCOUNTA($B$1:$D$995,$C$1,X242:Z243)</f>
        <v>0</v>
      </c>
      <c r="Z71" s="10">
        <f ca="1">+DCOUNTA($B$1:$D$995,$C$1,X444:Z445)</f>
        <v>0</v>
      </c>
    </row>
    <row r="72" spans="5:29" ht="13.5" thickBot="1">
      <c r="E72" s="11">
        <v>69</v>
      </c>
      <c r="F72" s="10">
        <f ca="1">+DCOUNTA($B$1:$C$995,$C$1,E244:G245)</f>
        <v>0</v>
      </c>
      <c r="G72" s="10">
        <f ca="1">+DCOUNTA($B$1:$C$995,$C$1,E446:G447)</f>
        <v>0</v>
      </c>
      <c r="I72" s="11">
        <v>69</v>
      </c>
      <c r="J72" s="10">
        <f ca="1">+DCOUNTA($B$1:$D$995,$C$1,I244:K245)</f>
        <v>0</v>
      </c>
      <c r="K72" s="10">
        <f ca="1">+DCOUNTA($B$1:$D$995,$C$1,I446:K447)</f>
        <v>0</v>
      </c>
      <c r="N72">
        <v>36</v>
      </c>
      <c r="O72" s="1" t="s">
        <v>55</v>
      </c>
      <c r="P72" s="1" t="s">
        <v>64</v>
      </c>
      <c r="Q72" s="1"/>
      <c r="R72" s="1"/>
      <c r="T72">
        <v>36</v>
      </c>
      <c r="U72" s="1" t="s">
        <v>55</v>
      </c>
      <c r="V72" s="1" t="s">
        <v>56</v>
      </c>
      <c r="X72" s="11">
        <v>69</v>
      </c>
      <c r="Y72" s="10">
        <f ca="1">+DCOUNTA($B$1:$D$995,$C$1,X244:Z245)</f>
        <v>0</v>
      </c>
      <c r="Z72" s="10">
        <f ca="1">+DCOUNTA($B$1:$D$995,$C$1,X446:Z447)</f>
        <v>0</v>
      </c>
    </row>
    <row r="73" spans="5:29" ht="13.5" thickBot="1">
      <c r="E73" s="11">
        <v>70</v>
      </c>
      <c r="F73" s="10">
        <f ca="1">+DCOUNTA($B$1:$C$995,$C$1,E246:G247)</f>
        <v>0</v>
      </c>
      <c r="G73" s="10">
        <f ca="1">+DCOUNTA($B$1:$C$995,$C$1,E448:G449)</f>
        <v>0</v>
      </c>
      <c r="I73" s="11">
        <v>70</v>
      </c>
      <c r="J73" s="10">
        <f ca="1">+DCOUNTA($B$1:$D$995,$C$1,I246:K247)</f>
        <v>0</v>
      </c>
      <c r="K73" s="10">
        <f ca="1">+DCOUNTA($B$1:$D$995,$C$1,I448:K449)</f>
        <v>0</v>
      </c>
      <c r="N73" s="1" t="s">
        <v>42</v>
      </c>
      <c r="O73" s="1" t="s">
        <v>44</v>
      </c>
      <c r="P73" s="1" t="s">
        <v>43</v>
      </c>
      <c r="Q73" s="1"/>
      <c r="R73" s="1"/>
      <c r="T73" s="1" t="s">
        <v>42</v>
      </c>
      <c r="U73" s="1" t="s">
        <v>44</v>
      </c>
      <c r="V73" s="1" t="s">
        <v>43</v>
      </c>
      <c r="X73" s="11">
        <v>70</v>
      </c>
      <c r="Y73" s="10">
        <f ca="1">+DCOUNTA($B$1:$D$995,$C$1,X246:Z247)</f>
        <v>0</v>
      </c>
      <c r="Z73" s="10">
        <f ca="1">+DCOUNTA($B$1:$D$995,$C$1,X448:Z449)</f>
        <v>0</v>
      </c>
    </row>
    <row r="74" spans="5:29" ht="13.5" thickBot="1">
      <c r="E74" s="11">
        <v>71</v>
      </c>
      <c r="F74" s="10">
        <f ca="1">+DCOUNTA($B$1:$C$995,$C$1,E248:G249)</f>
        <v>0</v>
      </c>
      <c r="G74" s="10">
        <f ca="1">+DCOUNTA($B$1:$C$995,$C$1,E450:G451)</f>
        <v>0</v>
      </c>
      <c r="I74" s="11">
        <v>71</v>
      </c>
      <c r="J74" s="10">
        <f ca="1">+DCOUNTA($B$1:$D$995,$C$1,I248:K249)</f>
        <v>0</v>
      </c>
      <c r="K74" s="10">
        <f ca="1">+DCOUNTA($B$1:$D$995,$C$1,I450:K451)</f>
        <v>0</v>
      </c>
      <c r="N74">
        <v>37</v>
      </c>
      <c r="O74" s="1" t="s">
        <v>55</v>
      </c>
      <c r="P74" s="1" t="s">
        <v>64</v>
      </c>
      <c r="Q74" s="1"/>
      <c r="R74" s="1"/>
      <c r="T74">
        <v>37</v>
      </c>
      <c r="U74" s="1" t="s">
        <v>55</v>
      </c>
      <c r="V74" s="1" t="s">
        <v>56</v>
      </c>
      <c r="X74" s="11">
        <v>71</v>
      </c>
      <c r="Y74" s="10">
        <f ca="1">+DCOUNTA($B$1:$D$995,$C$1,X248:Z249)</f>
        <v>0</v>
      </c>
      <c r="Z74" s="10">
        <f ca="1">+DCOUNTA($B$1:$D$995,$C$1,X450:Z451)</f>
        <v>0</v>
      </c>
    </row>
    <row r="75" spans="5:29" ht="13.5" thickBot="1">
      <c r="E75" s="11">
        <v>72</v>
      </c>
      <c r="F75" s="10">
        <f ca="1">+DCOUNTA($B$1:$C$995,$C$1,E250:G251)</f>
        <v>0</v>
      </c>
      <c r="G75" s="10">
        <f ca="1">+DCOUNTA($B$1:$C$995,$C$1,E452:G453)</f>
        <v>0</v>
      </c>
      <c r="I75" s="11">
        <v>72</v>
      </c>
      <c r="J75" s="10">
        <f ca="1">+DCOUNTA($B$1:$D$995,$C$1,I250:K251)</f>
        <v>0</v>
      </c>
      <c r="K75" s="10">
        <f ca="1">+DCOUNTA($B$1:$D$995,$C$1,I452:K453)</f>
        <v>0</v>
      </c>
      <c r="N75" s="1" t="s">
        <v>42</v>
      </c>
      <c r="O75" s="1" t="s">
        <v>44</v>
      </c>
      <c r="P75" s="1" t="s">
        <v>43</v>
      </c>
      <c r="Q75" s="1"/>
      <c r="R75" s="1"/>
      <c r="T75" s="1" t="s">
        <v>42</v>
      </c>
      <c r="U75" s="1" t="s">
        <v>44</v>
      </c>
      <c r="V75" s="1" t="s">
        <v>43</v>
      </c>
      <c r="X75" s="11">
        <v>72</v>
      </c>
      <c r="Y75" s="10">
        <f ca="1">+DCOUNTA($B$1:$D$995,$C$1,X250:Z251)</f>
        <v>0</v>
      </c>
      <c r="Z75" s="10">
        <f ca="1">+DCOUNTA($B$1:$D$995,$C$1,X452:Z453)</f>
        <v>0</v>
      </c>
    </row>
    <row r="76" spans="5:29" ht="13.5" thickBot="1">
      <c r="E76" s="11">
        <v>73</v>
      </c>
      <c r="F76" s="10">
        <f ca="1">+DCOUNTA($B$1:$C$995,$C$1,E252:G253)</f>
        <v>0</v>
      </c>
      <c r="G76" s="10">
        <f ca="1">+DCOUNTA($B$1:$C$995,$C$1,E454:G455)</f>
        <v>0</v>
      </c>
      <c r="I76" s="11">
        <v>73</v>
      </c>
      <c r="J76" s="10">
        <f ca="1">+DCOUNTA($B$1:$D$995,$C$1,I252:K253)</f>
        <v>0</v>
      </c>
      <c r="K76" s="10">
        <f ca="1">+DCOUNTA($B$1:$D$995,$C$1,I454:K455)</f>
        <v>0</v>
      </c>
      <c r="N76">
        <v>38</v>
      </c>
      <c r="O76" s="1" t="s">
        <v>55</v>
      </c>
      <c r="P76" s="1" t="s">
        <v>64</v>
      </c>
      <c r="Q76" s="1"/>
      <c r="R76" s="1"/>
      <c r="T76">
        <v>38</v>
      </c>
      <c r="U76" s="1" t="s">
        <v>55</v>
      </c>
      <c r="V76" s="1" t="s">
        <v>56</v>
      </c>
      <c r="X76" s="11">
        <v>73</v>
      </c>
      <c r="Y76" s="10">
        <f ca="1">+DCOUNTA($B$1:$D$995,$C$1,X252:Z253)</f>
        <v>0</v>
      </c>
      <c r="Z76" s="10">
        <f ca="1">+DCOUNTA($B$1:$D$995,$C$1,X454:Z455)</f>
        <v>0</v>
      </c>
    </row>
    <row r="77" spans="5:29" ht="13.5" thickBot="1">
      <c r="E77" s="11">
        <v>74</v>
      </c>
      <c r="F77" s="10">
        <f ca="1">+DCOUNTA($B$1:$C$995,$C$1,E254:G255)</f>
        <v>0</v>
      </c>
      <c r="G77" s="10">
        <f ca="1">+DCOUNTA($B$1:$C$995,$C$1,E456:G457)</f>
        <v>0</v>
      </c>
      <c r="I77" s="11">
        <v>74</v>
      </c>
      <c r="J77" s="10">
        <f ca="1">+DCOUNTA($B$1:$D$995,$C$1,I254:K255)</f>
        <v>0</v>
      </c>
      <c r="K77" s="10">
        <f ca="1">+DCOUNTA($B$1:$D$995,$C$1,I456:K457)</f>
        <v>0</v>
      </c>
      <c r="N77" s="1" t="s">
        <v>42</v>
      </c>
      <c r="O77" s="1" t="s">
        <v>44</v>
      </c>
      <c r="P77" s="1" t="s">
        <v>43</v>
      </c>
      <c r="Q77" s="1"/>
      <c r="R77" s="1"/>
      <c r="T77" s="1" t="s">
        <v>42</v>
      </c>
      <c r="U77" s="1" t="s">
        <v>44</v>
      </c>
      <c r="V77" s="1" t="s">
        <v>43</v>
      </c>
      <c r="X77" s="11">
        <v>74</v>
      </c>
      <c r="Y77" s="10">
        <f ca="1">+DCOUNTA($B$1:$D$995,$C$1,X254:Z255)</f>
        <v>0</v>
      </c>
      <c r="Z77" s="10">
        <f ca="1">+DCOUNTA($B$1:$D$995,$C$1,X456:Z457)</f>
        <v>0</v>
      </c>
    </row>
    <row r="78" spans="5:29" ht="13.5" thickBot="1">
      <c r="E78" s="11">
        <v>75</v>
      </c>
      <c r="F78" s="10">
        <f ca="1">+DCOUNTA($B$1:$C$995,$C$1,E256:G257)</f>
        <v>0</v>
      </c>
      <c r="G78" s="10">
        <f ca="1">+DCOUNTA($B$1:$C$995,$C$1,E458:G459)</f>
        <v>0</v>
      </c>
      <c r="I78" s="11">
        <v>75</v>
      </c>
      <c r="J78" s="10">
        <f ca="1">+DCOUNTA($B$1:$D$995,$C$1,I256:K257)</f>
        <v>0</v>
      </c>
      <c r="K78" s="10">
        <f ca="1">+DCOUNTA($B$1:$D$995,$C$1,I458:K459)</f>
        <v>0</v>
      </c>
      <c r="N78">
        <v>39</v>
      </c>
      <c r="O78" s="1" t="s">
        <v>55</v>
      </c>
      <c r="P78" s="1" t="s">
        <v>64</v>
      </c>
      <c r="Q78" s="1"/>
      <c r="R78" s="1"/>
      <c r="T78">
        <v>39</v>
      </c>
      <c r="U78" s="1" t="s">
        <v>55</v>
      </c>
      <c r="V78" s="1" t="s">
        <v>56</v>
      </c>
      <c r="X78" s="11">
        <v>75</v>
      </c>
      <c r="Y78" s="10">
        <f ca="1">+DCOUNTA($B$1:$D$995,$C$1,X256:Z257)</f>
        <v>0</v>
      </c>
      <c r="Z78" s="10">
        <f ca="1">+DCOUNTA($B$1:$D$995,$C$1,X458:Z459)</f>
        <v>0</v>
      </c>
    </row>
    <row r="79" spans="5:29" ht="13.5" thickBot="1">
      <c r="E79" s="11">
        <v>76</v>
      </c>
      <c r="F79" s="10">
        <f ca="1">+DCOUNTA($B$1:$C$995,$C$1,E258:G259)</f>
        <v>0</v>
      </c>
      <c r="G79" s="10">
        <f ca="1">+DCOUNTA($B$1:$C$995,$C$1,E460:G461)</f>
        <v>0</v>
      </c>
      <c r="I79" s="11">
        <v>76</v>
      </c>
      <c r="J79" s="10">
        <f ca="1">+DCOUNTA($B$1:$D$995,$C$1,I258:K259)</f>
        <v>0</v>
      </c>
      <c r="K79" s="10">
        <f ca="1">+DCOUNTA($B$1:$D$995,$C$1,I460:K461)</f>
        <v>0</v>
      </c>
      <c r="N79" s="1" t="s">
        <v>42</v>
      </c>
      <c r="O79" s="1" t="s">
        <v>44</v>
      </c>
      <c r="P79" s="1" t="s">
        <v>43</v>
      </c>
      <c r="Q79" s="1"/>
      <c r="R79" s="1"/>
      <c r="T79" s="1" t="s">
        <v>42</v>
      </c>
      <c r="U79" s="1" t="s">
        <v>44</v>
      </c>
      <c r="V79" s="1" t="s">
        <v>43</v>
      </c>
      <c r="X79" s="11">
        <v>76</v>
      </c>
      <c r="Y79" s="10">
        <f ca="1">+DCOUNTA($B$1:$D$995,$C$1,X258:Z259)</f>
        <v>0</v>
      </c>
      <c r="Z79" s="10">
        <f ca="1">+DCOUNTA($B$1:$D$995,$C$1,X460:Z461)</f>
        <v>0</v>
      </c>
    </row>
    <row r="80" spans="5:29" ht="13.5" thickBot="1">
      <c r="E80" s="11">
        <v>77</v>
      </c>
      <c r="F80" s="10">
        <f ca="1">+DCOUNTA($B$1:$C$995,$C$1,E260:G261)</f>
        <v>0</v>
      </c>
      <c r="G80" s="10">
        <f ca="1">+DCOUNTA($B$1:$C$995,$C$1,E462:G463)</f>
        <v>0</v>
      </c>
      <c r="I80" s="11">
        <v>77</v>
      </c>
      <c r="J80" s="10">
        <f ca="1">+DCOUNTA($B$1:$D$995,$C$1,I260:K261)</f>
        <v>0</v>
      </c>
      <c r="K80" s="10">
        <f ca="1">+DCOUNTA($B$1:$D$995,$C$1,I462:K463)</f>
        <v>0</v>
      </c>
      <c r="N80">
        <v>40</v>
      </c>
      <c r="O80" s="1" t="s">
        <v>55</v>
      </c>
      <c r="P80" s="1" t="s">
        <v>64</v>
      </c>
      <c r="Q80" s="1"/>
      <c r="R80" s="1"/>
      <c r="T80">
        <v>40</v>
      </c>
      <c r="U80" s="1" t="s">
        <v>55</v>
      </c>
      <c r="V80" s="1" t="s">
        <v>56</v>
      </c>
      <c r="X80" s="11">
        <v>77</v>
      </c>
      <c r="Y80" s="10">
        <f ca="1">+DCOUNTA($B$1:$D$995,$C$1,X260:Z261)</f>
        <v>0</v>
      </c>
      <c r="Z80" s="10">
        <f ca="1">+DCOUNTA($B$1:$D$995,$C$1,X462:Z463)</f>
        <v>0</v>
      </c>
    </row>
    <row r="81" spans="5:26" ht="13.5" thickBot="1">
      <c r="E81" s="11">
        <v>78</v>
      </c>
      <c r="F81" s="10">
        <f ca="1">+DCOUNTA($B$1:$C$995,$C$1,E262:G263)</f>
        <v>0</v>
      </c>
      <c r="G81" s="10">
        <f ca="1">+DCOUNTA($B$1:$C$995,$C$1,E464:G465)</f>
        <v>0</v>
      </c>
      <c r="I81" s="11">
        <v>78</v>
      </c>
      <c r="J81" s="10">
        <f ca="1">+DCOUNTA($B$1:$D$995,$C$1,I262:K263)</f>
        <v>0</v>
      </c>
      <c r="K81" s="10">
        <f ca="1">+DCOUNTA($B$1:$D$995,$C$1,I464:K465)</f>
        <v>0</v>
      </c>
      <c r="N81" s="1" t="s">
        <v>42</v>
      </c>
      <c r="O81" s="1" t="s">
        <v>44</v>
      </c>
      <c r="P81" s="1" t="s">
        <v>43</v>
      </c>
      <c r="Q81" s="1"/>
      <c r="R81" s="1"/>
      <c r="T81" s="1" t="s">
        <v>42</v>
      </c>
      <c r="U81" s="1" t="s">
        <v>44</v>
      </c>
      <c r="V81" s="1" t="s">
        <v>43</v>
      </c>
      <c r="X81" s="11">
        <v>78</v>
      </c>
      <c r="Y81" s="10">
        <f ca="1">+DCOUNTA($B$1:$D$995,$C$1,X262:Z263)</f>
        <v>0</v>
      </c>
      <c r="Z81" s="10">
        <f ca="1">+DCOUNTA($B$1:$D$995,$C$1,X464:Z465)</f>
        <v>0</v>
      </c>
    </row>
    <row r="82" spans="5:26" ht="13.5" thickBot="1">
      <c r="E82" s="11">
        <v>79</v>
      </c>
      <c r="F82" s="10">
        <f ca="1">+DCOUNTA($B$1:$C$995,$C$1,E264:G265)</f>
        <v>0</v>
      </c>
      <c r="G82" s="10">
        <f ca="1">+DCOUNTA($B$1:$C$995,$C$1,E466:G467)</f>
        <v>0</v>
      </c>
      <c r="I82" s="11">
        <v>79</v>
      </c>
      <c r="J82" s="10">
        <f ca="1">+DCOUNTA($B$1:$D$995,$C$1,I264:K265)</f>
        <v>0</v>
      </c>
      <c r="K82" s="10">
        <f ca="1">+DCOUNTA($B$1:$D$995,$C$1,I466:K467)</f>
        <v>0</v>
      </c>
      <c r="N82">
        <v>41</v>
      </c>
      <c r="O82" s="1" t="s">
        <v>55</v>
      </c>
      <c r="P82" s="1" t="s">
        <v>64</v>
      </c>
      <c r="Q82" s="1"/>
      <c r="R82" s="1"/>
      <c r="T82">
        <v>41</v>
      </c>
      <c r="U82" s="1" t="s">
        <v>55</v>
      </c>
      <c r="V82" s="1" t="s">
        <v>56</v>
      </c>
      <c r="X82" s="11">
        <v>79</v>
      </c>
      <c r="Y82" s="10">
        <f ca="1">+DCOUNTA($B$1:$D$995,$C$1,X264:Z265)</f>
        <v>0</v>
      </c>
      <c r="Z82" s="10">
        <f ca="1">+DCOUNTA($B$1:$D$995,$C$1,X466:Z467)</f>
        <v>0</v>
      </c>
    </row>
    <row r="83" spans="5:26" ht="13.5" thickBot="1">
      <c r="E83" s="11">
        <v>80</v>
      </c>
      <c r="F83" s="10">
        <f ca="1">+DCOUNTA($B$1:$C$995,$C$1,E266:G267)</f>
        <v>0</v>
      </c>
      <c r="G83" s="10">
        <f ca="1">+DCOUNTA($B$1:$C$995,$C$1,E468:G469)</f>
        <v>0</v>
      </c>
      <c r="I83" s="11">
        <v>80</v>
      </c>
      <c r="J83" s="10">
        <f ca="1">+DCOUNTA($B$1:$D$995,$C$1,I266:K267)</f>
        <v>0</v>
      </c>
      <c r="K83" s="10">
        <f ca="1">+DCOUNTA($B$1:$D$995,$C$1,I468:K469)</f>
        <v>0</v>
      </c>
      <c r="N83" s="1" t="s">
        <v>42</v>
      </c>
      <c r="O83" s="1" t="s">
        <v>44</v>
      </c>
      <c r="P83" s="1" t="s">
        <v>43</v>
      </c>
      <c r="Q83" s="1"/>
      <c r="R83" s="1"/>
      <c r="T83" s="1" t="s">
        <v>42</v>
      </c>
      <c r="U83" s="1" t="s">
        <v>44</v>
      </c>
      <c r="V83" s="1" t="s">
        <v>43</v>
      </c>
      <c r="X83" s="11">
        <v>80</v>
      </c>
      <c r="Y83" s="10">
        <f ca="1">+DCOUNTA($B$1:$D$995,$C$1,X266:Z267)</f>
        <v>0</v>
      </c>
      <c r="Z83" s="10">
        <f ca="1">+DCOUNTA($B$1:$D$995,$C$1,X468:Z469)</f>
        <v>0</v>
      </c>
    </row>
    <row r="84" spans="5:26" ht="13.5" thickBot="1">
      <c r="E84" s="11">
        <v>81</v>
      </c>
      <c r="F84" s="10">
        <f ca="1">+DCOUNTA($B$1:$C$995,$C$1,E268:G269)</f>
        <v>0</v>
      </c>
      <c r="G84" s="10">
        <f ca="1">+DCOUNTA($B$1:$C$995,$C$1,E470:G471)</f>
        <v>0</v>
      </c>
      <c r="I84" s="11">
        <v>81</v>
      </c>
      <c r="J84" s="10">
        <f ca="1">+DCOUNTA($B$1:$D$995,$C$1,I268:K269)</f>
        <v>0</v>
      </c>
      <c r="K84" s="10">
        <f ca="1">+DCOUNTA($B$1:$D$995,$C$1,I470:K471)</f>
        <v>0</v>
      </c>
      <c r="N84">
        <v>42</v>
      </c>
      <c r="O84" s="1" t="s">
        <v>55</v>
      </c>
      <c r="P84" s="1" t="s">
        <v>64</v>
      </c>
      <c r="Q84" s="1"/>
      <c r="R84" s="1"/>
      <c r="T84">
        <v>42</v>
      </c>
      <c r="U84" s="1" t="s">
        <v>55</v>
      </c>
      <c r="V84" s="1" t="s">
        <v>56</v>
      </c>
      <c r="X84" s="11">
        <v>81</v>
      </c>
      <c r="Y84" s="10">
        <f ca="1">+DCOUNTA($B$1:$D$995,$C$1,X268:Z269)</f>
        <v>0</v>
      </c>
      <c r="Z84" s="10">
        <f ca="1">+DCOUNTA($B$1:$D$995,$C$1,X470:Z471)</f>
        <v>0</v>
      </c>
    </row>
    <row r="85" spans="5:26" ht="13.5" thickBot="1">
      <c r="E85" s="11">
        <v>82</v>
      </c>
      <c r="F85" s="10">
        <f ca="1">+DCOUNTA($B$1:$C$995,$C$1,E270:G271)</f>
        <v>0</v>
      </c>
      <c r="G85" s="10">
        <f ca="1">+DCOUNTA($B$1:$C$995,$C$1,E472:G473)</f>
        <v>0</v>
      </c>
      <c r="I85" s="11">
        <v>82</v>
      </c>
      <c r="J85" s="10">
        <f ca="1">+DCOUNTA($B$1:$D$995,$C$1,I270:K271)</f>
        <v>0</v>
      </c>
      <c r="K85" s="10">
        <f ca="1">+DCOUNTA($B$1:$D$995,$C$1,I472:K473)</f>
        <v>0</v>
      </c>
      <c r="N85" s="1" t="s">
        <v>42</v>
      </c>
      <c r="O85" s="1" t="s">
        <v>44</v>
      </c>
      <c r="P85" s="1" t="s">
        <v>43</v>
      </c>
      <c r="Q85" s="1"/>
      <c r="R85" s="1"/>
      <c r="T85" s="1" t="s">
        <v>42</v>
      </c>
      <c r="U85" s="1" t="s">
        <v>44</v>
      </c>
      <c r="V85" s="1" t="s">
        <v>43</v>
      </c>
      <c r="X85" s="11">
        <v>82</v>
      </c>
      <c r="Y85" s="10">
        <f ca="1">+DCOUNTA($B$1:$D$995,$C$1,X270:Z271)</f>
        <v>0</v>
      </c>
      <c r="Z85" s="10">
        <f ca="1">+DCOUNTA($B$1:$D$995,$C$1,X472:Z473)</f>
        <v>0</v>
      </c>
    </row>
    <row r="86" spans="5:26" ht="13.5" thickBot="1">
      <c r="E86" s="11">
        <v>83</v>
      </c>
      <c r="F86" s="10">
        <f ca="1">+DCOUNTA($B$1:$C$995,$C$1,E272:G273)</f>
        <v>0</v>
      </c>
      <c r="G86" s="10">
        <f ca="1">+DCOUNTA($B$1:$C$995,$C$1,E474:G475)</f>
        <v>0</v>
      </c>
      <c r="I86" s="11">
        <v>83</v>
      </c>
      <c r="J86" s="10">
        <f ca="1">+DCOUNTA($B$1:$D$995,$C$1,I272:K273)</f>
        <v>0</v>
      </c>
      <c r="K86" s="10">
        <f ca="1">+DCOUNTA($B$1:$D$995,$C$1,I474:K475)</f>
        <v>0</v>
      </c>
      <c r="N86">
        <v>43</v>
      </c>
      <c r="O86" s="1" t="s">
        <v>55</v>
      </c>
      <c r="P86" s="1" t="s">
        <v>64</v>
      </c>
      <c r="Q86" s="1"/>
      <c r="R86" s="1"/>
      <c r="T86">
        <v>43</v>
      </c>
      <c r="U86" s="1" t="s">
        <v>55</v>
      </c>
      <c r="V86" s="1" t="s">
        <v>56</v>
      </c>
      <c r="X86" s="11">
        <v>83</v>
      </c>
      <c r="Y86" s="10">
        <f ca="1">+DCOUNTA($B$1:$D$995,$C$1,X272:Z273)</f>
        <v>0</v>
      </c>
      <c r="Z86" s="10">
        <f ca="1">+DCOUNTA($B$1:$D$995,$C$1,X474:Z475)</f>
        <v>0</v>
      </c>
    </row>
    <row r="87" spans="5:26" ht="13.5" thickBot="1">
      <c r="E87" s="11">
        <v>84</v>
      </c>
      <c r="F87" s="10">
        <f ca="1">+DCOUNTA($B$1:$C$995,$C$1,E274:G275)</f>
        <v>0</v>
      </c>
      <c r="G87" s="10">
        <f ca="1">+DCOUNTA($B$1:$C$995,$C$1,E476:G477)</f>
        <v>0</v>
      </c>
      <c r="I87" s="11">
        <v>84</v>
      </c>
      <c r="J87" s="10">
        <f ca="1">+DCOUNTA($B$1:$D$995,$C$1,I274:K275)</f>
        <v>0</v>
      </c>
      <c r="K87" s="10">
        <f ca="1">+DCOUNTA($B$1:$D$995,$C$1,I476:K477)</f>
        <v>0</v>
      </c>
      <c r="N87" s="1" t="s">
        <v>42</v>
      </c>
      <c r="O87" s="1" t="s">
        <v>44</v>
      </c>
      <c r="P87" s="1" t="s">
        <v>43</v>
      </c>
      <c r="Q87" s="1"/>
      <c r="R87" s="1"/>
      <c r="T87" s="1" t="s">
        <v>42</v>
      </c>
      <c r="U87" s="1" t="s">
        <v>44</v>
      </c>
      <c r="V87" s="1" t="s">
        <v>43</v>
      </c>
      <c r="X87" s="11">
        <v>84</v>
      </c>
      <c r="Y87" s="10">
        <f ca="1">+DCOUNTA($B$1:$D$995,$C$1,X274:Z275)</f>
        <v>0</v>
      </c>
      <c r="Z87" s="10">
        <f ca="1">+DCOUNTA($B$1:$D$995,$C$1,X476:Z477)</f>
        <v>0</v>
      </c>
    </row>
    <row r="88" spans="5:26" ht="13.5" thickBot="1">
      <c r="E88" s="11">
        <v>85</v>
      </c>
      <c r="F88" s="10">
        <f ca="1">+DCOUNTA($B$1:$C$995,$C$1,E276:G277)</f>
        <v>0</v>
      </c>
      <c r="G88" s="10">
        <f ca="1">+DCOUNTA($B$1:$C$995,$C$1,E478:G479)</f>
        <v>0</v>
      </c>
      <c r="I88" s="11">
        <v>85</v>
      </c>
      <c r="J88" s="10">
        <f ca="1">+DCOUNTA($B$1:$D$995,$C$1,I276:K277)</f>
        <v>0</v>
      </c>
      <c r="K88" s="10">
        <f ca="1">+DCOUNTA($B$1:$D$995,$C$1,I478:K479)</f>
        <v>0</v>
      </c>
      <c r="N88">
        <v>44</v>
      </c>
      <c r="O88" s="1" t="s">
        <v>55</v>
      </c>
      <c r="P88" s="1" t="s">
        <v>64</v>
      </c>
      <c r="Q88" s="1"/>
      <c r="R88" s="1"/>
      <c r="T88">
        <v>44</v>
      </c>
      <c r="U88" s="1" t="s">
        <v>55</v>
      </c>
      <c r="V88" s="1" t="s">
        <v>56</v>
      </c>
      <c r="X88" s="11">
        <v>85</v>
      </c>
      <c r="Y88" s="10">
        <f ca="1">+DCOUNTA($B$1:$D$995,$C$1,X276:Z277)</f>
        <v>0</v>
      </c>
      <c r="Z88" s="10">
        <f ca="1">+DCOUNTA($B$1:$D$995,$C$1,X478:Z479)</f>
        <v>0</v>
      </c>
    </row>
    <row r="89" spans="5:26" ht="13.5" thickBot="1">
      <c r="E89" s="11">
        <v>86</v>
      </c>
      <c r="F89" s="10">
        <f ca="1">+DCOUNTA($B$1:$C$995,$C$1,E278:G279)</f>
        <v>0</v>
      </c>
      <c r="G89" s="10">
        <f ca="1">+DCOUNTA($B$1:$C$995,$C$1,E480:G481)</f>
        <v>0</v>
      </c>
      <c r="I89" s="11">
        <v>86</v>
      </c>
      <c r="J89" s="10">
        <f ca="1">+DCOUNTA($B$1:$D$995,$C$1,I278:K279)</f>
        <v>0</v>
      </c>
      <c r="K89" s="10">
        <f ca="1">+DCOUNTA($B$1:$D$995,$C$1,I480:K481)</f>
        <v>0</v>
      </c>
      <c r="N89" s="1" t="s">
        <v>42</v>
      </c>
      <c r="O89" s="1" t="s">
        <v>44</v>
      </c>
      <c r="P89" s="1" t="s">
        <v>43</v>
      </c>
      <c r="Q89" s="1"/>
      <c r="R89" s="1"/>
      <c r="X89" s="11">
        <v>86</v>
      </c>
      <c r="Y89" s="10">
        <f ca="1">+DCOUNTA($B$1:$D$995,$C$1,X278:Z279)</f>
        <v>0</v>
      </c>
      <c r="Z89" s="10">
        <f ca="1">+DCOUNTA($B$1:$D$995,$C$1,X480:Z481)</f>
        <v>0</v>
      </c>
    </row>
    <row r="90" spans="5:26" ht="13.5" thickBot="1">
      <c r="E90" s="11">
        <v>87</v>
      </c>
      <c r="F90" s="10">
        <f ca="1">+DCOUNTA($B$1:$C$995,$C$1,E280:G281)</f>
        <v>0</v>
      </c>
      <c r="G90" s="10">
        <f ca="1">+DCOUNTA($B$1:$C$995,$C$1,E482:G483)</f>
        <v>0</v>
      </c>
      <c r="I90" s="11">
        <v>87</v>
      </c>
      <c r="J90" s="10">
        <f ca="1">+DCOUNTA($B$1:$D$995,$C$1,I280:K281)</f>
        <v>0</v>
      </c>
      <c r="K90" s="10">
        <f ca="1">+DCOUNTA($B$1:$D$995,$C$1,I482:K483)</f>
        <v>0</v>
      </c>
      <c r="N90">
        <v>18</v>
      </c>
      <c r="O90" s="1" t="s">
        <v>55</v>
      </c>
      <c r="P90" s="1" t="s">
        <v>13</v>
      </c>
      <c r="Q90" s="1"/>
      <c r="R90" s="1"/>
      <c r="S90" s="1"/>
      <c r="T90" s="1"/>
      <c r="U90" s="1"/>
      <c r="V90" s="1"/>
      <c r="X90" s="11">
        <v>87</v>
      </c>
      <c r="Y90" s="10">
        <f ca="1">+DCOUNTA($B$1:$D$995,$C$1,X280:Z281)</f>
        <v>0</v>
      </c>
      <c r="Z90" s="10">
        <f ca="1">+DCOUNTA($B$1:$D$995,$C$1,X482:Z483)</f>
        <v>0</v>
      </c>
    </row>
    <row r="91" spans="5:26" ht="13.5" thickBot="1">
      <c r="E91" s="11">
        <v>88</v>
      </c>
      <c r="F91" s="10">
        <f ca="1">+DCOUNTA($B$1:$C$995,$C$1,E282:G283)</f>
        <v>0</v>
      </c>
      <c r="G91" s="10">
        <f ca="1">+DCOUNTA($B$1:$C$995,$C$1,E484:G485)</f>
        <v>0</v>
      </c>
      <c r="I91" s="11">
        <v>88</v>
      </c>
      <c r="J91" s="10">
        <f ca="1">+DCOUNTA($B$1:$D$995,$C$1,I282:K283)</f>
        <v>0</v>
      </c>
      <c r="K91" s="10">
        <f ca="1">+DCOUNTA($B$1:$D$995,$C$1,I484:K485)</f>
        <v>0</v>
      </c>
      <c r="N91" s="1" t="s">
        <v>42</v>
      </c>
      <c r="O91" s="1" t="s">
        <v>44</v>
      </c>
      <c r="P91" s="1" t="s">
        <v>43</v>
      </c>
      <c r="Q91" s="1"/>
      <c r="R91" s="1"/>
      <c r="S91" s="1"/>
      <c r="U91" s="1"/>
      <c r="V91" s="1"/>
      <c r="X91" s="11">
        <v>88</v>
      </c>
      <c r="Y91" s="10">
        <f ca="1">+DCOUNTA($B$1:$D$995,$C$1,X282:Z283)</f>
        <v>0</v>
      </c>
      <c r="Z91" s="10">
        <f ca="1">+DCOUNTA($B$1:$D$995,$C$1,X484:Z485)</f>
        <v>0</v>
      </c>
    </row>
    <row r="92" spans="5:26" ht="13.5" thickBot="1">
      <c r="E92" s="11">
        <v>89</v>
      </c>
      <c r="F92" s="10">
        <f ca="1">+DCOUNTA($B$1:$C$995,$C$1,E284:G285)</f>
        <v>0</v>
      </c>
      <c r="G92" s="10">
        <f ca="1">+DCOUNTA($B$1:$C$995,$C$1,E486:G487)</f>
        <v>0</v>
      </c>
      <c r="I92" s="11">
        <v>89</v>
      </c>
      <c r="J92" s="10">
        <f ca="1">+DCOUNTA($B$1:$D$995,$C$1,I284:K285)</f>
        <v>0</v>
      </c>
      <c r="K92" s="10">
        <f ca="1">+DCOUNTA($B$1:$D$995,$C$1,I486:K487)</f>
        <v>0</v>
      </c>
      <c r="N92">
        <v>19</v>
      </c>
      <c r="O92" s="1" t="s">
        <v>55</v>
      </c>
      <c r="P92" s="1" t="s">
        <v>13</v>
      </c>
      <c r="Q92" s="1"/>
      <c r="R92" s="1"/>
      <c r="S92" s="1"/>
      <c r="T92" s="1"/>
      <c r="U92" s="1"/>
      <c r="V92" s="1"/>
      <c r="X92" s="11">
        <v>89</v>
      </c>
      <c r="Y92" s="10">
        <f ca="1">+DCOUNTA($B$1:$D$995,$C$1,X284:Z285)</f>
        <v>0</v>
      </c>
      <c r="Z92" s="10">
        <f ca="1">+DCOUNTA($B$1:$D$995,$C$1,X486:Z487)</f>
        <v>0</v>
      </c>
    </row>
    <row r="93" spans="5:26" ht="13.5" thickBot="1">
      <c r="E93" s="11">
        <v>90</v>
      </c>
      <c r="F93" s="10">
        <f ca="1">+DCOUNTA($B$1:$C$995,$C$1,E286:G287)</f>
        <v>0</v>
      </c>
      <c r="G93" s="10">
        <f ca="1">+DCOUNTA($B$1:$C$995,$C$1,E488:G489)</f>
        <v>0</v>
      </c>
      <c r="I93" s="11">
        <v>90</v>
      </c>
      <c r="J93" s="10">
        <f ca="1">+DCOUNTA($B$1:$D$995,$C$1,I286:K287)</f>
        <v>0</v>
      </c>
      <c r="K93" s="10">
        <f ca="1">+DCOUNTA($B$1:$D$995,$C$1,I488:K489)</f>
        <v>0</v>
      </c>
      <c r="N93" s="1" t="s">
        <v>42</v>
      </c>
      <c r="O93" s="1" t="s">
        <v>44</v>
      </c>
      <c r="P93" s="1" t="s">
        <v>43</v>
      </c>
      <c r="Q93" s="1"/>
      <c r="R93" s="1"/>
      <c r="S93" s="1"/>
      <c r="U93" s="1"/>
      <c r="V93" s="1"/>
      <c r="X93" s="11">
        <v>90</v>
      </c>
      <c r="Y93" s="10">
        <f ca="1">+DCOUNTA($B$1:$D$995,$C$1,X286:Z287)</f>
        <v>0</v>
      </c>
      <c r="Z93" s="10">
        <f ca="1">+DCOUNTA($B$1:$D$995,$C$1,X488:Z489)</f>
        <v>0</v>
      </c>
    </row>
    <row r="94" spans="5:26" ht="13.5" thickBot="1">
      <c r="E94" s="11">
        <v>91</v>
      </c>
      <c r="F94" s="10">
        <f ca="1">+DCOUNTA($B$1:$C$995,$C$1,E288:G289)</f>
        <v>0</v>
      </c>
      <c r="G94" s="10">
        <f ca="1">+DCOUNTA($B$1:$C$995,$C$1,E490:G491)</f>
        <v>0</v>
      </c>
      <c r="I94" s="11">
        <v>91</v>
      </c>
      <c r="J94" s="10">
        <f ca="1">+DCOUNTA($B$1:$D$995,$C$1,I288:K289)</f>
        <v>0</v>
      </c>
      <c r="K94" s="10">
        <f ca="1">+DCOUNTA($B$1:$D$995,$C$1,I490:K491)</f>
        <v>0</v>
      </c>
      <c r="N94">
        <v>20</v>
      </c>
      <c r="O94" s="1" t="s">
        <v>55</v>
      </c>
      <c r="P94" s="1" t="s">
        <v>13</v>
      </c>
      <c r="Q94" s="1"/>
      <c r="R94" s="1"/>
      <c r="S94" s="1"/>
      <c r="T94" s="1"/>
      <c r="U94" s="1"/>
      <c r="V94" s="1"/>
      <c r="X94" s="11">
        <v>91</v>
      </c>
      <c r="Y94" s="10">
        <f ca="1">+DCOUNTA($B$1:$D$995,$C$1,X288:Z289)</f>
        <v>0</v>
      </c>
      <c r="Z94" s="10">
        <f ca="1">+DCOUNTA($B$1:$D$995,$C$1,X490:Z491)</f>
        <v>0</v>
      </c>
    </row>
    <row r="95" spans="5:26" ht="13.5" thickBot="1">
      <c r="E95" s="11">
        <v>92</v>
      </c>
      <c r="F95" s="10">
        <f ca="1">+DCOUNTA($B$1:$C$995,$C$1,E290:G291)</f>
        <v>0</v>
      </c>
      <c r="G95" s="10">
        <f ca="1">+DCOUNTA($B$1:$C$995,$C$1,E492:G493)</f>
        <v>0</v>
      </c>
      <c r="I95" s="11">
        <v>92</v>
      </c>
      <c r="J95" s="10">
        <f ca="1">+DCOUNTA($B$1:$D$995,$C$1,I290:K291)</f>
        <v>0</v>
      </c>
      <c r="K95" s="10">
        <f ca="1">+DCOUNTA($B$1:$D$995,$C$1,I492:K493)</f>
        <v>0</v>
      </c>
      <c r="L95" s="1"/>
      <c r="N95" s="1" t="s">
        <v>42</v>
      </c>
      <c r="O95" s="1" t="s">
        <v>44</v>
      </c>
      <c r="P95" s="1" t="s">
        <v>43</v>
      </c>
      <c r="Q95" s="1"/>
      <c r="R95" s="1"/>
      <c r="S95" s="1"/>
      <c r="U95" s="1"/>
      <c r="V95" s="1"/>
      <c r="X95" s="11">
        <v>92</v>
      </c>
      <c r="Y95" s="10">
        <f ca="1">+DCOUNTA($B$1:$D$995,$C$1,X290:Z291)</f>
        <v>0</v>
      </c>
      <c r="Z95" s="10">
        <f ca="1">+DCOUNTA($B$1:$D$995,$C$1,X492:Z493)</f>
        <v>0</v>
      </c>
    </row>
    <row r="96" spans="5:26" ht="13.5" thickBot="1">
      <c r="E96" s="11">
        <v>93</v>
      </c>
      <c r="F96" s="10">
        <f ca="1">+DCOUNTA($B$1:$C$995,$C$1,E292:G293)</f>
        <v>0</v>
      </c>
      <c r="G96" s="10">
        <f ca="1">+DCOUNTA($B$1:$C$995,$C$1,E494:G495)</f>
        <v>0</v>
      </c>
      <c r="I96" s="11">
        <v>93</v>
      </c>
      <c r="J96" s="10">
        <f ca="1">+DCOUNTA($B$1:$D$995,$C$1,I292:K293)</f>
        <v>0</v>
      </c>
      <c r="K96" s="10">
        <f ca="1">+DCOUNTA($B$1:$D$995,$C$1,I494:K495)</f>
        <v>0</v>
      </c>
      <c r="N96">
        <v>21</v>
      </c>
      <c r="O96" s="1" t="s">
        <v>55</v>
      </c>
      <c r="P96" s="1" t="s">
        <v>13</v>
      </c>
      <c r="Q96" s="1"/>
      <c r="R96" s="1"/>
      <c r="S96" s="1"/>
      <c r="T96" s="1"/>
      <c r="U96" s="1"/>
      <c r="V96" s="1"/>
      <c r="X96" s="11">
        <v>93</v>
      </c>
      <c r="Y96" s="10">
        <f ca="1">+DCOUNTA($B$1:$D$995,$C$1,X292:Z293)</f>
        <v>0</v>
      </c>
      <c r="Z96" s="10">
        <f ca="1">+DCOUNTA($B$1:$D$995,$C$1,X494:Z495)</f>
        <v>0</v>
      </c>
    </row>
    <row r="97" spans="5:27" ht="13.5" thickBot="1">
      <c r="E97" s="11">
        <v>94</v>
      </c>
      <c r="F97" s="10">
        <f ca="1">+DCOUNTA($B$1:$C$995,$C$1,E294:G295)</f>
        <v>0</v>
      </c>
      <c r="G97" s="10">
        <f ca="1">+DCOUNTA($B$1:$C$995,$C$1,E496:G497)</f>
        <v>0</v>
      </c>
      <c r="I97" s="11">
        <v>94</v>
      </c>
      <c r="J97" s="10">
        <f ca="1">+DCOUNTA($B$1:$D$995,$C$1,I294:K295)</f>
        <v>0</v>
      </c>
      <c r="K97" s="10">
        <f ca="1">+DCOUNTA($B$1:$D$995,$C$1,I496:K497)</f>
        <v>0</v>
      </c>
      <c r="N97" s="1" t="s">
        <v>42</v>
      </c>
      <c r="O97" s="1" t="s">
        <v>44</v>
      </c>
      <c r="P97" s="1" t="s">
        <v>43</v>
      </c>
      <c r="Q97" s="1"/>
      <c r="R97" s="1"/>
      <c r="S97" s="1"/>
      <c r="U97" s="1"/>
      <c r="V97" s="1"/>
      <c r="X97" s="11">
        <v>94</v>
      </c>
      <c r="Y97" s="10">
        <f ca="1">+DCOUNTA($B$1:$D$995,$C$1,X294:Z295)</f>
        <v>0</v>
      </c>
      <c r="Z97" s="10">
        <f ca="1">+DCOUNTA($B$1:$D$995,$C$1,X496:Z497)</f>
        <v>0</v>
      </c>
    </row>
    <row r="98" spans="5:27" ht="13.5" thickBot="1">
      <c r="E98" s="11">
        <v>95</v>
      </c>
      <c r="F98" s="10">
        <f ca="1">+DCOUNTA($B$1:$C$995,$C$1,E296:G297)</f>
        <v>0</v>
      </c>
      <c r="G98" s="10">
        <f ca="1">+DCOUNTA($B$1:$C$995,$C$1,E498:G499)</f>
        <v>0</v>
      </c>
      <c r="I98" s="11">
        <v>95</v>
      </c>
      <c r="J98" s="10">
        <f ca="1">+DCOUNTA($B$1:$D$995,$C$1,I296:K297)</f>
        <v>0</v>
      </c>
      <c r="K98" s="10">
        <f ca="1">+DCOUNTA($B$1:$D$995,$C$1,I498:K499)</f>
        <v>0</v>
      </c>
      <c r="N98">
        <v>22</v>
      </c>
      <c r="O98" s="1" t="s">
        <v>55</v>
      </c>
      <c r="P98" s="1" t="s">
        <v>13</v>
      </c>
      <c r="Q98" s="1"/>
      <c r="R98" s="1"/>
      <c r="S98" s="1"/>
      <c r="T98" s="1"/>
      <c r="U98" s="1"/>
      <c r="V98" s="1"/>
      <c r="X98" s="11">
        <v>95</v>
      </c>
      <c r="Y98" s="10">
        <f ca="1">+DCOUNTA($B$1:$D$995,$C$1,X296:Z297)</f>
        <v>0</v>
      </c>
      <c r="Z98" s="10">
        <f ca="1">+DCOUNTA($B$1:$D$995,$C$1,X498:Z499)</f>
        <v>0</v>
      </c>
    </row>
    <row r="99" spans="5:27" ht="13.5" thickBot="1">
      <c r="E99" s="11">
        <v>96</v>
      </c>
      <c r="F99" s="10">
        <f ca="1">+DCOUNTA($B$1:$C$995,$C$1,E298:G299)</f>
        <v>0</v>
      </c>
      <c r="G99" s="10">
        <f ca="1">+DCOUNTA($B$1:$C$995,$C$1,E500:G501)</f>
        <v>0</v>
      </c>
      <c r="I99" s="11">
        <v>96</v>
      </c>
      <c r="J99" s="10">
        <f ca="1">+DCOUNTA($B$1:$D$995,$C$1,I298:K299)</f>
        <v>0</v>
      </c>
      <c r="K99" s="10">
        <f ca="1">+DCOUNTA($B$1:$D$995,$C$1,I500:K501)</f>
        <v>0</v>
      </c>
      <c r="N99" s="1" t="s">
        <v>42</v>
      </c>
      <c r="O99" s="1" t="s">
        <v>44</v>
      </c>
      <c r="P99" s="1" t="s">
        <v>43</v>
      </c>
      <c r="Q99" s="1"/>
      <c r="R99" s="1"/>
      <c r="S99" s="1"/>
      <c r="U99" s="1"/>
      <c r="V99" s="1"/>
      <c r="X99" s="11">
        <v>96</v>
      </c>
      <c r="Y99" s="10">
        <f ca="1">+DCOUNTA($B$1:$D$995,$C$1,X298:Z299)</f>
        <v>0</v>
      </c>
      <c r="Z99" s="10">
        <f ca="1">+DCOUNTA($B$1:$D$995,$C$1,X500:Z501)</f>
        <v>0</v>
      </c>
    </row>
    <row r="100" spans="5:27" ht="13.5" thickBot="1">
      <c r="E100" s="11">
        <v>97</v>
      </c>
      <c r="F100" s="10">
        <f ca="1">+DCOUNTA($B$1:$C$995,$C$1,E300:G301)</f>
        <v>0</v>
      </c>
      <c r="G100" s="10">
        <f ca="1">+DCOUNTA($B$1:$C$995,$C$1,E502:G503)</f>
        <v>0</v>
      </c>
      <c r="I100" s="11">
        <v>97</v>
      </c>
      <c r="J100" s="10">
        <f ca="1">+DCOUNTA($B$1:$D$995,$C$1,I300:K301)</f>
        <v>0</v>
      </c>
      <c r="K100" s="10">
        <f ca="1">+DCOUNTA($B$1:$D$995,$C$1,I502:K503)</f>
        <v>0</v>
      </c>
      <c r="N100">
        <v>23</v>
      </c>
      <c r="O100" s="1" t="s">
        <v>55</v>
      </c>
      <c r="P100" s="1" t="s">
        <v>13</v>
      </c>
      <c r="Q100" s="1"/>
      <c r="R100" s="1"/>
      <c r="S100" s="1"/>
      <c r="T100" s="1"/>
      <c r="U100" s="1"/>
      <c r="V100" s="1"/>
      <c r="X100" s="11">
        <v>97</v>
      </c>
      <c r="Y100" s="10">
        <f ca="1">+DCOUNTA($B$1:$D$995,$C$1,X300:Z301)</f>
        <v>0</v>
      </c>
      <c r="Z100" s="10">
        <f ca="1">+DCOUNTA($B$1:$D$995,$C$1,X502:Z503)</f>
        <v>0</v>
      </c>
    </row>
    <row r="101" spans="5:27" ht="13.5" thickBot="1">
      <c r="E101" s="11">
        <v>98</v>
      </c>
      <c r="F101" s="10">
        <f ca="1">+DCOUNTA($B$1:$C$995,$C$1,E302:G303)</f>
        <v>0</v>
      </c>
      <c r="G101" s="10">
        <f ca="1">+DCOUNTA($B$1:$C$995,$C$1,E504:G505)</f>
        <v>0</v>
      </c>
      <c r="I101" s="11">
        <v>98</v>
      </c>
      <c r="J101" s="10">
        <f ca="1">+DCOUNTA($B$1:$D$995,$C$1,I302:K303)</f>
        <v>0</v>
      </c>
      <c r="K101" s="10">
        <f ca="1">+DCOUNTA($B$1:$D$995,$C$1,I504:K505)</f>
        <v>0</v>
      </c>
      <c r="N101" s="1" t="s">
        <v>42</v>
      </c>
      <c r="O101" s="1" t="s">
        <v>44</v>
      </c>
      <c r="P101" s="1" t="s">
        <v>43</v>
      </c>
      <c r="Q101" s="1"/>
      <c r="R101" s="1"/>
      <c r="S101" s="1"/>
      <c r="U101" s="1"/>
      <c r="V101" s="1"/>
      <c r="X101" s="11">
        <v>98</v>
      </c>
      <c r="Y101" s="10">
        <f ca="1">+DCOUNTA($B$1:$D$995,$C$1,X302:Z303)</f>
        <v>0</v>
      </c>
      <c r="Z101" s="10">
        <f ca="1">+DCOUNTA($B$1:$D$995,$C$1,X504:Z505)</f>
        <v>0</v>
      </c>
    </row>
    <row r="102" spans="5:27" ht="13.5" thickBot="1">
      <c r="E102" s="11">
        <v>99</v>
      </c>
      <c r="F102" s="10">
        <f ca="1">+DCOUNTA($B$1:$C$995,$C$1,E304:G305)</f>
        <v>0</v>
      </c>
      <c r="G102" s="10">
        <f ca="1">+DCOUNTA($B$1:$C$995,$C$1,E506:G507)</f>
        <v>0</v>
      </c>
      <c r="I102" s="11">
        <v>99</v>
      </c>
      <c r="J102" s="10">
        <f ca="1">+DCOUNTA($B$1:$D$995,$C$1,I304:K305)</f>
        <v>0</v>
      </c>
      <c r="K102" s="10">
        <f ca="1">+DCOUNTA($B$1:$D$995,$C$1,I506:K507)</f>
        <v>0</v>
      </c>
      <c r="N102">
        <v>24</v>
      </c>
      <c r="O102" s="1" t="s">
        <v>55</v>
      </c>
      <c r="P102" s="1" t="s">
        <v>13</v>
      </c>
      <c r="Q102" s="1"/>
      <c r="R102" s="1"/>
      <c r="S102" s="1"/>
      <c r="T102" s="1"/>
      <c r="U102" s="1"/>
      <c r="V102" s="1"/>
      <c r="X102" s="11">
        <v>99</v>
      </c>
      <c r="Y102" s="10">
        <f ca="1">+DCOUNTA($B$1:$D$995,$C$1,X304:Z305)</f>
        <v>0</v>
      </c>
      <c r="Z102" s="10">
        <f ca="1">+DCOUNTA($B$1:$D$995,$C$1,X506:Z507)</f>
        <v>0</v>
      </c>
    </row>
    <row r="103" spans="5:27" ht="13">
      <c r="E103" s="11">
        <v>100</v>
      </c>
      <c r="F103" s="10">
        <f ca="1">+DCOUNTA($B$1:$C$995,$C$1,E306:G307)</f>
        <v>0</v>
      </c>
      <c r="G103" s="10">
        <f ca="1">+DCOUNTA($B$1:$C$995,$C$1,E508:G509)</f>
        <v>0</v>
      </c>
      <c r="H103" s="5"/>
      <c r="I103" s="11">
        <v>100</v>
      </c>
      <c r="J103" s="10">
        <f ca="1">+DCOUNTA($B$1:$D$995,$C$1,I306:K307)</f>
        <v>0</v>
      </c>
      <c r="K103" s="10">
        <f ca="1">+DCOUNTA($B$1:$D$995,$C$1,I508:K509)</f>
        <v>0</v>
      </c>
      <c r="N103" s="1" t="s">
        <v>42</v>
      </c>
      <c r="O103" s="1" t="s">
        <v>44</v>
      </c>
      <c r="P103" s="1" t="s">
        <v>43</v>
      </c>
      <c r="Q103" s="1"/>
      <c r="R103" s="1"/>
      <c r="S103" s="1"/>
      <c r="U103" s="1"/>
      <c r="V103" s="1"/>
      <c r="X103" s="11">
        <v>100</v>
      </c>
      <c r="Y103" s="10">
        <f ca="1">+DCOUNTA($B$1:$D$995,$C$1,X306:Z307)</f>
        <v>0</v>
      </c>
      <c r="Z103" s="10">
        <f ca="1">+DCOUNTA($B$1:$D$995,$C$1,X508:Z509)</f>
        <v>0</v>
      </c>
    </row>
    <row r="104" spans="5:27" ht="13.5" thickBot="1">
      <c r="E104" s="12" t="s">
        <v>52</v>
      </c>
      <c r="F104" s="13">
        <f ca="1">SUM(F3:F103)</f>
        <v>0</v>
      </c>
      <c r="G104" s="14">
        <f ca="1">SUM(G3:G103)</f>
        <v>0</v>
      </c>
      <c r="H104" s="17"/>
      <c r="I104" s="12" t="s">
        <v>52</v>
      </c>
      <c r="J104" s="13">
        <f ca="1">SUM(J3:J103)</f>
        <v>0</v>
      </c>
      <c r="K104" s="14">
        <f ca="1">SUM(K3:K103)</f>
        <v>0</v>
      </c>
      <c r="N104">
        <v>25</v>
      </c>
      <c r="O104" s="1" t="s">
        <v>55</v>
      </c>
      <c r="P104" s="1" t="s">
        <v>13</v>
      </c>
      <c r="Q104" s="1"/>
      <c r="R104" s="1"/>
      <c r="S104" s="1"/>
      <c r="T104" s="1"/>
      <c r="U104" s="1"/>
      <c r="V104" s="1"/>
      <c r="X104" s="12" t="s">
        <v>52</v>
      </c>
      <c r="Y104" s="13">
        <f ca="1">SUM(Y3:Y103)</f>
        <v>0</v>
      </c>
      <c r="Z104" s="14">
        <f ca="1">SUM(Z3:Z103)</f>
        <v>0</v>
      </c>
      <c r="AA104" s="55">
        <f ca="1">+Y104+Z104</f>
        <v>0</v>
      </c>
    </row>
    <row r="105" spans="5:27">
      <c r="N105" s="1" t="s">
        <v>42</v>
      </c>
      <c r="O105" s="1" t="s">
        <v>44</v>
      </c>
      <c r="P105" s="1" t="s">
        <v>43</v>
      </c>
      <c r="Q105" s="1"/>
      <c r="R105" s="1"/>
      <c r="S105" s="1"/>
      <c r="U105" s="1"/>
      <c r="V105" s="1"/>
      <c r="W105" s="1"/>
    </row>
    <row r="106" spans="5:27">
      <c r="F106" s="1" t="s">
        <v>42</v>
      </c>
      <c r="G106" s="1" t="s">
        <v>44</v>
      </c>
      <c r="H106" s="1"/>
      <c r="I106" s="1" t="s">
        <v>42</v>
      </c>
      <c r="J106" s="1" t="s">
        <v>44</v>
      </c>
      <c r="K106" s="1" t="s">
        <v>43</v>
      </c>
      <c r="N106">
        <v>26</v>
      </c>
      <c r="O106" s="1" t="s">
        <v>55</v>
      </c>
      <c r="P106" s="1" t="s">
        <v>13</v>
      </c>
      <c r="Q106" s="1"/>
      <c r="R106" s="1"/>
      <c r="S106" s="1"/>
      <c r="T106" s="1"/>
      <c r="U106" s="1"/>
      <c r="V106" s="1"/>
      <c r="W106" s="1"/>
      <c r="X106" s="1" t="s">
        <v>42</v>
      </c>
      <c r="Y106" s="1" t="s">
        <v>44</v>
      </c>
      <c r="Z106" s="1" t="s">
        <v>43</v>
      </c>
    </row>
    <row r="107" spans="5:27">
      <c r="F107">
        <v>0</v>
      </c>
      <c r="G107" s="1" t="str">
        <f>"M"</f>
        <v>M</v>
      </c>
      <c r="H107" s="1"/>
      <c r="I107">
        <v>0</v>
      </c>
      <c r="J107" s="1" t="s">
        <v>53</v>
      </c>
      <c r="K107" s="1" t="s">
        <v>54</v>
      </c>
      <c r="N107" s="1" t="s">
        <v>42</v>
      </c>
      <c r="O107" s="1" t="s">
        <v>44</v>
      </c>
      <c r="P107" s="1" t="s">
        <v>43</v>
      </c>
      <c r="Q107" s="1"/>
      <c r="R107" s="1"/>
      <c r="S107" s="1"/>
      <c r="U107" s="1"/>
      <c r="V107" s="1"/>
      <c r="W107" s="1"/>
      <c r="X107">
        <v>0</v>
      </c>
      <c r="Y107" s="1" t="s">
        <v>53</v>
      </c>
      <c r="Z107" s="1" t="s">
        <v>56</v>
      </c>
    </row>
    <row r="108" spans="5:27">
      <c r="F108" s="1" t="s">
        <v>42</v>
      </c>
      <c r="G108" s="1" t="s">
        <v>44</v>
      </c>
      <c r="H108" s="1"/>
      <c r="I108" s="1" t="s">
        <v>42</v>
      </c>
      <c r="J108" s="1" t="s">
        <v>44</v>
      </c>
      <c r="K108" s="1" t="s">
        <v>43</v>
      </c>
      <c r="N108">
        <v>27</v>
      </c>
      <c r="O108" s="1" t="s">
        <v>55</v>
      </c>
      <c r="P108" s="1" t="s">
        <v>13</v>
      </c>
      <c r="Q108" s="1"/>
      <c r="R108" s="1"/>
      <c r="S108" s="1"/>
      <c r="T108" s="1"/>
      <c r="U108" s="1"/>
      <c r="V108" s="1"/>
      <c r="W108" s="1"/>
      <c r="X108" s="1" t="s">
        <v>42</v>
      </c>
      <c r="Y108" s="1" t="s">
        <v>44</v>
      </c>
      <c r="Z108" s="1" t="s">
        <v>43</v>
      </c>
    </row>
    <row r="109" spans="5:27">
      <c r="F109">
        <v>1</v>
      </c>
      <c r="G109" s="1" t="s">
        <v>53</v>
      </c>
      <c r="H109" s="1"/>
      <c r="I109">
        <v>1</v>
      </c>
      <c r="J109" s="1" t="s">
        <v>53</v>
      </c>
      <c r="K109" s="1" t="s">
        <v>54</v>
      </c>
      <c r="N109" s="1" t="s">
        <v>42</v>
      </c>
      <c r="O109" s="1" t="s">
        <v>44</v>
      </c>
      <c r="P109" s="1" t="s">
        <v>43</v>
      </c>
      <c r="Q109" s="1"/>
      <c r="R109" s="1"/>
      <c r="S109" s="1"/>
      <c r="U109" s="1"/>
      <c r="V109" s="1"/>
      <c r="W109" s="1"/>
      <c r="X109">
        <v>1</v>
      </c>
      <c r="Y109" s="1" t="s">
        <v>53</v>
      </c>
      <c r="Z109" s="1" t="s">
        <v>56</v>
      </c>
    </row>
    <row r="110" spans="5:27">
      <c r="F110" s="1" t="s">
        <v>42</v>
      </c>
      <c r="G110" s="1" t="s">
        <v>44</v>
      </c>
      <c r="H110" s="1"/>
      <c r="I110" s="1" t="s">
        <v>42</v>
      </c>
      <c r="J110" s="1" t="s">
        <v>44</v>
      </c>
      <c r="K110" s="1" t="s">
        <v>43</v>
      </c>
      <c r="N110">
        <v>28</v>
      </c>
      <c r="O110" s="1" t="s">
        <v>55</v>
      </c>
      <c r="P110" s="1" t="s">
        <v>13</v>
      </c>
      <c r="Q110" s="1"/>
      <c r="R110" s="1"/>
      <c r="S110" s="1"/>
      <c r="T110" s="1"/>
      <c r="U110" s="1"/>
      <c r="V110" s="1"/>
      <c r="W110" s="1"/>
      <c r="X110" s="1" t="s">
        <v>42</v>
      </c>
      <c r="Y110" s="1" t="s">
        <v>44</v>
      </c>
      <c r="Z110" s="1" t="s">
        <v>43</v>
      </c>
    </row>
    <row r="111" spans="5:27">
      <c r="F111">
        <v>2</v>
      </c>
      <c r="G111" s="1" t="s">
        <v>53</v>
      </c>
      <c r="H111" s="1"/>
      <c r="I111">
        <v>2</v>
      </c>
      <c r="J111" s="1" t="s">
        <v>53</v>
      </c>
      <c r="K111" s="1" t="s">
        <v>54</v>
      </c>
      <c r="N111" s="1" t="s">
        <v>42</v>
      </c>
      <c r="O111" s="1" t="s">
        <v>44</v>
      </c>
      <c r="P111" s="1" t="s">
        <v>43</v>
      </c>
      <c r="Q111" s="1"/>
      <c r="R111" s="1"/>
      <c r="S111" s="1"/>
      <c r="U111" s="1"/>
      <c r="V111" s="1"/>
      <c r="W111" s="1"/>
      <c r="X111">
        <v>2</v>
      </c>
      <c r="Y111" s="1" t="s">
        <v>53</v>
      </c>
      <c r="Z111" s="1" t="s">
        <v>56</v>
      </c>
    </row>
    <row r="112" spans="5:27">
      <c r="F112" s="1" t="s">
        <v>42</v>
      </c>
      <c r="G112" s="1" t="s">
        <v>44</v>
      </c>
      <c r="H112" s="1"/>
      <c r="I112" s="1" t="s">
        <v>42</v>
      </c>
      <c r="J112" s="1" t="s">
        <v>44</v>
      </c>
      <c r="K112" s="1" t="s">
        <v>43</v>
      </c>
      <c r="N112">
        <v>29</v>
      </c>
      <c r="O112" s="1" t="s">
        <v>55</v>
      </c>
      <c r="P112" s="1" t="s">
        <v>13</v>
      </c>
      <c r="Q112" s="1"/>
      <c r="R112" s="1"/>
      <c r="S112" s="1"/>
      <c r="T112" s="1"/>
      <c r="U112" s="1"/>
      <c r="V112" s="1"/>
      <c r="W112" s="1"/>
      <c r="X112" s="1" t="s">
        <v>42</v>
      </c>
      <c r="Y112" s="1" t="s">
        <v>44</v>
      </c>
      <c r="Z112" s="1" t="s">
        <v>43</v>
      </c>
    </row>
    <row r="113" spans="6:26">
      <c r="F113">
        <v>3</v>
      </c>
      <c r="G113" s="1" t="s">
        <v>53</v>
      </c>
      <c r="H113" s="1"/>
      <c r="I113">
        <v>3</v>
      </c>
      <c r="J113" s="1" t="s">
        <v>53</v>
      </c>
      <c r="K113" s="1" t="s">
        <v>54</v>
      </c>
      <c r="N113" s="1" t="s">
        <v>42</v>
      </c>
      <c r="O113" s="1" t="s">
        <v>44</v>
      </c>
      <c r="P113" s="1" t="s">
        <v>43</v>
      </c>
      <c r="Q113" s="1"/>
      <c r="R113" s="1"/>
      <c r="S113" s="1"/>
      <c r="T113" s="1"/>
      <c r="U113" s="1"/>
      <c r="V113" s="1"/>
      <c r="W113" s="1"/>
      <c r="X113">
        <v>3</v>
      </c>
      <c r="Y113" s="1" t="s">
        <v>53</v>
      </c>
      <c r="Z113" s="1" t="s">
        <v>56</v>
      </c>
    </row>
    <row r="114" spans="6:26">
      <c r="F114" s="1" t="s">
        <v>42</v>
      </c>
      <c r="G114" s="1" t="s">
        <v>44</v>
      </c>
      <c r="H114" s="1"/>
      <c r="I114" s="1" t="s">
        <v>42</v>
      </c>
      <c r="J114" s="1" t="s">
        <v>44</v>
      </c>
      <c r="K114" s="1" t="s">
        <v>43</v>
      </c>
      <c r="N114">
        <v>30</v>
      </c>
      <c r="O114" s="1" t="s">
        <v>55</v>
      </c>
      <c r="P114" s="1" t="s">
        <v>13</v>
      </c>
      <c r="Q114" s="1"/>
      <c r="R114" s="1"/>
      <c r="S114" s="1"/>
      <c r="T114" s="1"/>
      <c r="U114" s="1"/>
      <c r="V114" s="1"/>
      <c r="W114" s="1"/>
      <c r="X114" s="1" t="s">
        <v>42</v>
      </c>
      <c r="Y114" s="1" t="s">
        <v>44</v>
      </c>
      <c r="Z114" s="1" t="s">
        <v>43</v>
      </c>
    </row>
    <row r="115" spans="6:26">
      <c r="F115">
        <v>4</v>
      </c>
      <c r="G115" s="1" t="s">
        <v>53</v>
      </c>
      <c r="H115" s="1"/>
      <c r="I115">
        <v>4</v>
      </c>
      <c r="J115" s="1" t="s">
        <v>53</v>
      </c>
      <c r="K115" s="1" t="s">
        <v>54</v>
      </c>
      <c r="N115" s="1" t="s">
        <v>42</v>
      </c>
      <c r="O115" s="1" t="s">
        <v>44</v>
      </c>
      <c r="P115" s="1" t="s">
        <v>43</v>
      </c>
      <c r="Q115" s="1"/>
      <c r="R115" s="1"/>
      <c r="S115" s="1"/>
      <c r="T115" s="1"/>
      <c r="U115" s="1"/>
      <c r="V115" s="1"/>
      <c r="W115" s="1"/>
      <c r="X115">
        <v>4</v>
      </c>
      <c r="Y115" s="1" t="s">
        <v>53</v>
      </c>
      <c r="Z115" s="1" t="s">
        <v>56</v>
      </c>
    </row>
    <row r="116" spans="6:26">
      <c r="F116" s="1" t="s">
        <v>42</v>
      </c>
      <c r="G116" s="1" t="s">
        <v>44</v>
      </c>
      <c r="H116" s="1"/>
      <c r="I116" s="1" t="s">
        <v>42</v>
      </c>
      <c r="J116" s="1" t="s">
        <v>44</v>
      </c>
      <c r="K116" s="1" t="s">
        <v>43</v>
      </c>
      <c r="N116">
        <v>31</v>
      </c>
      <c r="O116" s="1" t="s">
        <v>55</v>
      </c>
      <c r="P116" s="1" t="s">
        <v>13</v>
      </c>
      <c r="Q116" s="1"/>
      <c r="R116" s="1"/>
      <c r="S116" s="1"/>
      <c r="T116" s="1"/>
      <c r="U116" s="1"/>
      <c r="V116" s="1"/>
      <c r="W116" s="1"/>
      <c r="X116" s="1" t="s">
        <v>42</v>
      </c>
      <c r="Y116" s="1" t="s">
        <v>44</v>
      </c>
      <c r="Z116" s="1" t="s">
        <v>43</v>
      </c>
    </row>
    <row r="117" spans="6:26">
      <c r="F117">
        <v>5</v>
      </c>
      <c r="G117" s="1" t="s">
        <v>53</v>
      </c>
      <c r="H117" s="1"/>
      <c r="I117">
        <v>5</v>
      </c>
      <c r="J117" s="1" t="s">
        <v>53</v>
      </c>
      <c r="K117" s="1" t="s">
        <v>54</v>
      </c>
      <c r="N117" s="1" t="s">
        <v>42</v>
      </c>
      <c r="O117" s="1" t="s">
        <v>44</v>
      </c>
      <c r="P117" s="1" t="s">
        <v>43</v>
      </c>
      <c r="Q117" s="1"/>
      <c r="R117" s="1"/>
      <c r="S117" s="1"/>
      <c r="T117" s="1"/>
      <c r="U117" s="1"/>
      <c r="V117" s="1"/>
      <c r="W117" s="1"/>
      <c r="X117">
        <v>5</v>
      </c>
      <c r="Y117" s="1" t="s">
        <v>53</v>
      </c>
      <c r="Z117" s="1" t="s">
        <v>56</v>
      </c>
    </row>
    <row r="118" spans="6:26">
      <c r="F118" s="1" t="s">
        <v>42</v>
      </c>
      <c r="G118" s="1" t="s">
        <v>44</v>
      </c>
      <c r="H118" s="1"/>
      <c r="I118" s="1" t="s">
        <v>42</v>
      </c>
      <c r="J118" s="1" t="s">
        <v>44</v>
      </c>
      <c r="K118" s="1" t="s">
        <v>43</v>
      </c>
      <c r="N118">
        <v>32</v>
      </c>
      <c r="O118" s="1" t="s">
        <v>55</v>
      </c>
      <c r="P118" s="1" t="s">
        <v>13</v>
      </c>
      <c r="Q118" s="1"/>
      <c r="R118" s="1"/>
      <c r="W118" s="1"/>
      <c r="X118" s="1" t="s">
        <v>42</v>
      </c>
      <c r="Y118" s="1" t="s">
        <v>44</v>
      </c>
      <c r="Z118" s="1" t="s">
        <v>43</v>
      </c>
    </row>
    <row r="119" spans="6:26">
      <c r="F119">
        <v>6</v>
      </c>
      <c r="G119" s="1" t="s">
        <v>53</v>
      </c>
      <c r="H119" s="1"/>
      <c r="I119">
        <v>6</v>
      </c>
      <c r="J119" s="1" t="s">
        <v>53</v>
      </c>
      <c r="K119" s="1" t="s">
        <v>54</v>
      </c>
      <c r="N119" s="1" t="s">
        <v>42</v>
      </c>
      <c r="O119" s="1" t="s">
        <v>44</v>
      </c>
      <c r="P119" s="1" t="s">
        <v>43</v>
      </c>
      <c r="Q119" s="1"/>
      <c r="R119" s="1"/>
      <c r="W119" s="1"/>
      <c r="X119">
        <v>6</v>
      </c>
      <c r="Y119" s="1" t="s">
        <v>53</v>
      </c>
      <c r="Z119" s="1" t="s">
        <v>56</v>
      </c>
    </row>
    <row r="120" spans="6:26">
      <c r="F120" s="1" t="s">
        <v>42</v>
      </c>
      <c r="G120" s="1" t="s">
        <v>44</v>
      </c>
      <c r="H120" s="1"/>
      <c r="I120" s="1" t="s">
        <v>42</v>
      </c>
      <c r="J120" s="1" t="s">
        <v>44</v>
      </c>
      <c r="K120" s="1" t="s">
        <v>43</v>
      </c>
      <c r="N120">
        <v>33</v>
      </c>
      <c r="O120" s="1" t="s">
        <v>55</v>
      </c>
      <c r="P120" s="1" t="s">
        <v>13</v>
      </c>
      <c r="Q120" s="1"/>
      <c r="R120" s="1"/>
      <c r="W120" s="1"/>
      <c r="X120" s="1" t="s">
        <v>42</v>
      </c>
      <c r="Y120" s="1" t="s">
        <v>44</v>
      </c>
      <c r="Z120" s="1" t="s">
        <v>43</v>
      </c>
    </row>
    <row r="121" spans="6:26">
      <c r="F121">
        <v>7</v>
      </c>
      <c r="G121" s="1" t="s">
        <v>53</v>
      </c>
      <c r="H121" s="1"/>
      <c r="I121">
        <v>7</v>
      </c>
      <c r="J121" s="1" t="s">
        <v>53</v>
      </c>
      <c r="K121" s="1" t="s">
        <v>54</v>
      </c>
      <c r="N121" s="1" t="s">
        <v>42</v>
      </c>
      <c r="O121" s="1" t="s">
        <v>44</v>
      </c>
      <c r="P121" s="1" t="s">
        <v>43</v>
      </c>
      <c r="Q121" s="1"/>
      <c r="R121" s="1"/>
      <c r="W121" s="1"/>
      <c r="X121">
        <v>7</v>
      </c>
      <c r="Y121" s="1" t="s">
        <v>53</v>
      </c>
      <c r="Z121" s="1" t="s">
        <v>56</v>
      </c>
    </row>
    <row r="122" spans="6:26">
      <c r="F122" s="1" t="s">
        <v>42</v>
      </c>
      <c r="G122" s="1" t="s">
        <v>44</v>
      </c>
      <c r="H122" s="1"/>
      <c r="I122" s="1" t="s">
        <v>42</v>
      </c>
      <c r="J122" s="1" t="s">
        <v>44</v>
      </c>
      <c r="K122" s="1" t="s">
        <v>43</v>
      </c>
      <c r="N122">
        <v>34</v>
      </c>
      <c r="O122" s="1" t="s">
        <v>55</v>
      </c>
      <c r="P122" s="1" t="s">
        <v>13</v>
      </c>
      <c r="Q122" s="1"/>
      <c r="R122" s="1"/>
      <c r="W122" s="1"/>
      <c r="X122" s="1" t="s">
        <v>42</v>
      </c>
      <c r="Y122" s="1" t="s">
        <v>44</v>
      </c>
      <c r="Z122" s="1" t="s">
        <v>43</v>
      </c>
    </row>
    <row r="123" spans="6:26">
      <c r="F123">
        <v>8</v>
      </c>
      <c r="G123" s="1" t="s">
        <v>53</v>
      </c>
      <c r="H123" s="1"/>
      <c r="I123">
        <v>8</v>
      </c>
      <c r="J123" s="1" t="s">
        <v>53</v>
      </c>
      <c r="K123" s="1" t="s">
        <v>54</v>
      </c>
      <c r="N123" s="1" t="s">
        <v>42</v>
      </c>
      <c r="O123" s="1" t="s">
        <v>44</v>
      </c>
      <c r="P123" s="1" t="s">
        <v>43</v>
      </c>
      <c r="Q123" s="1"/>
      <c r="R123" s="1"/>
      <c r="W123" s="1"/>
      <c r="X123">
        <v>8</v>
      </c>
      <c r="Y123" s="1" t="s">
        <v>53</v>
      </c>
      <c r="Z123" s="1" t="s">
        <v>56</v>
      </c>
    </row>
    <row r="124" spans="6:26">
      <c r="F124" s="1" t="s">
        <v>42</v>
      </c>
      <c r="G124" s="1" t="s">
        <v>44</v>
      </c>
      <c r="H124" s="1"/>
      <c r="I124" s="1" t="s">
        <v>42</v>
      </c>
      <c r="J124" s="1" t="s">
        <v>44</v>
      </c>
      <c r="K124" s="1" t="s">
        <v>43</v>
      </c>
      <c r="N124">
        <v>35</v>
      </c>
      <c r="O124" s="1" t="s">
        <v>55</v>
      </c>
      <c r="P124" s="1" t="s">
        <v>13</v>
      </c>
      <c r="Q124" s="1"/>
      <c r="R124" s="1"/>
      <c r="W124" s="1"/>
      <c r="X124" s="1" t="s">
        <v>42</v>
      </c>
      <c r="Y124" s="1" t="s">
        <v>44</v>
      </c>
      <c r="Z124" s="1" t="s">
        <v>43</v>
      </c>
    </row>
    <row r="125" spans="6:26">
      <c r="F125">
        <v>9</v>
      </c>
      <c r="G125" s="1" t="s">
        <v>53</v>
      </c>
      <c r="H125" s="1"/>
      <c r="I125">
        <v>9</v>
      </c>
      <c r="J125" s="1" t="s">
        <v>53</v>
      </c>
      <c r="K125" s="1" t="s">
        <v>54</v>
      </c>
      <c r="N125" s="1" t="s">
        <v>42</v>
      </c>
      <c r="O125" s="1" t="s">
        <v>44</v>
      </c>
      <c r="P125" s="1" t="s">
        <v>43</v>
      </c>
      <c r="Q125" s="1"/>
      <c r="R125" s="1"/>
      <c r="W125" s="1"/>
      <c r="X125">
        <v>9</v>
      </c>
      <c r="Y125" s="1" t="s">
        <v>53</v>
      </c>
      <c r="Z125" s="1" t="s">
        <v>56</v>
      </c>
    </row>
    <row r="126" spans="6:26">
      <c r="F126" s="1" t="s">
        <v>42</v>
      </c>
      <c r="G126" s="1" t="s">
        <v>44</v>
      </c>
      <c r="H126" s="1"/>
      <c r="I126" s="1" t="s">
        <v>42</v>
      </c>
      <c r="J126" s="1" t="s">
        <v>44</v>
      </c>
      <c r="K126" s="1" t="s">
        <v>43</v>
      </c>
      <c r="N126">
        <v>36</v>
      </c>
      <c r="O126" s="1" t="s">
        <v>55</v>
      </c>
      <c r="P126" s="1" t="s">
        <v>13</v>
      </c>
      <c r="Q126" s="1"/>
      <c r="R126" s="1"/>
      <c r="W126" s="1"/>
      <c r="X126" s="1" t="s">
        <v>42</v>
      </c>
      <c r="Y126" s="1" t="s">
        <v>44</v>
      </c>
      <c r="Z126" s="1" t="s">
        <v>43</v>
      </c>
    </row>
    <row r="127" spans="6:26">
      <c r="F127">
        <v>10</v>
      </c>
      <c r="G127" s="1" t="s">
        <v>53</v>
      </c>
      <c r="H127" s="1"/>
      <c r="I127">
        <v>10</v>
      </c>
      <c r="J127" s="1" t="s">
        <v>53</v>
      </c>
      <c r="K127" s="1" t="s">
        <v>54</v>
      </c>
      <c r="N127" s="1" t="s">
        <v>42</v>
      </c>
      <c r="O127" s="1" t="s">
        <v>44</v>
      </c>
      <c r="P127" s="1" t="s">
        <v>43</v>
      </c>
      <c r="Q127" s="1"/>
      <c r="R127" s="1"/>
      <c r="W127" s="1"/>
      <c r="X127">
        <v>10</v>
      </c>
      <c r="Y127" s="1" t="s">
        <v>53</v>
      </c>
      <c r="Z127" s="1" t="s">
        <v>56</v>
      </c>
    </row>
    <row r="128" spans="6:26">
      <c r="F128" s="1" t="s">
        <v>42</v>
      </c>
      <c r="G128" s="1" t="s">
        <v>44</v>
      </c>
      <c r="H128" s="1"/>
      <c r="I128" s="1" t="s">
        <v>42</v>
      </c>
      <c r="J128" s="1" t="s">
        <v>44</v>
      </c>
      <c r="K128" s="1" t="s">
        <v>43</v>
      </c>
      <c r="N128">
        <v>37</v>
      </c>
      <c r="O128" s="1" t="s">
        <v>55</v>
      </c>
      <c r="P128" s="1" t="s">
        <v>13</v>
      </c>
      <c r="Q128" s="1"/>
      <c r="R128" s="1"/>
      <c r="W128" s="1"/>
      <c r="X128" s="1" t="s">
        <v>42</v>
      </c>
      <c r="Y128" s="1" t="s">
        <v>44</v>
      </c>
      <c r="Z128" s="1" t="s">
        <v>43</v>
      </c>
    </row>
    <row r="129" spans="6:26">
      <c r="F129">
        <v>11</v>
      </c>
      <c r="G129" s="1" t="s">
        <v>53</v>
      </c>
      <c r="H129" s="1"/>
      <c r="I129">
        <v>11</v>
      </c>
      <c r="J129" s="1" t="s">
        <v>53</v>
      </c>
      <c r="K129" s="1" t="s">
        <v>54</v>
      </c>
      <c r="N129" s="1" t="s">
        <v>42</v>
      </c>
      <c r="O129" s="1" t="s">
        <v>44</v>
      </c>
      <c r="P129" s="1" t="s">
        <v>43</v>
      </c>
      <c r="Q129" s="1"/>
      <c r="R129" s="1"/>
      <c r="W129" s="1"/>
      <c r="X129">
        <v>11</v>
      </c>
      <c r="Y129" s="1" t="s">
        <v>53</v>
      </c>
      <c r="Z129" s="1" t="s">
        <v>56</v>
      </c>
    </row>
    <row r="130" spans="6:26">
      <c r="F130" s="1" t="s">
        <v>42</v>
      </c>
      <c r="G130" s="1" t="s">
        <v>44</v>
      </c>
      <c r="H130" s="1"/>
      <c r="I130" s="1" t="s">
        <v>42</v>
      </c>
      <c r="J130" s="1" t="s">
        <v>44</v>
      </c>
      <c r="K130" s="1" t="s">
        <v>43</v>
      </c>
      <c r="N130">
        <v>38</v>
      </c>
      <c r="O130" s="1" t="s">
        <v>55</v>
      </c>
      <c r="P130" s="1" t="s">
        <v>13</v>
      </c>
      <c r="Q130" s="1"/>
      <c r="R130" s="1"/>
      <c r="W130" s="1"/>
      <c r="X130" s="1" t="s">
        <v>42</v>
      </c>
      <c r="Y130" s="1" t="s">
        <v>44</v>
      </c>
      <c r="Z130" s="1" t="s">
        <v>43</v>
      </c>
    </row>
    <row r="131" spans="6:26">
      <c r="F131">
        <v>12</v>
      </c>
      <c r="G131" s="1" t="s">
        <v>53</v>
      </c>
      <c r="H131" s="1"/>
      <c r="I131">
        <v>12</v>
      </c>
      <c r="J131" s="1" t="s">
        <v>53</v>
      </c>
      <c r="K131" s="1" t="s">
        <v>54</v>
      </c>
      <c r="N131" s="1" t="s">
        <v>42</v>
      </c>
      <c r="O131" s="1" t="s">
        <v>44</v>
      </c>
      <c r="P131" s="1" t="s">
        <v>43</v>
      </c>
      <c r="Q131" s="1"/>
      <c r="R131" s="1"/>
      <c r="W131" s="1"/>
      <c r="X131">
        <v>12</v>
      </c>
      <c r="Y131" s="1" t="s">
        <v>53</v>
      </c>
      <c r="Z131" s="1" t="s">
        <v>56</v>
      </c>
    </row>
    <row r="132" spans="6:26">
      <c r="F132" s="1" t="s">
        <v>42</v>
      </c>
      <c r="G132" s="1" t="s">
        <v>44</v>
      </c>
      <c r="H132" s="1"/>
      <c r="I132" s="1" t="s">
        <v>42</v>
      </c>
      <c r="J132" s="1" t="s">
        <v>44</v>
      </c>
      <c r="K132" s="1" t="s">
        <v>43</v>
      </c>
      <c r="N132">
        <v>39</v>
      </c>
      <c r="O132" s="1" t="s">
        <v>55</v>
      </c>
      <c r="P132" s="1" t="s">
        <v>13</v>
      </c>
      <c r="Q132" s="1"/>
      <c r="R132" s="1"/>
      <c r="W132" s="1"/>
      <c r="X132" s="1" t="s">
        <v>42</v>
      </c>
      <c r="Y132" s="1" t="s">
        <v>44</v>
      </c>
      <c r="Z132" s="1" t="s">
        <v>43</v>
      </c>
    </row>
    <row r="133" spans="6:26">
      <c r="F133">
        <v>13</v>
      </c>
      <c r="G133" s="1" t="s">
        <v>53</v>
      </c>
      <c r="H133" s="1"/>
      <c r="I133">
        <v>13</v>
      </c>
      <c r="J133" s="1" t="s">
        <v>53</v>
      </c>
      <c r="K133" s="1" t="s">
        <v>54</v>
      </c>
      <c r="N133" s="1" t="s">
        <v>42</v>
      </c>
      <c r="O133" s="1" t="s">
        <v>44</v>
      </c>
      <c r="P133" s="1" t="s">
        <v>43</v>
      </c>
      <c r="Q133" s="1"/>
      <c r="R133" s="1"/>
      <c r="W133" s="1"/>
      <c r="X133">
        <v>13</v>
      </c>
      <c r="Y133" s="1" t="s">
        <v>53</v>
      </c>
      <c r="Z133" s="1" t="s">
        <v>56</v>
      </c>
    </row>
    <row r="134" spans="6:26">
      <c r="F134" s="1" t="s">
        <v>42</v>
      </c>
      <c r="G134" s="1" t="s">
        <v>44</v>
      </c>
      <c r="H134" s="1"/>
      <c r="I134" s="1" t="s">
        <v>42</v>
      </c>
      <c r="J134" s="1" t="s">
        <v>44</v>
      </c>
      <c r="K134" s="1" t="s">
        <v>43</v>
      </c>
      <c r="N134">
        <v>40</v>
      </c>
      <c r="O134" s="1" t="s">
        <v>55</v>
      </c>
      <c r="P134" s="1" t="s">
        <v>13</v>
      </c>
      <c r="Q134" s="1"/>
      <c r="R134" s="1"/>
      <c r="W134" s="1"/>
      <c r="X134" s="1" t="s">
        <v>42</v>
      </c>
      <c r="Y134" s="1" t="s">
        <v>44</v>
      </c>
      <c r="Z134" s="1" t="s">
        <v>43</v>
      </c>
    </row>
    <row r="135" spans="6:26">
      <c r="F135">
        <v>14</v>
      </c>
      <c r="G135" s="1" t="s">
        <v>53</v>
      </c>
      <c r="H135" s="1"/>
      <c r="I135">
        <v>14</v>
      </c>
      <c r="J135" s="1" t="s">
        <v>53</v>
      </c>
      <c r="K135" s="1" t="s">
        <v>54</v>
      </c>
      <c r="N135" s="1" t="s">
        <v>42</v>
      </c>
      <c r="O135" s="1" t="s">
        <v>44</v>
      </c>
      <c r="P135" s="1" t="s">
        <v>43</v>
      </c>
      <c r="Q135" s="1"/>
      <c r="R135" s="1"/>
      <c r="W135" s="1"/>
      <c r="X135">
        <v>14</v>
      </c>
      <c r="Y135" s="1" t="s">
        <v>53</v>
      </c>
      <c r="Z135" s="1" t="s">
        <v>56</v>
      </c>
    </row>
    <row r="136" spans="6:26">
      <c r="F136" s="1" t="s">
        <v>42</v>
      </c>
      <c r="G136" s="1" t="s">
        <v>44</v>
      </c>
      <c r="H136" s="1"/>
      <c r="I136" s="1" t="s">
        <v>42</v>
      </c>
      <c r="J136" s="1" t="s">
        <v>44</v>
      </c>
      <c r="K136" s="1" t="s">
        <v>43</v>
      </c>
      <c r="N136">
        <v>41</v>
      </c>
      <c r="O136" s="1" t="s">
        <v>55</v>
      </c>
      <c r="P136" s="1" t="s">
        <v>13</v>
      </c>
      <c r="Q136" s="1"/>
      <c r="R136" s="1"/>
      <c r="W136" s="1"/>
      <c r="X136" s="1" t="s">
        <v>42</v>
      </c>
      <c r="Y136" s="1" t="s">
        <v>44</v>
      </c>
      <c r="Z136" s="1" t="s">
        <v>43</v>
      </c>
    </row>
    <row r="137" spans="6:26">
      <c r="F137">
        <v>15</v>
      </c>
      <c r="G137" s="1" t="s">
        <v>53</v>
      </c>
      <c r="H137" s="1"/>
      <c r="I137">
        <v>15</v>
      </c>
      <c r="J137" s="1" t="s">
        <v>53</v>
      </c>
      <c r="K137" s="1" t="s">
        <v>54</v>
      </c>
      <c r="N137" s="1" t="s">
        <v>42</v>
      </c>
      <c r="O137" s="1" t="s">
        <v>44</v>
      </c>
      <c r="P137" s="1" t="s">
        <v>43</v>
      </c>
      <c r="Q137" s="1"/>
      <c r="R137" s="1"/>
      <c r="W137" s="1"/>
      <c r="X137">
        <v>15</v>
      </c>
      <c r="Y137" s="1" t="s">
        <v>53</v>
      </c>
      <c r="Z137" s="1" t="s">
        <v>56</v>
      </c>
    </row>
    <row r="138" spans="6:26">
      <c r="F138" s="1" t="s">
        <v>42</v>
      </c>
      <c r="G138" s="1" t="s">
        <v>44</v>
      </c>
      <c r="H138" s="1"/>
      <c r="I138" s="1" t="s">
        <v>42</v>
      </c>
      <c r="J138" s="1" t="s">
        <v>44</v>
      </c>
      <c r="K138" s="1" t="s">
        <v>43</v>
      </c>
      <c r="N138">
        <v>42</v>
      </c>
      <c r="O138" s="1" t="s">
        <v>55</v>
      </c>
      <c r="P138" s="1" t="s">
        <v>13</v>
      </c>
      <c r="Q138" s="1"/>
      <c r="R138" s="1"/>
      <c r="W138" s="1"/>
      <c r="X138" s="1" t="s">
        <v>42</v>
      </c>
      <c r="Y138" s="1" t="s">
        <v>44</v>
      </c>
      <c r="Z138" s="1" t="s">
        <v>43</v>
      </c>
    </row>
    <row r="139" spans="6:26">
      <c r="F139">
        <v>16</v>
      </c>
      <c r="G139" s="1" t="s">
        <v>53</v>
      </c>
      <c r="H139" s="1"/>
      <c r="I139">
        <v>16</v>
      </c>
      <c r="J139" s="1" t="s">
        <v>53</v>
      </c>
      <c r="K139" s="1" t="s">
        <v>54</v>
      </c>
      <c r="N139" s="1" t="s">
        <v>42</v>
      </c>
      <c r="O139" s="1" t="s">
        <v>44</v>
      </c>
      <c r="P139" s="1" t="s">
        <v>43</v>
      </c>
      <c r="Q139" s="1"/>
      <c r="R139" s="1"/>
      <c r="W139" s="1"/>
      <c r="X139">
        <v>16</v>
      </c>
      <c r="Y139" s="1" t="s">
        <v>53</v>
      </c>
      <c r="Z139" s="1" t="s">
        <v>56</v>
      </c>
    </row>
    <row r="140" spans="6:26">
      <c r="F140" s="1" t="s">
        <v>42</v>
      </c>
      <c r="G140" s="1" t="s">
        <v>44</v>
      </c>
      <c r="H140" s="1"/>
      <c r="I140" s="1" t="s">
        <v>42</v>
      </c>
      <c r="J140" s="1" t="s">
        <v>44</v>
      </c>
      <c r="K140" s="1" t="s">
        <v>43</v>
      </c>
      <c r="N140">
        <v>43</v>
      </c>
      <c r="O140" s="1" t="s">
        <v>55</v>
      </c>
      <c r="P140" s="1" t="s">
        <v>13</v>
      </c>
      <c r="Q140" s="1"/>
      <c r="R140" s="1"/>
      <c r="W140" s="1"/>
      <c r="X140" s="1" t="s">
        <v>42</v>
      </c>
      <c r="Y140" s="1" t="s">
        <v>44</v>
      </c>
      <c r="Z140" s="1" t="s">
        <v>43</v>
      </c>
    </row>
    <row r="141" spans="6:26">
      <c r="F141">
        <v>17</v>
      </c>
      <c r="G141" s="1" t="s">
        <v>53</v>
      </c>
      <c r="H141" s="1"/>
      <c r="I141">
        <v>17</v>
      </c>
      <c r="J141" s="1" t="s">
        <v>53</v>
      </c>
      <c r="K141" s="1" t="s">
        <v>54</v>
      </c>
      <c r="N141" s="1" t="s">
        <v>42</v>
      </c>
      <c r="O141" s="1" t="s">
        <v>44</v>
      </c>
      <c r="P141" s="1" t="s">
        <v>43</v>
      </c>
      <c r="Q141" s="1"/>
      <c r="R141" s="1"/>
      <c r="W141" s="1"/>
      <c r="X141">
        <v>17</v>
      </c>
      <c r="Y141" s="1" t="s">
        <v>53</v>
      </c>
      <c r="Z141" s="1" t="s">
        <v>56</v>
      </c>
    </row>
    <row r="142" spans="6:26">
      <c r="F142" s="1" t="s">
        <v>42</v>
      </c>
      <c r="G142" s="1" t="s">
        <v>44</v>
      </c>
      <c r="H142" s="1"/>
      <c r="I142" s="1" t="s">
        <v>42</v>
      </c>
      <c r="J142" s="1" t="s">
        <v>44</v>
      </c>
      <c r="K142" s="1" t="s">
        <v>43</v>
      </c>
      <c r="N142">
        <v>44</v>
      </c>
      <c r="O142" s="1" t="s">
        <v>55</v>
      </c>
      <c r="P142" s="1" t="s">
        <v>13</v>
      </c>
      <c r="Q142" s="1"/>
      <c r="R142" s="1"/>
      <c r="W142" s="1"/>
      <c r="X142" s="1" t="s">
        <v>42</v>
      </c>
      <c r="Y142" s="1" t="s">
        <v>44</v>
      </c>
      <c r="Z142" s="1" t="s">
        <v>43</v>
      </c>
    </row>
    <row r="143" spans="6:26">
      <c r="F143">
        <v>18</v>
      </c>
      <c r="G143" s="1" t="s">
        <v>53</v>
      </c>
      <c r="H143" s="1"/>
      <c r="I143">
        <v>18</v>
      </c>
      <c r="J143" s="1" t="s">
        <v>53</v>
      </c>
      <c r="K143" s="1" t="s">
        <v>54</v>
      </c>
      <c r="N143" s="1"/>
      <c r="O143" s="1"/>
      <c r="P143" s="1"/>
      <c r="Q143" s="1"/>
      <c r="R143" s="1"/>
      <c r="W143" s="1"/>
      <c r="X143">
        <v>18</v>
      </c>
      <c r="Y143" s="1" t="s">
        <v>53</v>
      </c>
      <c r="Z143" s="1" t="s">
        <v>56</v>
      </c>
    </row>
    <row r="144" spans="6:26">
      <c r="F144" s="1" t="s">
        <v>42</v>
      </c>
      <c r="G144" s="1" t="s">
        <v>44</v>
      </c>
      <c r="H144" s="1"/>
      <c r="I144" s="1" t="s">
        <v>42</v>
      </c>
      <c r="J144" s="1" t="s">
        <v>44</v>
      </c>
      <c r="K144" s="1" t="s">
        <v>43</v>
      </c>
      <c r="O144" s="1"/>
      <c r="P144" s="1"/>
      <c r="Q144" s="1"/>
      <c r="R144" s="1"/>
      <c r="W144" s="1"/>
      <c r="X144" s="1" t="s">
        <v>42</v>
      </c>
      <c r="Y144" s="1" t="s">
        <v>44</v>
      </c>
      <c r="Z144" s="1" t="s">
        <v>43</v>
      </c>
    </row>
    <row r="145" spans="6:26">
      <c r="F145">
        <v>19</v>
      </c>
      <c r="G145" s="1" t="s">
        <v>53</v>
      </c>
      <c r="H145" s="1"/>
      <c r="I145">
        <v>19</v>
      </c>
      <c r="J145" s="1" t="s">
        <v>53</v>
      </c>
      <c r="K145" s="1" t="s">
        <v>54</v>
      </c>
      <c r="N145" s="1"/>
      <c r="O145" s="1"/>
      <c r="P145" s="1"/>
      <c r="Q145" s="1"/>
      <c r="R145" s="1"/>
      <c r="W145" s="1"/>
      <c r="X145">
        <v>19</v>
      </c>
      <c r="Y145" s="1" t="s">
        <v>53</v>
      </c>
      <c r="Z145" s="1" t="s">
        <v>56</v>
      </c>
    </row>
    <row r="146" spans="6:26">
      <c r="F146" s="1" t="s">
        <v>42</v>
      </c>
      <c r="G146" s="1" t="s">
        <v>44</v>
      </c>
      <c r="H146" s="1"/>
      <c r="I146" s="1" t="s">
        <v>42</v>
      </c>
      <c r="J146" s="1" t="s">
        <v>44</v>
      </c>
      <c r="K146" s="1" t="s">
        <v>43</v>
      </c>
      <c r="O146" s="1"/>
      <c r="P146" s="1"/>
      <c r="Q146" s="1"/>
      <c r="R146" s="1"/>
      <c r="W146" s="1"/>
      <c r="X146" s="1" t="s">
        <v>42</v>
      </c>
      <c r="Y146" s="1" t="s">
        <v>44</v>
      </c>
      <c r="Z146" s="1" t="s">
        <v>43</v>
      </c>
    </row>
    <row r="147" spans="6:26">
      <c r="F147">
        <v>20</v>
      </c>
      <c r="G147" s="1" t="s">
        <v>53</v>
      </c>
      <c r="H147" s="1"/>
      <c r="I147">
        <v>20</v>
      </c>
      <c r="J147" s="1" t="s">
        <v>53</v>
      </c>
      <c r="K147" s="1" t="s">
        <v>54</v>
      </c>
      <c r="N147" s="1"/>
      <c r="O147" s="1"/>
      <c r="P147" s="1"/>
      <c r="Q147" s="1"/>
      <c r="R147" s="1"/>
      <c r="W147" s="1"/>
      <c r="X147">
        <v>20</v>
      </c>
      <c r="Y147" s="1" t="s">
        <v>53</v>
      </c>
      <c r="Z147" s="1" t="s">
        <v>56</v>
      </c>
    </row>
    <row r="148" spans="6:26">
      <c r="F148" s="1" t="s">
        <v>42</v>
      </c>
      <c r="G148" s="1" t="s">
        <v>44</v>
      </c>
      <c r="H148" s="1"/>
      <c r="I148" s="1" t="s">
        <v>42</v>
      </c>
      <c r="J148" s="1" t="s">
        <v>44</v>
      </c>
      <c r="K148" s="1" t="s">
        <v>43</v>
      </c>
      <c r="O148" s="1"/>
      <c r="P148" s="1"/>
      <c r="Q148" s="1"/>
      <c r="R148" s="1"/>
      <c r="W148" s="1"/>
      <c r="X148" s="1" t="s">
        <v>42</v>
      </c>
      <c r="Y148" s="1" t="s">
        <v>44</v>
      </c>
      <c r="Z148" s="1" t="s">
        <v>43</v>
      </c>
    </row>
    <row r="149" spans="6:26">
      <c r="F149">
        <v>21</v>
      </c>
      <c r="G149" s="1" t="s">
        <v>53</v>
      </c>
      <c r="H149" s="1"/>
      <c r="I149">
        <v>21</v>
      </c>
      <c r="J149" s="1" t="s">
        <v>53</v>
      </c>
      <c r="K149" s="1" t="s">
        <v>54</v>
      </c>
      <c r="N149" s="1"/>
      <c r="O149" s="1"/>
      <c r="P149" s="1"/>
      <c r="Q149" s="1"/>
      <c r="R149" s="1"/>
      <c r="W149" s="1"/>
      <c r="X149">
        <v>21</v>
      </c>
      <c r="Y149" s="1" t="s">
        <v>53</v>
      </c>
      <c r="Z149" s="1" t="s">
        <v>56</v>
      </c>
    </row>
    <row r="150" spans="6:26">
      <c r="F150" s="1" t="s">
        <v>42</v>
      </c>
      <c r="G150" s="1" t="s">
        <v>44</v>
      </c>
      <c r="H150" s="1"/>
      <c r="I150" s="1" t="s">
        <v>42</v>
      </c>
      <c r="J150" s="1" t="s">
        <v>44</v>
      </c>
      <c r="K150" s="1" t="s">
        <v>43</v>
      </c>
      <c r="O150" s="1"/>
      <c r="P150" s="1"/>
      <c r="Q150" s="1"/>
      <c r="R150" s="1"/>
      <c r="W150" s="1"/>
      <c r="X150" s="1" t="s">
        <v>42</v>
      </c>
      <c r="Y150" s="1" t="s">
        <v>44</v>
      </c>
      <c r="Z150" s="1" t="s">
        <v>43</v>
      </c>
    </row>
    <row r="151" spans="6:26">
      <c r="F151">
        <v>22</v>
      </c>
      <c r="G151" s="1" t="s">
        <v>53</v>
      </c>
      <c r="H151" s="1"/>
      <c r="I151">
        <v>22</v>
      </c>
      <c r="J151" s="1" t="s">
        <v>53</v>
      </c>
      <c r="K151" s="1" t="s">
        <v>54</v>
      </c>
      <c r="N151" s="1"/>
      <c r="O151" s="1"/>
      <c r="P151" s="1"/>
      <c r="Q151" s="1"/>
      <c r="R151" s="1"/>
      <c r="W151" s="1"/>
      <c r="X151">
        <v>22</v>
      </c>
      <c r="Y151" s="1" t="s">
        <v>53</v>
      </c>
      <c r="Z151" s="1" t="s">
        <v>56</v>
      </c>
    </row>
    <row r="152" spans="6:26">
      <c r="F152" s="1" t="s">
        <v>42</v>
      </c>
      <c r="G152" s="1" t="s">
        <v>44</v>
      </c>
      <c r="H152" s="1"/>
      <c r="I152" s="1" t="s">
        <v>42</v>
      </c>
      <c r="J152" s="1" t="s">
        <v>44</v>
      </c>
      <c r="K152" s="1" t="s">
        <v>43</v>
      </c>
      <c r="O152" s="1"/>
      <c r="P152" s="1"/>
      <c r="Q152" s="1"/>
      <c r="R152" s="1"/>
      <c r="W152" s="1"/>
      <c r="X152" s="1" t="s">
        <v>42</v>
      </c>
      <c r="Y152" s="1" t="s">
        <v>44</v>
      </c>
      <c r="Z152" s="1" t="s">
        <v>43</v>
      </c>
    </row>
    <row r="153" spans="6:26">
      <c r="F153">
        <v>23</v>
      </c>
      <c r="G153" s="1" t="s">
        <v>53</v>
      </c>
      <c r="H153" s="1"/>
      <c r="I153">
        <v>23</v>
      </c>
      <c r="J153" s="1" t="s">
        <v>53</v>
      </c>
      <c r="K153" s="1" t="s">
        <v>54</v>
      </c>
      <c r="N153" s="1"/>
      <c r="O153" s="1"/>
      <c r="P153" s="1"/>
      <c r="Q153" s="1"/>
      <c r="R153" s="1"/>
      <c r="W153" s="1"/>
      <c r="X153">
        <v>23</v>
      </c>
      <c r="Y153" s="1" t="s">
        <v>53</v>
      </c>
      <c r="Z153" s="1" t="s">
        <v>56</v>
      </c>
    </row>
    <row r="154" spans="6:26">
      <c r="F154" s="1" t="s">
        <v>42</v>
      </c>
      <c r="G154" s="1" t="s">
        <v>44</v>
      </c>
      <c r="H154" s="1"/>
      <c r="I154" s="1" t="s">
        <v>42</v>
      </c>
      <c r="J154" s="1" t="s">
        <v>44</v>
      </c>
      <c r="K154" s="1" t="s">
        <v>43</v>
      </c>
      <c r="O154" s="1"/>
      <c r="P154" s="1"/>
      <c r="Q154" s="1"/>
      <c r="R154" s="1"/>
      <c r="W154" s="1"/>
      <c r="X154" s="1" t="s">
        <v>42</v>
      </c>
      <c r="Y154" s="1" t="s">
        <v>44</v>
      </c>
      <c r="Z154" s="1" t="s">
        <v>43</v>
      </c>
    </row>
    <row r="155" spans="6:26">
      <c r="F155">
        <v>24</v>
      </c>
      <c r="G155" s="1" t="s">
        <v>53</v>
      </c>
      <c r="H155" s="1"/>
      <c r="I155">
        <v>24</v>
      </c>
      <c r="J155" s="1" t="s">
        <v>53</v>
      </c>
      <c r="K155" s="1" t="s">
        <v>54</v>
      </c>
      <c r="N155" s="1"/>
      <c r="O155" s="1"/>
      <c r="P155" s="1"/>
      <c r="Q155" s="1"/>
      <c r="R155" s="1"/>
      <c r="W155" s="1"/>
      <c r="X155">
        <v>24</v>
      </c>
      <c r="Y155" s="1" t="s">
        <v>53</v>
      </c>
      <c r="Z155" s="1" t="s">
        <v>56</v>
      </c>
    </row>
    <row r="156" spans="6:26">
      <c r="F156" s="1" t="s">
        <v>42</v>
      </c>
      <c r="G156" s="1" t="s">
        <v>44</v>
      </c>
      <c r="H156" s="1"/>
      <c r="I156" s="1" t="s">
        <v>42</v>
      </c>
      <c r="J156" s="1" t="s">
        <v>44</v>
      </c>
      <c r="K156" s="1" t="s">
        <v>43</v>
      </c>
      <c r="O156" s="1"/>
      <c r="P156" s="1"/>
      <c r="Q156" s="1"/>
      <c r="R156" s="1"/>
      <c r="W156" s="1"/>
      <c r="X156" s="1" t="s">
        <v>42</v>
      </c>
      <c r="Y156" s="1" t="s">
        <v>44</v>
      </c>
      <c r="Z156" s="1" t="s">
        <v>43</v>
      </c>
    </row>
    <row r="157" spans="6:26">
      <c r="F157">
        <v>25</v>
      </c>
      <c r="G157" s="1" t="s">
        <v>53</v>
      </c>
      <c r="H157" s="1"/>
      <c r="I157">
        <v>25</v>
      </c>
      <c r="J157" s="1" t="s">
        <v>53</v>
      </c>
      <c r="K157" s="1" t="s">
        <v>54</v>
      </c>
      <c r="N157" s="1"/>
      <c r="O157" s="1"/>
      <c r="P157" s="1"/>
      <c r="Q157" s="1"/>
      <c r="R157" s="1"/>
      <c r="W157" s="1"/>
      <c r="X157">
        <v>25</v>
      </c>
      <c r="Y157" s="1" t="s">
        <v>53</v>
      </c>
      <c r="Z157" s="1" t="s">
        <v>56</v>
      </c>
    </row>
    <row r="158" spans="6:26">
      <c r="F158" s="1" t="s">
        <v>42</v>
      </c>
      <c r="G158" s="1" t="s">
        <v>44</v>
      </c>
      <c r="H158" s="1"/>
      <c r="I158" s="1" t="s">
        <v>42</v>
      </c>
      <c r="J158" s="1" t="s">
        <v>44</v>
      </c>
      <c r="K158" s="1" t="s">
        <v>43</v>
      </c>
      <c r="O158" s="1"/>
      <c r="P158" s="1"/>
      <c r="Q158" s="1"/>
      <c r="R158" s="1"/>
      <c r="W158" s="1"/>
      <c r="X158" s="1" t="s">
        <v>42</v>
      </c>
      <c r="Y158" s="1" t="s">
        <v>44</v>
      </c>
      <c r="Z158" s="1" t="s">
        <v>43</v>
      </c>
    </row>
    <row r="159" spans="6:26">
      <c r="F159">
        <v>26</v>
      </c>
      <c r="G159" s="1" t="s">
        <v>53</v>
      </c>
      <c r="H159" s="1"/>
      <c r="I159">
        <v>26</v>
      </c>
      <c r="J159" s="1" t="s">
        <v>53</v>
      </c>
      <c r="K159" s="1" t="s">
        <v>54</v>
      </c>
      <c r="N159" s="1"/>
      <c r="O159" s="1"/>
      <c r="P159" s="1"/>
      <c r="Q159" s="1"/>
      <c r="R159" s="1"/>
      <c r="W159" s="1"/>
      <c r="X159">
        <v>26</v>
      </c>
      <c r="Y159" s="1" t="s">
        <v>53</v>
      </c>
      <c r="Z159" s="1" t="s">
        <v>56</v>
      </c>
    </row>
    <row r="160" spans="6:26">
      <c r="F160" s="1" t="s">
        <v>42</v>
      </c>
      <c r="G160" s="1" t="s">
        <v>44</v>
      </c>
      <c r="H160" s="1"/>
      <c r="I160" s="1" t="s">
        <v>42</v>
      </c>
      <c r="J160" s="1" t="s">
        <v>44</v>
      </c>
      <c r="K160" s="1" t="s">
        <v>43</v>
      </c>
      <c r="O160" s="1"/>
      <c r="P160" s="1"/>
      <c r="Q160" s="1"/>
      <c r="R160" s="1"/>
      <c r="W160" s="1"/>
      <c r="X160" s="1" t="s">
        <v>42</v>
      </c>
      <c r="Y160" s="1" t="s">
        <v>44</v>
      </c>
      <c r="Z160" s="1" t="s">
        <v>43</v>
      </c>
    </row>
    <row r="161" spans="6:26">
      <c r="F161">
        <v>27</v>
      </c>
      <c r="G161" s="1" t="s">
        <v>53</v>
      </c>
      <c r="H161" s="1"/>
      <c r="I161">
        <v>27</v>
      </c>
      <c r="J161" s="1" t="s">
        <v>53</v>
      </c>
      <c r="K161" s="1" t="s">
        <v>54</v>
      </c>
      <c r="N161" s="1"/>
      <c r="O161" s="1"/>
      <c r="P161" s="1"/>
      <c r="Q161" s="1"/>
      <c r="R161" s="1"/>
      <c r="X161">
        <v>27</v>
      </c>
      <c r="Y161" s="1" t="s">
        <v>53</v>
      </c>
      <c r="Z161" s="1" t="s">
        <v>56</v>
      </c>
    </row>
    <row r="162" spans="6:26">
      <c r="F162" s="1" t="s">
        <v>42</v>
      </c>
      <c r="G162" s="1" t="s">
        <v>44</v>
      </c>
      <c r="H162" s="1"/>
      <c r="I162" s="1" t="s">
        <v>42</v>
      </c>
      <c r="J162" s="1" t="s">
        <v>44</v>
      </c>
      <c r="K162" s="1" t="s">
        <v>43</v>
      </c>
      <c r="O162" s="1"/>
      <c r="P162" s="1"/>
      <c r="Q162" s="1"/>
      <c r="R162" s="1"/>
      <c r="X162" s="1" t="s">
        <v>42</v>
      </c>
      <c r="Y162" s="1" t="s">
        <v>44</v>
      </c>
      <c r="Z162" s="1" t="s">
        <v>43</v>
      </c>
    </row>
    <row r="163" spans="6:26">
      <c r="F163">
        <v>28</v>
      </c>
      <c r="G163" s="1" t="s">
        <v>53</v>
      </c>
      <c r="H163" s="1"/>
      <c r="I163">
        <v>28</v>
      </c>
      <c r="J163" s="1" t="s">
        <v>53</v>
      </c>
      <c r="K163" s="1" t="s">
        <v>54</v>
      </c>
      <c r="N163" s="1"/>
      <c r="O163" s="1"/>
      <c r="P163" s="1"/>
      <c r="Q163" s="1"/>
      <c r="R163" s="1"/>
      <c r="X163">
        <v>28</v>
      </c>
      <c r="Y163" s="1" t="s">
        <v>53</v>
      </c>
      <c r="Z163" s="1" t="s">
        <v>56</v>
      </c>
    </row>
    <row r="164" spans="6:26">
      <c r="F164" s="1" t="s">
        <v>42</v>
      </c>
      <c r="G164" s="1" t="s">
        <v>44</v>
      </c>
      <c r="H164" s="1"/>
      <c r="I164" s="1" t="s">
        <v>42</v>
      </c>
      <c r="J164" s="1" t="s">
        <v>44</v>
      </c>
      <c r="K164" s="1" t="s">
        <v>43</v>
      </c>
      <c r="O164" s="1"/>
      <c r="P164" s="1"/>
      <c r="Q164" s="1"/>
      <c r="R164" s="1"/>
      <c r="X164" s="1" t="s">
        <v>42</v>
      </c>
      <c r="Y164" s="1" t="s">
        <v>44</v>
      </c>
      <c r="Z164" s="1" t="s">
        <v>43</v>
      </c>
    </row>
    <row r="165" spans="6:26">
      <c r="F165">
        <v>29</v>
      </c>
      <c r="G165" s="1" t="s">
        <v>53</v>
      </c>
      <c r="H165" s="1"/>
      <c r="I165">
        <v>29</v>
      </c>
      <c r="J165" s="1" t="s">
        <v>53</v>
      </c>
      <c r="K165" s="1" t="s">
        <v>54</v>
      </c>
      <c r="N165" s="1"/>
      <c r="O165" s="1"/>
      <c r="P165" s="1"/>
      <c r="Q165" s="1"/>
      <c r="R165" s="1"/>
      <c r="X165">
        <v>29</v>
      </c>
      <c r="Y165" s="1" t="s">
        <v>53</v>
      </c>
      <c r="Z165" s="1" t="s">
        <v>56</v>
      </c>
    </row>
    <row r="166" spans="6:26">
      <c r="F166" s="1" t="s">
        <v>42</v>
      </c>
      <c r="G166" s="1" t="s">
        <v>44</v>
      </c>
      <c r="H166" s="1"/>
      <c r="I166" s="1" t="s">
        <v>42</v>
      </c>
      <c r="J166" s="1" t="s">
        <v>44</v>
      </c>
      <c r="K166" s="1" t="s">
        <v>43</v>
      </c>
      <c r="O166" s="1"/>
      <c r="P166" s="1"/>
      <c r="Q166" s="1"/>
      <c r="R166" s="1"/>
      <c r="X166" s="1" t="s">
        <v>42</v>
      </c>
      <c r="Y166" s="1" t="s">
        <v>44</v>
      </c>
      <c r="Z166" s="1" t="s">
        <v>43</v>
      </c>
    </row>
    <row r="167" spans="6:26">
      <c r="F167">
        <v>30</v>
      </c>
      <c r="G167" s="1" t="s">
        <v>53</v>
      </c>
      <c r="H167" s="1"/>
      <c r="I167">
        <v>30</v>
      </c>
      <c r="J167" s="1" t="s">
        <v>53</v>
      </c>
      <c r="K167" s="1" t="s">
        <v>54</v>
      </c>
      <c r="N167" s="1"/>
      <c r="O167" s="1"/>
      <c r="P167" s="1"/>
      <c r="Q167" s="1"/>
      <c r="R167" s="1"/>
      <c r="X167">
        <v>30</v>
      </c>
      <c r="Y167" s="1" t="s">
        <v>53</v>
      </c>
      <c r="Z167" s="1" t="s">
        <v>56</v>
      </c>
    </row>
    <row r="168" spans="6:26">
      <c r="F168" s="1" t="s">
        <v>42</v>
      </c>
      <c r="G168" s="1" t="s">
        <v>44</v>
      </c>
      <c r="H168" s="1"/>
      <c r="I168" s="1" t="s">
        <v>42</v>
      </c>
      <c r="J168" s="1" t="s">
        <v>44</v>
      </c>
      <c r="K168" s="1" t="s">
        <v>43</v>
      </c>
      <c r="O168" s="1"/>
      <c r="P168" s="1"/>
      <c r="Q168" s="1"/>
      <c r="R168" s="1"/>
      <c r="X168" s="1" t="s">
        <v>42</v>
      </c>
      <c r="Y168" s="1" t="s">
        <v>44</v>
      </c>
      <c r="Z168" s="1" t="s">
        <v>43</v>
      </c>
    </row>
    <row r="169" spans="6:26">
      <c r="F169">
        <v>31</v>
      </c>
      <c r="G169" s="1" t="s">
        <v>53</v>
      </c>
      <c r="H169" s="1"/>
      <c r="I169">
        <v>31</v>
      </c>
      <c r="J169" s="1" t="s">
        <v>53</v>
      </c>
      <c r="K169" s="1" t="s">
        <v>54</v>
      </c>
      <c r="N169" s="1"/>
      <c r="O169" s="1"/>
      <c r="P169" s="1"/>
      <c r="Q169" s="1"/>
      <c r="R169" s="1"/>
      <c r="X169">
        <v>31</v>
      </c>
      <c r="Y169" s="1" t="s">
        <v>53</v>
      </c>
      <c r="Z169" s="1" t="s">
        <v>56</v>
      </c>
    </row>
    <row r="170" spans="6:26">
      <c r="F170" s="1" t="s">
        <v>42</v>
      </c>
      <c r="G170" s="1" t="s">
        <v>44</v>
      </c>
      <c r="H170" s="1"/>
      <c r="I170" s="1" t="s">
        <v>42</v>
      </c>
      <c r="J170" s="1" t="s">
        <v>44</v>
      </c>
      <c r="K170" s="1" t="s">
        <v>43</v>
      </c>
      <c r="O170" s="1"/>
      <c r="P170" s="1"/>
      <c r="Q170" s="1"/>
      <c r="R170" s="1"/>
      <c r="X170" s="1" t="s">
        <v>42</v>
      </c>
      <c r="Y170" s="1" t="s">
        <v>44</v>
      </c>
      <c r="Z170" s="1" t="s">
        <v>43</v>
      </c>
    </row>
    <row r="171" spans="6:26">
      <c r="F171">
        <v>32</v>
      </c>
      <c r="G171" s="1" t="s">
        <v>53</v>
      </c>
      <c r="H171" s="1"/>
      <c r="I171">
        <v>32</v>
      </c>
      <c r="J171" s="1" t="s">
        <v>53</v>
      </c>
      <c r="K171" s="1" t="s">
        <v>54</v>
      </c>
      <c r="N171" s="1"/>
      <c r="O171" s="1"/>
      <c r="P171" s="1"/>
      <c r="Q171" s="1"/>
      <c r="R171" s="1"/>
      <c r="X171">
        <v>32</v>
      </c>
      <c r="Y171" s="1" t="s">
        <v>53</v>
      </c>
      <c r="Z171" s="1" t="s">
        <v>56</v>
      </c>
    </row>
    <row r="172" spans="6:26">
      <c r="F172" s="1" t="s">
        <v>42</v>
      </c>
      <c r="G172" s="1" t="s">
        <v>44</v>
      </c>
      <c r="H172" s="1"/>
      <c r="I172" s="1" t="s">
        <v>42</v>
      </c>
      <c r="J172" s="1" t="s">
        <v>44</v>
      </c>
      <c r="K172" s="1" t="s">
        <v>43</v>
      </c>
      <c r="O172" s="1"/>
      <c r="P172" s="1"/>
      <c r="Q172" s="1"/>
      <c r="R172" s="1"/>
      <c r="X172" s="1" t="s">
        <v>42</v>
      </c>
      <c r="Y172" s="1" t="s">
        <v>44</v>
      </c>
      <c r="Z172" s="1" t="s">
        <v>43</v>
      </c>
    </row>
    <row r="173" spans="6:26">
      <c r="F173">
        <v>33</v>
      </c>
      <c r="G173" s="1" t="s">
        <v>53</v>
      </c>
      <c r="H173" s="1"/>
      <c r="I173">
        <v>33</v>
      </c>
      <c r="J173" s="1" t="s">
        <v>53</v>
      </c>
      <c r="K173" s="1" t="s">
        <v>54</v>
      </c>
      <c r="N173" s="1"/>
      <c r="O173" s="1"/>
      <c r="P173" s="1"/>
      <c r="Q173" s="1"/>
      <c r="R173" s="1"/>
      <c r="X173">
        <v>33</v>
      </c>
      <c r="Y173" s="1" t="s">
        <v>53</v>
      </c>
      <c r="Z173" s="1" t="s">
        <v>56</v>
      </c>
    </row>
    <row r="174" spans="6:26">
      <c r="F174" s="1" t="s">
        <v>42</v>
      </c>
      <c r="G174" s="1" t="s">
        <v>44</v>
      </c>
      <c r="H174" s="1"/>
      <c r="I174" s="1" t="s">
        <v>42</v>
      </c>
      <c r="J174" s="1" t="s">
        <v>44</v>
      </c>
      <c r="K174" s="1" t="s">
        <v>43</v>
      </c>
      <c r="O174" s="1"/>
      <c r="P174" s="1"/>
      <c r="Q174" s="1"/>
      <c r="R174" s="1"/>
      <c r="X174" s="1" t="s">
        <v>42</v>
      </c>
      <c r="Y174" s="1" t="s">
        <v>44</v>
      </c>
      <c r="Z174" s="1" t="s">
        <v>43</v>
      </c>
    </row>
    <row r="175" spans="6:26">
      <c r="F175">
        <v>34</v>
      </c>
      <c r="G175" s="1" t="s">
        <v>53</v>
      </c>
      <c r="H175" s="1"/>
      <c r="I175">
        <v>34</v>
      </c>
      <c r="J175" s="1" t="s">
        <v>53</v>
      </c>
      <c r="K175" s="1" t="s">
        <v>54</v>
      </c>
      <c r="N175" s="1"/>
      <c r="O175" s="1"/>
      <c r="P175" s="1"/>
      <c r="Q175" s="1"/>
      <c r="R175" s="1"/>
      <c r="X175">
        <v>34</v>
      </c>
      <c r="Y175" s="1" t="s">
        <v>53</v>
      </c>
      <c r="Z175" s="1" t="s">
        <v>56</v>
      </c>
    </row>
    <row r="176" spans="6:26">
      <c r="F176" s="1" t="s">
        <v>42</v>
      </c>
      <c r="G176" s="1" t="s">
        <v>44</v>
      </c>
      <c r="H176" s="1"/>
      <c r="I176" s="1" t="s">
        <v>42</v>
      </c>
      <c r="J176" s="1" t="s">
        <v>44</v>
      </c>
      <c r="K176" s="1" t="s">
        <v>43</v>
      </c>
      <c r="O176" s="1"/>
      <c r="P176" s="1"/>
      <c r="Q176" s="1"/>
      <c r="R176" s="1"/>
      <c r="X176" s="1" t="s">
        <v>42</v>
      </c>
      <c r="Y176" s="1" t="s">
        <v>44</v>
      </c>
      <c r="Z176" s="1" t="s">
        <v>43</v>
      </c>
    </row>
    <row r="177" spans="6:26">
      <c r="F177">
        <v>35</v>
      </c>
      <c r="G177" s="1" t="s">
        <v>53</v>
      </c>
      <c r="H177" s="1"/>
      <c r="I177">
        <v>35</v>
      </c>
      <c r="J177" s="1" t="s">
        <v>53</v>
      </c>
      <c r="K177" s="1" t="s">
        <v>54</v>
      </c>
      <c r="N177" s="1"/>
      <c r="O177" s="1"/>
      <c r="P177" s="1"/>
      <c r="Q177" s="1"/>
      <c r="R177" s="1"/>
      <c r="X177">
        <v>35</v>
      </c>
      <c r="Y177" s="1" t="s">
        <v>53</v>
      </c>
      <c r="Z177" s="1" t="s">
        <v>56</v>
      </c>
    </row>
    <row r="178" spans="6:26">
      <c r="F178" s="1" t="s">
        <v>42</v>
      </c>
      <c r="G178" s="1" t="s">
        <v>44</v>
      </c>
      <c r="H178" s="1"/>
      <c r="I178" s="1" t="s">
        <v>42</v>
      </c>
      <c r="J178" s="1" t="s">
        <v>44</v>
      </c>
      <c r="K178" s="1" t="s">
        <v>43</v>
      </c>
      <c r="O178" s="1"/>
      <c r="P178" s="1"/>
      <c r="Q178" s="1"/>
      <c r="R178" s="1"/>
      <c r="X178" s="1" t="s">
        <v>42</v>
      </c>
      <c r="Y178" s="1" t="s">
        <v>44</v>
      </c>
      <c r="Z178" s="1" t="s">
        <v>43</v>
      </c>
    </row>
    <row r="179" spans="6:26">
      <c r="F179">
        <v>36</v>
      </c>
      <c r="G179" s="1" t="s">
        <v>53</v>
      </c>
      <c r="H179" s="1"/>
      <c r="I179">
        <v>36</v>
      </c>
      <c r="J179" s="1" t="s">
        <v>53</v>
      </c>
      <c r="K179" s="1" t="s">
        <v>54</v>
      </c>
      <c r="N179" s="1"/>
      <c r="O179" s="1"/>
      <c r="P179" s="1"/>
      <c r="Q179" s="1"/>
      <c r="R179" s="1"/>
      <c r="X179">
        <v>36</v>
      </c>
      <c r="Y179" s="1" t="s">
        <v>53</v>
      </c>
      <c r="Z179" s="1" t="s">
        <v>56</v>
      </c>
    </row>
    <row r="180" spans="6:26">
      <c r="F180" s="1" t="s">
        <v>42</v>
      </c>
      <c r="G180" s="1" t="s">
        <v>44</v>
      </c>
      <c r="H180" s="1"/>
      <c r="I180" s="1" t="s">
        <v>42</v>
      </c>
      <c r="J180" s="1" t="s">
        <v>44</v>
      </c>
      <c r="K180" s="1" t="s">
        <v>43</v>
      </c>
      <c r="O180" s="1"/>
      <c r="P180" s="1"/>
      <c r="Q180" s="1"/>
      <c r="R180" s="1"/>
      <c r="X180" s="1" t="s">
        <v>42</v>
      </c>
      <c r="Y180" s="1" t="s">
        <v>44</v>
      </c>
      <c r="Z180" s="1" t="s">
        <v>43</v>
      </c>
    </row>
    <row r="181" spans="6:26">
      <c r="F181">
        <v>37</v>
      </c>
      <c r="G181" s="1" t="s">
        <v>53</v>
      </c>
      <c r="H181" s="1"/>
      <c r="I181">
        <v>37</v>
      </c>
      <c r="J181" s="1" t="s">
        <v>53</v>
      </c>
      <c r="K181" s="1" t="s">
        <v>54</v>
      </c>
      <c r="N181" s="1"/>
      <c r="O181" s="1"/>
      <c r="P181" s="1"/>
      <c r="Q181" s="1"/>
      <c r="R181" s="1"/>
      <c r="X181">
        <v>37</v>
      </c>
      <c r="Y181" s="1" t="s">
        <v>53</v>
      </c>
      <c r="Z181" s="1" t="s">
        <v>56</v>
      </c>
    </row>
    <row r="182" spans="6:26">
      <c r="F182" s="1" t="s">
        <v>42</v>
      </c>
      <c r="G182" s="1" t="s">
        <v>44</v>
      </c>
      <c r="H182" s="1"/>
      <c r="I182" s="1" t="s">
        <v>42</v>
      </c>
      <c r="J182" s="1" t="s">
        <v>44</v>
      </c>
      <c r="K182" s="1" t="s">
        <v>43</v>
      </c>
      <c r="O182" s="1"/>
      <c r="P182" s="1"/>
      <c r="Q182" s="1"/>
      <c r="R182" s="1"/>
      <c r="X182" s="1" t="s">
        <v>42</v>
      </c>
      <c r="Y182" s="1" t="s">
        <v>44</v>
      </c>
      <c r="Z182" s="1" t="s">
        <v>43</v>
      </c>
    </row>
    <row r="183" spans="6:26">
      <c r="F183">
        <v>38</v>
      </c>
      <c r="G183" s="1" t="s">
        <v>53</v>
      </c>
      <c r="H183" s="1"/>
      <c r="I183">
        <v>38</v>
      </c>
      <c r="J183" s="1" t="s">
        <v>53</v>
      </c>
      <c r="K183" s="1" t="s">
        <v>54</v>
      </c>
      <c r="N183" s="1"/>
      <c r="O183" s="1"/>
      <c r="P183" s="1"/>
      <c r="Q183" s="1"/>
      <c r="R183" s="1"/>
      <c r="X183">
        <v>38</v>
      </c>
      <c r="Y183" s="1" t="s">
        <v>53</v>
      </c>
      <c r="Z183" s="1" t="s">
        <v>56</v>
      </c>
    </row>
    <row r="184" spans="6:26">
      <c r="F184" s="1" t="s">
        <v>42</v>
      </c>
      <c r="G184" s="1" t="s">
        <v>44</v>
      </c>
      <c r="H184" s="1"/>
      <c r="I184" s="1" t="s">
        <v>42</v>
      </c>
      <c r="J184" s="1" t="s">
        <v>44</v>
      </c>
      <c r="K184" s="1" t="s">
        <v>43</v>
      </c>
      <c r="O184" s="1"/>
      <c r="P184" s="1"/>
      <c r="Q184" s="1"/>
      <c r="R184" s="1"/>
      <c r="X184" s="1" t="s">
        <v>42</v>
      </c>
      <c r="Y184" s="1" t="s">
        <v>44</v>
      </c>
      <c r="Z184" s="1" t="s">
        <v>43</v>
      </c>
    </row>
    <row r="185" spans="6:26">
      <c r="F185">
        <v>39</v>
      </c>
      <c r="G185" s="1" t="s">
        <v>53</v>
      </c>
      <c r="H185" s="1"/>
      <c r="I185">
        <v>39</v>
      </c>
      <c r="J185" s="1" t="s">
        <v>53</v>
      </c>
      <c r="K185" s="1" t="s">
        <v>54</v>
      </c>
      <c r="N185" s="1"/>
      <c r="O185" s="1"/>
      <c r="P185" s="1"/>
      <c r="Q185" s="1"/>
      <c r="R185" s="1"/>
      <c r="X185">
        <v>39</v>
      </c>
      <c r="Y185" s="1" t="s">
        <v>53</v>
      </c>
      <c r="Z185" s="1" t="s">
        <v>56</v>
      </c>
    </row>
    <row r="186" spans="6:26">
      <c r="F186" s="1" t="s">
        <v>42</v>
      </c>
      <c r="G186" s="1" t="s">
        <v>44</v>
      </c>
      <c r="H186" s="1"/>
      <c r="I186" s="1" t="s">
        <v>42</v>
      </c>
      <c r="J186" s="1" t="s">
        <v>44</v>
      </c>
      <c r="K186" s="1" t="s">
        <v>43</v>
      </c>
      <c r="O186" s="1"/>
      <c r="P186" s="1"/>
      <c r="Q186" s="1"/>
      <c r="R186" s="1"/>
      <c r="X186" s="1" t="s">
        <v>42</v>
      </c>
      <c r="Y186" s="1" t="s">
        <v>44</v>
      </c>
      <c r="Z186" s="1" t="s">
        <v>43</v>
      </c>
    </row>
    <row r="187" spans="6:26">
      <c r="F187">
        <v>40</v>
      </c>
      <c r="G187" s="1" t="s">
        <v>53</v>
      </c>
      <c r="H187" s="1"/>
      <c r="I187">
        <v>40</v>
      </c>
      <c r="J187" s="1" t="s">
        <v>53</v>
      </c>
      <c r="K187" s="1" t="s">
        <v>54</v>
      </c>
      <c r="N187" s="1"/>
      <c r="O187" s="1"/>
      <c r="P187" s="1"/>
      <c r="Q187" s="1"/>
      <c r="R187" s="1"/>
      <c r="X187">
        <v>40</v>
      </c>
      <c r="Y187" s="1" t="s">
        <v>53</v>
      </c>
      <c r="Z187" s="1" t="s">
        <v>56</v>
      </c>
    </row>
    <row r="188" spans="6:26">
      <c r="F188" s="1" t="s">
        <v>42</v>
      </c>
      <c r="G188" s="1" t="s">
        <v>44</v>
      </c>
      <c r="H188" s="1"/>
      <c r="I188" s="1" t="s">
        <v>42</v>
      </c>
      <c r="J188" s="1" t="s">
        <v>44</v>
      </c>
      <c r="K188" s="1" t="s">
        <v>43</v>
      </c>
      <c r="O188" s="1"/>
      <c r="P188" s="1"/>
      <c r="Q188" s="1"/>
      <c r="R188" s="1"/>
      <c r="X188" s="1" t="s">
        <v>42</v>
      </c>
      <c r="Y188" s="1" t="s">
        <v>44</v>
      </c>
      <c r="Z188" s="1" t="s">
        <v>43</v>
      </c>
    </row>
    <row r="189" spans="6:26">
      <c r="F189">
        <v>41</v>
      </c>
      <c r="G189" s="1" t="s">
        <v>53</v>
      </c>
      <c r="H189" s="1"/>
      <c r="I189">
        <v>41</v>
      </c>
      <c r="J189" s="1" t="s">
        <v>53</v>
      </c>
      <c r="K189" s="1" t="s">
        <v>54</v>
      </c>
      <c r="N189" s="1"/>
      <c r="O189" s="1"/>
      <c r="P189" s="1"/>
      <c r="Q189" s="1"/>
      <c r="R189" s="1"/>
      <c r="X189">
        <v>41</v>
      </c>
      <c r="Y189" s="1" t="s">
        <v>53</v>
      </c>
      <c r="Z189" s="1" t="s">
        <v>56</v>
      </c>
    </row>
    <row r="190" spans="6:26">
      <c r="F190" s="1" t="s">
        <v>42</v>
      </c>
      <c r="G190" s="1" t="s">
        <v>44</v>
      </c>
      <c r="H190" s="1"/>
      <c r="I190" s="1" t="s">
        <v>42</v>
      </c>
      <c r="J190" s="1" t="s">
        <v>44</v>
      </c>
      <c r="K190" s="1" t="s">
        <v>43</v>
      </c>
      <c r="O190" s="1"/>
      <c r="P190" s="1"/>
      <c r="Q190" s="1"/>
      <c r="R190" s="1"/>
      <c r="X190" s="1" t="s">
        <v>42</v>
      </c>
      <c r="Y190" s="1" t="s">
        <v>44</v>
      </c>
      <c r="Z190" s="1" t="s">
        <v>43</v>
      </c>
    </row>
    <row r="191" spans="6:26">
      <c r="F191">
        <v>42</v>
      </c>
      <c r="G191" s="1" t="s">
        <v>53</v>
      </c>
      <c r="H191" s="1"/>
      <c r="I191">
        <v>42</v>
      </c>
      <c r="J191" s="1" t="s">
        <v>53</v>
      </c>
      <c r="K191" s="1" t="s">
        <v>54</v>
      </c>
      <c r="N191" s="1"/>
      <c r="O191" s="1"/>
      <c r="P191" s="1"/>
      <c r="Q191" s="1"/>
      <c r="R191" s="1"/>
      <c r="X191">
        <v>42</v>
      </c>
      <c r="Y191" s="1" t="s">
        <v>53</v>
      </c>
      <c r="Z191" s="1" t="s">
        <v>56</v>
      </c>
    </row>
    <row r="192" spans="6:26">
      <c r="F192" s="1" t="s">
        <v>42</v>
      </c>
      <c r="G192" s="1" t="s">
        <v>44</v>
      </c>
      <c r="H192" s="1"/>
      <c r="I192" s="1" t="s">
        <v>42</v>
      </c>
      <c r="J192" s="1" t="s">
        <v>44</v>
      </c>
      <c r="K192" s="1" t="s">
        <v>43</v>
      </c>
      <c r="O192" s="1"/>
      <c r="P192" s="1"/>
      <c r="Q192" s="1"/>
      <c r="R192" s="1"/>
      <c r="X192" s="1" t="s">
        <v>42</v>
      </c>
      <c r="Y192" s="1" t="s">
        <v>44</v>
      </c>
      <c r="Z192" s="1" t="s">
        <v>43</v>
      </c>
    </row>
    <row r="193" spans="6:26">
      <c r="F193">
        <v>43</v>
      </c>
      <c r="G193" s="1" t="s">
        <v>53</v>
      </c>
      <c r="H193" s="1"/>
      <c r="I193">
        <v>43</v>
      </c>
      <c r="J193" s="1" t="s">
        <v>53</v>
      </c>
      <c r="K193" s="1" t="s">
        <v>54</v>
      </c>
      <c r="N193" s="1"/>
      <c r="O193" s="1"/>
      <c r="P193" s="1"/>
      <c r="Q193" s="1"/>
      <c r="R193" s="1"/>
      <c r="X193">
        <v>43</v>
      </c>
      <c r="Y193" s="1" t="s">
        <v>53</v>
      </c>
      <c r="Z193" s="1" t="s">
        <v>56</v>
      </c>
    </row>
    <row r="194" spans="6:26">
      <c r="F194" s="1" t="s">
        <v>42</v>
      </c>
      <c r="G194" s="1" t="s">
        <v>44</v>
      </c>
      <c r="H194" s="1"/>
      <c r="I194" s="1" t="s">
        <v>42</v>
      </c>
      <c r="J194" s="1" t="s">
        <v>44</v>
      </c>
      <c r="K194" s="1" t="s">
        <v>43</v>
      </c>
      <c r="O194" s="1"/>
      <c r="P194" s="1"/>
      <c r="Q194" s="1"/>
      <c r="R194" s="1"/>
      <c r="X194" s="1" t="s">
        <v>42</v>
      </c>
      <c r="Y194" s="1" t="s">
        <v>44</v>
      </c>
      <c r="Z194" s="1" t="s">
        <v>43</v>
      </c>
    </row>
    <row r="195" spans="6:26">
      <c r="F195">
        <v>44</v>
      </c>
      <c r="G195" s="1" t="s">
        <v>53</v>
      </c>
      <c r="H195" s="1"/>
      <c r="I195">
        <v>44</v>
      </c>
      <c r="J195" s="1" t="s">
        <v>53</v>
      </c>
      <c r="K195" s="1" t="s">
        <v>54</v>
      </c>
      <c r="N195" s="1"/>
      <c r="O195" s="1"/>
      <c r="P195" s="1"/>
      <c r="Q195" s="1"/>
      <c r="R195" s="1"/>
      <c r="X195">
        <v>44</v>
      </c>
      <c r="Y195" s="1" t="s">
        <v>53</v>
      </c>
      <c r="Z195" s="1" t="s">
        <v>56</v>
      </c>
    </row>
    <row r="196" spans="6:26">
      <c r="F196" s="1" t="s">
        <v>42</v>
      </c>
      <c r="G196" s="1" t="s">
        <v>44</v>
      </c>
      <c r="H196" s="1"/>
      <c r="I196" s="1" t="s">
        <v>42</v>
      </c>
      <c r="J196" s="1" t="s">
        <v>44</v>
      </c>
      <c r="K196" s="1" t="s">
        <v>43</v>
      </c>
      <c r="O196" s="1"/>
      <c r="P196" s="1"/>
      <c r="Q196" s="1"/>
      <c r="R196" s="1"/>
      <c r="X196" s="1" t="s">
        <v>42</v>
      </c>
      <c r="Y196" s="1" t="s">
        <v>44</v>
      </c>
      <c r="Z196" s="1" t="s">
        <v>43</v>
      </c>
    </row>
    <row r="197" spans="6:26">
      <c r="F197">
        <v>45</v>
      </c>
      <c r="G197" s="1" t="s">
        <v>53</v>
      </c>
      <c r="H197" s="1"/>
      <c r="I197">
        <v>45</v>
      </c>
      <c r="J197" s="1" t="s">
        <v>53</v>
      </c>
      <c r="K197" s="1" t="s">
        <v>54</v>
      </c>
      <c r="N197" s="1"/>
      <c r="O197" s="1"/>
      <c r="P197" s="1"/>
      <c r="Q197" s="1"/>
      <c r="R197" s="1"/>
      <c r="X197">
        <v>45</v>
      </c>
      <c r="Y197" s="1" t="s">
        <v>53</v>
      </c>
      <c r="Z197" s="1" t="s">
        <v>56</v>
      </c>
    </row>
    <row r="198" spans="6:26">
      <c r="F198" s="1" t="s">
        <v>42</v>
      </c>
      <c r="G198" s="1" t="s">
        <v>44</v>
      </c>
      <c r="H198" s="1"/>
      <c r="I198" s="1" t="s">
        <v>42</v>
      </c>
      <c r="J198" s="1" t="s">
        <v>44</v>
      </c>
      <c r="K198" s="1" t="s">
        <v>43</v>
      </c>
      <c r="O198" s="1"/>
      <c r="P198" s="1"/>
      <c r="Q198" s="1"/>
      <c r="R198" s="1"/>
      <c r="X198" s="1" t="s">
        <v>42</v>
      </c>
      <c r="Y198" s="1" t="s">
        <v>44</v>
      </c>
      <c r="Z198" s="1" t="s">
        <v>43</v>
      </c>
    </row>
    <row r="199" spans="6:26">
      <c r="F199">
        <v>46</v>
      </c>
      <c r="G199" s="1" t="s">
        <v>53</v>
      </c>
      <c r="H199" s="1"/>
      <c r="I199">
        <v>46</v>
      </c>
      <c r="J199" s="1" t="s">
        <v>53</v>
      </c>
      <c r="K199" s="1" t="s">
        <v>54</v>
      </c>
      <c r="N199" s="1"/>
      <c r="O199" s="1"/>
      <c r="P199" s="1"/>
      <c r="Q199" s="1"/>
      <c r="R199" s="1"/>
      <c r="X199">
        <v>46</v>
      </c>
      <c r="Y199" s="1" t="s">
        <v>53</v>
      </c>
      <c r="Z199" s="1" t="s">
        <v>56</v>
      </c>
    </row>
    <row r="200" spans="6:26">
      <c r="F200" s="1" t="s">
        <v>42</v>
      </c>
      <c r="G200" s="1" t="s">
        <v>44</v>
      </c>
      <c r="I200" s="1" t="s">
        <v>42</v>
      </c>
      <c r="J200" s="1" t="s">
        <v>44</v>
      </c>
      <c r="K200" s="1" t="s">
        <v>43</v>
      </c>
      <c r="O200" s="1"/>
      <c r="P200" s="1"/>
      <c r="Q200" s="1"/>
      <c r="R200" s="1"/>
      <c r="X200" s="1" t="s">
        <v>42</v>
      </c>
      <c r="Y200" s="1" t="s">
        <v>44</v>
      </c>
      <c r="Z200" s="1" t="s">
        <v>43</v>
      </c>
    </row>
    <row r="201" spans="6:26">
      <c r="F201">
        <v>47</v>
      </c>
      <c r="G201" s="1" t="s">
        <v>53</v>
      </c>
      <c r="I201">
        <v>47</v>
      </c>
      <c r="J201" s="1" t="s">
        <v>53</v>
      </c>
      <c r="K201" s="1" t="s">
        <v>54</v>
      </c>
      <c r="N201" s="1"/>
      <c r="O201" s="1"/>
      <c r="P201" s="1"/>
      <c r="X201">
        <v>47</v>
      </c>
      <c r="Y201" s="1" t="s">
        <v>53</v>
      </c>
      <c r="Z201" s="1" t="s">
        <v>56</v>
      </c>
    </row>
    <row r="202" spans="6:26">
      <c r="F202" s="1" t="s">
        <v>42</v>
      </c>
      <c r="G202" s="1" t="s">
        <v>44</v>
      </c>
      <c r="I202" s="1" t="s">
        <v>42</v>
      </c>
      <c r="J202" s="1" t="s">
        <v>44</v>
      </c>
      <c r="K202" s="1" t="s">
        <v>43</v>
      </c>
      <c r="O202" s="1"/>
      <c r="P202" s="1"/>
      <c r="X202" s="1" t="s">
        <v>42</v>
      </c>
      <c r="Y202" s="1" t="s">
        <v>44</v>
      </c>
      <c r="Z202" s="1" t="s">
        <v>43</v>
      </c>
    </row>
    <row r="203" spans="6:26">
      <c r="F203">
        <v>48</v>
      </c>
      <c r="G203" s="1" t="s">
        <v>53</v>
      </c>
      <c r="I203">
        <v>48</v>
      </c>
      <c r="J203" s="1" t="s">
        <v>53</v>
      </c>
      <c r="K203" s="1" t="s">
        <v>54</v>
      </c>
      <c r="N203" s="1"/>
      <c r="O203" s="1"/>
      <c r="P203" s="1"/>
      <c r="X203">
        <v>48</v>
      </c>
      <c r="Y203" s="1" t="s">
        <v>53</v>
      </c>
      <c r="Z203" s="1" t="s">
        <v>56</v>
      </c>
    </row>
    <row r="204" spans="6:26">
      <c r="F204" s="1" t="s">
        <v>42</v>
      </c>
      <c r="G204" s="1" t="s">
        <v>44</v>
      </c>
      <c r="I204" s="1" t="s">
        <v>42</v>
      </c>
      <c r="J204" s="1" t="s">
        <v>44</v>
      </c>
      <c r="K204" s="1" t="s">
        <v>43</v>
      </c>
      <c r="O204" s="1"/>
      <c r="P204" s="1"/>
      <c r="X204" s="1" t="s">
        <v>42</v>
      </c>
      <c r="Y204" s="1" t="s">
        <v>44</v>
      </c>
      <c r="Z204" s="1" t="s">
        <v>43</v>
      </c>
    </row>
    <row r="205" spans="6:26">
      <c r="F205">
        <v>49</v>
      </c>
      <c r="G205" s="1" t="s">
        <v>53</v>
      </c>
      <c r="I205">
        <v>49</v>
      </c>
      <c r="J205" s="1" t="s">
        <v>53</v>
      </c>
      <c r="K205" s="1" t="s">
        <v>54</v>
      </c>
      <c r="N205" s="1"/>
      <c r="O205" s="1"/>
      <c r="P205" s="1"/>
      <c r="X205">
        <v>49</v>
      </c>
      <c r="Y205" s="1" t="s">
        <v>53</v>
      </c>
      <c r="Z205" s="1" t="s">
        <v>56</v>
      </c>
    </row>
    <row r="206" spans="6:26">
      <c r="F206" s="1" t="s">
        <v>42</v>
      </c>
      <c r="G206" s="1" t="s">
        <v>44</v>
      </c>
      <c r="I206" s="1" t="s">
        <v>42</v>
      </c>
      <c r="J206" s="1" t="s">
        <v>44</v>
      </c>
      <c r="K206" s="1" t="s">
        <v>43</v>
      </c>
      <c r="O206" s="1"/>
      <c r="P206" s="1"/>
      <c r="X206" s="1" t="s">
        <v>42</v>
      </c>
      <c r="Y206" s="1" t="s">
        <v>44</v>
      </c>
      <c r="Z206" s="1" t="s">
        <v>43</v>
      </c>
    </row>
    <row r="207" spans="6:26">
      <c r="F207">
        <v>50</v>
      </c>
      <c r="G207" s="1" t="s">
        <v>53</v>
      </c>
      <c r="I207">
        <v>50</v>
      </c>
      <c r="J207" s="1" t="s">
        <v>53</v>
      </c>
      <c r="K207" s="1" t="s">
        <v>54</v>
      </c>
      <c r="N207" s="1"/>
      <c r="O207" s="1"/>
      <c r="P207" s="1"/>
      <c r="X207">
        <v>50</v>
      </c>
      <c r="Y207" s="1" t="s">
        <v>53</v>
      </c>
      <c r="Z207" s="1" t="s">
        <v>56</v>
      </c>
    </row>
    <row r="208" spans="6:26">
      <c r="F208" s="1" t="s">
        <v>42</v>
      </c>
      <c r="G208" s="1" t="s">
        <v>44</v>
      </c>
      <c r="I208" s="1" t="s">
        <v>42</v>
      </c>
      <c r="J208" s="1" t="s">
        <v>44</v>
      </c>
      <c r="K208" s="1" t="s">
        <v>43</v>
      </c>
      <c r="O208" s="1"/>
      <c r="P208" s="1"/>
      <c r="X208" s="1" t="s">
        <v>42</v>
      </c>
      <c r="Y208" s="1" t="s">
        <v>44</v>
      </c>
      <c r="Z208" s="1" t="s">
        <v>43</v>
      </c>
    </row>
    <row r="209" spans="6:26">
      <c r="F209">
        <v>51</v>
      </c>
      <c r="G209" s="1" t="s">
        <v>53</v>
      </c>
      <c r="I209">
        <v>51</v>
      </c>
      <c r="J209" s="1" t="s">
        <v>53</v>
      </c>
      <c r="K209" s="1" t="s">
        <v>54</v>
      </c>
      <c r="N209" s="1"/>
      <c r="O209" s="1"/>
      <c r="P209" s="1"/>
      <c r="X209">
        <v>51</v>
      </c>
      <c r="Y209" s="1" t="s">
        <v>53</v>
      </c>
      <c r="Z209" s="1" t="s">
        <v>56</v>
      </c>
    </row>
    <row r="210" spans="6:26">
      <c r="F210" s="1" t="s">
        <v>42</v>
      </c>
      <c r="G210" s="1" t="s">
        <v>44</v>
      </c>
      <c r="I210" s="1" t="s">
        <v>42</v>
      </c>
      <c r="J210" s="1" t="s">
        <v>44</v>
      </c>
      <c r="K210" s="1" t="s">
        <v>43</v>
      </c>
      <c r="O210" s="1"/>
      <c r="P210" s="1"/>
      <c r="X210" s="1" t="s">
        <v>42</v>
      </c>
      <c r="Y210" s="1" t="s">
        <v>44</v>
      </c>
      <c r="Z210" s="1" t="s">
        <v>43</v>
      </c>
    </row>
    <row r="211" spans="6:26">
      <c r="F211">
        <v>52</v>
      </c>
      <c r="G211" s="1" t="s">
        <v>53</v>
      </c>
      <c r="I211">
        <v>52</v>
      </c>
      <c r="J211" s="1" t="s">
        <v>53</v>
      </c>
      <c r="K211" s="1" t="s">
        <v>54</v>
      </c>
      <c r="N211" s="1"/>
      <c r="O211" s="1"/>
      <c r="P211" s="1"/>
      <c r="X211">
        <v>52</v>
      </c>
      <c r="Y211" s="1" t="s">
        <v>53</v>
      </c>
      <c r="Z211" s="1" t="s">
        <v>56</v>
      </c>
    </row>
    <row r="212" spans="6:26">
      <c r="F212" s="1" t="s">
        <v>42</v>
      </c>
      <c r="G212" s="1" t="s">
        <v>44</v>
      </c>
      <c r="I212" s="1" t="s">
        <v>42</v>
      </c>
      <c r="J212" s="1" t="s">
        <v>44</v>
      </c>
      <c r="K212" s="1" t="s">
        <v>43</v>
      </c>
      <c r="O212" s="1"/>
      <c r="P212" s="1"/>
      <c r="X212" s="1" t="s">
        <v>42</v>
      </c>
      <c r="Y212" s="1" t="s">
        <v>44</v>
      </c>
      <c r="Z212" s="1" t="s">
        <v>43</v>
      </c>
    </row>
    <row r="213" spans="6:26">
      <c r="F213">
        <v>53</v>
      </c>
      <c r="G213" s="1" t="s">
        <v>53</v>
      </c>
      <c r="I213">
        <v>53</v>
      </c>
      <c r="J213" s="1" t="s">
        <v>53</v>
      </c>
      <c r="K213" s="1" t="s">
        <v>54</v>
      </c>
      <c r="N213" s="1"/>
      <c r="O213" s="1"/>
      <c r="P213" s="1"/>
      <c r="X213">
        <v>53</v>
      </c>
      <c r="Y213" s="1" t="s">
        <v>53</v>
      </c>
      <c r="Z213" s="1" t="s">
        <v>56</v>
      </c>
    </row>
    <row r="214" spans="6:26">
      <c r="F214" s="1" t="s">
        <v>42</v>
      </c>
      <c r="G214" s="1" t="s">
        <v>44</v>
      </c>
      <c r="I214" s="1" t="s">
        <v>42</v>
      </c>
      <c r="J214" s="1" t="s">
        <v>44</v>
      </c>
      <c r="K214" s="1" t="s">
        <v>43</v>
      </c>
      <c r="O214" s="1"/>
      <c r="P214" s="1"/>
      <c r="X214" s="1" t="s">
        <v>42</v>
      </c>
      <c r="Y214" s="1" t="s">
        <v>44</v>
      </c>
      <c r="Z214" s="1" t="s">
        <v>43</v>
      </c>
    </row>
    <row r="215" spans="6:26">
      <c r="F215">
        <v>54</v>
      </c>
      <c r="G215" s="1" t="s">
        <v>53</v>
      </c>
      <c r="I215">
        <v>54</v>
      </c>
      <c r="J215" s="1" t="s">
        <v>53</v>
      </c>
      <c r="K215" s="1" t="s">
        <v>54</v>
      </c>
      <c r="N215" s="1"/>
      <c r="O215" s="1"/>
      <c r="P215" s="1"/>
      <c r="X215">
        <v>54</v>
      </c>
      <c r="Y215" s="1" t="s">
        <v>53</v>
      </c>
      <c r="Z215" s="1" t="s">
        <v>56</v>
      </c>
    </row>
    <row r="216" spans="6:26">
      <c r="F216" s="1" t="s">
        <v>42</v>
      </c>
      <c r="G216" s="1" t="s">
        <v>44</v>
      </c>
      <c r="I216" s="1" t="s">
        <v>42</v>
      </c>
      <c r="J216" s="1" t="s">
        <v>44</v>
      </c>
      <c r="K216" s="1" t="s">
        <v>43</v>
      </c>
      <c r="O216" s="1"/>
      <c r="P216" s="1"/>
      <c r="X216" s="1" t="s">
        <v>42</v>
      </c>
      <c r="Y216" s="1" t="s">
        <v>44</v>
      </c>
      <c r="Z216" s="1" t="s">
        <v>43</v>
      </c>
    </row>
    <row r="217" spans="6:26">
      <c r="F217">
        <v>55</v>
      </c>
      <c r="G217" s="1" t="s">
        <v>53</v>
      </c>
      <c r="I217">
        <v>55</v>
      </c>
      <c r="J217" s="1" t="s">
        <v>53</v>
      </c>
      <c r="K217" s="1" t="s">
        <v>54</v>
      </c>
      <c r="N217" s="1"/>
      <c r="O217" s="1"/>
      <c r="P217" s="1"/>
      <c r="X217">
        <v>55</v>
      </c>
      <c r="Y217" s="1" t="s">
        <v>53</v>
      </c>
      <c r="Z217" s="1" t="s">
        <v>56</v>
      </c>
    </row>
    <row r="218" spans="6:26">
      <c r="F218" s="1" t="s">
        <v>42</v>
      </c>
      <c r="G218" s="1" t="s">
        <v>44</v>
      </c>
      <c r="I218" s="1" t="s">
        <v>42</v>
      </c>
      <c r="J218" s="1" t="s">
        <v>44</v>
      </c>
      <c r="K218" s="1" t="s">
        <v>43</v>
      </c>
      <c r="O218" s="1"/>
      <c r="P218" s="1"/>
      <c r="X218" s="1" t="s">
        <v>42</v>
      </c>
      <c r="Y218" s="1" t="s">
        <v>44</v>
      </c>
      <c r="Z218" s="1" t="s">
        <v>43</v>
      </c>
    </row>
    <row r="219" spans="6:26">
      <c r="F219">
        <v>56</v>
      </c>
      <c r="G219" s="1" t="s">
        <v>53</v>
      </c>
      <c r="I219">
        <v>56</v>
      </c>
      <c r="J219" s="1" t="s">
        <v>53</v>
      </c>
      <c r="K219" s="1" t="s">
        <v>54</v>
      </c>
      <c r="N219" s="1"/>
      <c r="O219" s="1"/>
      <c r="P219" s="1"/>
      <c r="X219">
        <v>56</v>
      </c>
      <c r="Y219" s="1" t="s">
        <v>53</v>
      </c>
      <c r="Z219" s="1" t="s">
        <v>56</v>
      </c>
    </row>
    <row r="220" spans="6:26">
      <c r="F220" s="1" t="s">
        <v>42</v>
      </c>
      <c r="G220" s="1" t="s">
        <v>44</v>
      </c>
      <c r="I220" s="1" t="s">
        <v>42</v>
      </c>
      <c r="J220" s="1" t="s">
        <v>44</v>
      </c>
      <c r="K220" s="1" t="s">
        <v>43</v>
      </c>
      <c r="O220" s="1"/>
      <c r="P220" s="1"/>
      <c r="X220" s="1" t="s">
        <v>42</v>
      </c>
      <c r="Y220" s="1" t="s">
        <v>44</v>
      </c>
      <c r="Z220" s="1" t="s">
        <v>43</v>
      </c>
    </row>
    <row r="221" spans="6:26">
      <c r="F221">
        <v>57</v>
      </c>
      <c r="G221" s="1" t="s">
        <v>53</v>
      </c>
      <c r="I221">
        <v>57</v>
      </c>
      <c r="J221" s="1" t="s">
        <v>53</v>
      </c>
      <c r="K221" s="1" t="s">
        <v>54</v>
      </c>
      <c r="N221" s="1"/>
      <c r="O221" s="1"/>
      <c r="P221" s="1"/>
      <c r="X221">
        <v>57</v>
      </c>
      <c r="Y221" s="1" t="s">
        <v>53</v>
      </c>
      <c r="Z221" s="1" t="s">
        <v>56</v>
      </c>
    </row>
    <row r="222" spans="6:26">
      <c r="F222" s="1" t="s">
        <v>42</v>
      </c>
      <c r="G222" s="1" t="s">
        <v>44</v>
      </c>
      <c r="I222" s="1" t="s">
        <v>42</v>
      </c>
      <c r="J222" s="1" t="s">
        <v>44</v>
      </c>
      <c r="K222" s="1" t="s">
        <v>43</v>
      </c>
      <c r="O222" s="1"/>
      <c r="P222" s="1"/>
      <c r="X222" s="1" t="s">
        <v>42</v>
      </c>
      <c r="Y222" s="1" t="s">
        <v>44</v>
      </c>
      <c r="Z222" s="1" t="s">
        <v>43</v>
      </c>
    </row>
    <row r="223" spans="6:26">
      <c r="F223">
        <v>58</v>
      </c>
      <c r="G223" s="1" t="s">
        <v>53</v>
      </c>
      <c r="I223">
        <v>58</v>
      </c>
      <c r="J223" s="1" t="s">
        <v>53</v>
      </c>
      <c r="K223" s="1" t="s">
        <v>54</v>
      </c>
      <c r="N223" s="1"/>
      <c r="O223" s="1"/>
      <c r="P223" s="1"/>
      <c r="X223">
        <v>58</v>
      </c>
      <c r="Y223" s="1" t="s">
        <v>53</v>
      </c>
      <c r="Z223" s="1" t="s">
        <v>56</v>
      </c>
    </row>
    <row r="224" spans="6:26">
      <c r="F224" s="1" t="s">
        <v>42</v>
      </c>
      <c r="G224" s="1" t="s">
        <v>44</v>
      </c>
      <c r="I224" s="1" t="s">
        <v>42</v>
      </c>
      <c r="J224" s="1" t="s">
        <v>44</v>
      </c>
      <c r="K224" s="1" t="s">
        <v>43</v>
      </c>
      <c r="O224" s="1"/>
      <c r="P224" s="1"/>
      <c r="X224" s="1" t="s">
        <v>42</v>
      </c>
      <c r="Y224" s="1" t="s">
        <v>44</v>
      </c>
      <c r="Z224" s="1" t="s">
        <v>43</v>
      </c>
    </row>
    <row r="225" spans="6:26">
      <c r="F225">
        <v>59</v>
      </c>
      <c r="G225" s="1" t="s">
        <v>53</v>
      </c>
      <c r="I225">
        <v>59</v>
      </c>
      <c r="J225" s="1" t="s">
        <v>53</v>
      </c>
      <c r="K225" s="1" t="s">
        <v>54</v>
      </c>
      <c r="N225" s="1"/>
      <c r="O225" s="1"/>
      <c r="P225" s="1"/>
      <c r="X225">
        <v>59</v>
      </c>
      <c r="Y225" s="1" t="s">
        <v>53</v>
      </c>
      <c r="Z225" s="1" t="s">
        <v>56</v>
      </c>
    </row>
    <row r="226" spans="6:26">
      <c r="F226" s="1" t="s">
        <v>42</v>
      </c>
      <c r="G226" s="1" t="s">
        <v>44</v>
      </c>
      <c r="I226" s="1" t="s">
        <v>42</v>
      </c>
      <c r="J226" s="1" t="s">
        <v>44</v>
      </c>
      <c r="K226" s="1" t="s">
        <v>43</v>
      </c>
      <c r="O226" s="1"/>
      <c r="P226" s="1"/>
      <c r="X226" s="1" t="s">
        <v>42</v>
      </c>
      <c r="Y226" s="1" t="s">
        <v>44</v>
      </c>
      <c r="Z226" s="1" t="s">
        <v>43</v>
      </c>
    </row>
    <row r="227" spans="6:26">
      <c r="F227">
        <v>60</v>
      </c>
      <c r="G227" s="1" t="s">
        <v>53</v>
      </c>
      <c r="I227">
        <v>60</v>
      </c>
      <c r="J227" s="1" t="s">
        <v>53</v>
      </c>
      <c r="K227" s="1" t="s">
        <v>54</v>
      </c>
      <c r="N227" s="1"/>
      <c r="O227" s="1"/>
      <c r="P227" s="1"/>
      <c r="X227">
        <v>60</v>
      </c>
      <c r="Y227" s="1" t="s">
        <v>53</v>
      </c>
      <c r="Z227" s="1" t="s">
        <v>56</v>
      </c>
    </row>
    <row r="228" spans="6:26">
      <c r="F228" s="1" t="s">
        <v>42</v>
      </c>
      <c r="G228" s="1" t="s">
        <v>44</v>
      </c>
      <c r="I228" s="1" t="s">
        <v>42</v>
      </c>
      <c r="J228" s="1" t="s">
        <v>44</v>
      </c>
      <c r="K228" s="1" t="s">
        <v>43</v>
      </c>
      <c r="O228" s="1"/>
      <c r="P228" s="1"/>
      <c r="X228" s="1" t="s">
        <v>42</v>
      </c>
      <c r="Y228" s="1" t="s">
        <v>44</v>
      </c>
      <c r="Z228" s="1" t="s">
        <v>43</v>
      </c>
    </row>
    <row r="229" spans="6:26">
      <c r="F229">
        <v>61</v>
      </c>
      <c r="G229" s="1" t="s">
        <v>53</v>
      </c>
      <c r="I229">
        <v>61</v>
      </c>
      <c r="J229" s="1" t="s">
        <v>53</v>
      </c>
      <c r="K229" s="1" t="s">
        <v>54</v>
      </c>
      <c r="N229" s="1"/>
      <c r="O229" s="1"/>
      <c r="P229" s="1"/>
      <c r="X229">
        <v>61</v>
      </c>
      <c r="Y229" s="1" t="s">
        <v>53</v>
      </c>
      <c r="Z229" s="1" t="s">
        <v>56</v>
      </c>
    </row>
    <row r="230" spans="6:26">
      <c r="F230" s="1" t="s">
        <v>42</v>
      </c>
      <c r="G230" s="1" t="s">
        <v>44</v>
      </c>
      <c r="I230" s="1" t="s">
        <v>42</v>
      </c>
      <c r="J230" s="1" t="s">
        <v>44</v>
      </c>
      <c r="K230" s="1" t="s">
        <v>43</v>
      </c>
      <c r="O230" s="1"/>
      <c r="P230" s="1"/>
      <c r="X230" s="1" t="s">
        <v>42</v>
      </c>
      <c r="Y230" s="1" t="s">
        <v>44</v>
      </c>
      <c r="Z230" s="1" t="s">
        <v>43</v>
      </c>
    </row>
    <row r="231" spans="6:26">
      <c r="F231">
        <v>62</v>
      </c>
      <c r="G231" s="1" t="s">
        <v>53</v>
      </c>
      <c r="I231">
        <v>62</v>
      </c>
      <c r="J231" s="1" t="s">
        <v>53</v>
      </c>
      <c r="K231" s="1" t="s">
        <v>54</v>
      </c>
      <c r="N231" s="1"/>
      <c r="O231" s="1"/>
      <c r="P231" s="1"/>
      <c r="X231">
        <v>62</v>
      </c>
      <c r="Y231" s="1" t="s">
        <v>53</v>
      </c>
      <c r="Z231" s="1" t="s">
        <v>56</v>
      </c>
    </row>
    <row r="232" spans="6:26">
      <c r="F232" s="1" t="s">
        <v>42</v>
      </c>
      <c r="G232" s="1" t="s">
        <v>44</v>
      </c>
      <c r="I232" s="1" t="s">
        <v>42</v>
      </c>
      <c r="J232" s="1" t="s">
        <v>44</v>
      </c>
      <c r="K232" s="1" t="s">
        <v>43</v>
      </c>
      <c r="O232" s="1"/>
      <c r="P232" s="1"/>
      <c r="X232" s="1" t="s">
        <v>42</v>
      </c>
      <c r="Y232" s="1" t="s">
        <v>44</v>
      </c>
      <c r="Z232" s="1" t="s">
        <v>43</v>
      </c>
    </row>
    <row r="233" spans="6:26">
      <c r="F233">
        <v>63</v>
      </c>
      <c r="G233" s="1" t="s">
        <v>53</v>
      </c>
      <c r="I233">
        <v>63</v>
      </c>
      <c r="J233" s="1" t="s">
        <v>53</v>
      </c>
      <c r="K233" s="1" t="s">
        <v>54</v>
      </c>
      <c r="N233" s="1"/>
      <c r="O233" s="1"/>
      <c r="P233" s="1"/>
      <c r="X233">
        <v>63</v>
      </c>
      <c r="Y233" s="1" t="s">
        <v>53</v>
      </c>
      <c r="Z233" s="1" t="s">
        <v>56</v>
      </c>
    </row>
    <row r="234" spans="6:26">
      <c r="F234" s="1" t="s">
        <v>42</v>
      </c>
      <c r="G234" s="1" t="s">
        <v>44</v>
      </c>
      <c r="I234" s="1" t="s">
        <v>42</v>
      </c>
      <c r="J234" s="1" t="s">
        <v>44</v>
      </c>
      <c r="K234" s="1" t="s">
        <v>43</v>
      </c>
      <c r="O234" s="1"/>
      <c r="P234" s="1"/>
      <c r="X234" s="1" t="s">
        <v>42</v>
      </c>
      <c r="Y234" s="1" t="s">
        <v>44</v>
      </c>
      <c r="Z234" s="1" t="s">
        <v>43</v>
      </c>
    </row>
    <row r="235" spans="6:26">
      <c r="F235">
        <v>64</v>
      </c>
      <c r="G235" s="1" t="s">
        <v>53</v>
      </c>
      <c r="I235">
        <v>64</v>
      </c>
      <c r="J235" s="1" t="s">
        <v>53</v>
      </c>
      <c r="K235" s="1" t="s">
        <v>54</v>
      </c>
      <c r="N235" s="1"/>
      <c r="O235" s="1"/>
      <c r="P235" s="1"/>
      <c r="X235">
        <v>64</v>
      </c>
      <c r="Y235" s="1" t="s">
        <v>53</v>
      </c>
      <c r="Z235" s="1" t="s">
        <v>56</v>
      </c>
    </row>
    <row r="236" spans="6:26">
      <c r="F236" s="1" t="s">
        <v>42</v>
      </c>
      <c r="G236" s="1" t="s">
        <v>44</v>
      </c>
      <c r="I236" s="1" t="s">
        <v>42</v>
      </c>
      <c r="J236" s="1" t="s">
        <v>44</v>
      </c>
      <c r="K236" s="1" t="s">
        <v>43</v>
      </c>
      <c r="O236" s="1"/>
      <c r="P236" s="1"/>
      <c r="X236" s="1" t="s">
        <v>42</v>
      </c>
      <c r="Y236" s="1" t="s">
        <v>44</v>
      </c>
      <c r="Z236" s="1" t="s">
        <v>43</v>
      </c>
    </row>
    <row r="237" spans="6:26">
      <c r="F237">
        <v>65</v>
      </c>
      <c r="G237" s="1" t="s">
        <v>53</v>
      </c>
      <c r="I237">
        <v>65</v>
      </c>
      <c r="J237" s="1" t="s">
        <v>53</v>
      </c>
      <c r="K237" s="1" t="s">
        <v>54</v>
      </c>
      <c r="N237" s="1"/>
      <c r="O237" s="1"/>
      <c r="P237" s="1"/>
      <c r="X237">
        <v>65</v>
      </c>
      <c r="Y237" s="1" t="s">
        <v>53</v>
      </c>
      <c r="Z237" s="1" t="s">
        <v>56</v>
      </c>
    </row>
    <row r="238" spans="6:26">
      <c r="F238" s="1" t="s">
        <v>42</v>
      </c>
      <c r="G238" s="1" t="s">
        <v>44</v>
      </c>
      <c r="I238" s="1" t="s">
        <v>42</v>
      </c>
      <c r="J238" s="1" t="s">
        <v>44</v>
      </c>
      <c r="K238" s="1" t="s">
        <v>43</v>
      </c>
      <c r="O238" s="1"/>
      <c r="P238" s="1"/>
      <c r="X238" s="1" t="s">
        <v>42</v>
      </c>
      <c r="Y238" s="1" t="s">
        <v>44</v>
      </c>
      <c r="Z238" s="1" t="s">
        <v>43</v>
      </c>
    </row>
    <row r="239" spans="6:26">
      <c r="F239">
        <v>66</v>
      </c>
      <c r="G239" s="1" t="s">
        <v>53</v>
      </c>
      <c r="I239">
        <v>66</v>
      </c>
      <c r="J239" s="1" t="s">
        <v>53</v>
      </c>
      <c r="K239" s="1" t="s">
        <v>54</v>
      </c>
      <c r="N239" s="1"/>
      <c r="O239" s="1"/>
      <c r="P239" s="1"/>
      <c r="X239">
        <v>66</v>
      </c>
      <c r="Y239" s="1" t="s">
        <v>53</v>
      </c>
      <c r="Z239" s="1" t="s">
        <v>56</v>
      </c>
    </row>
    <row r="240" spans="6:26">
      <c r="F240" s="1" t="s">
        <v>42</v>
      </c>
      <c r="G240" s="1" t="s">
        <v>44</v>
      </c>
      <c r="I240" s="1" t="s">
        <v>42</v>
      </c>
      <c r="J240" s="1" t="s">
        <v>44</v>
      </c>
      <c r="K240" s="1" t="s">
        <v>43</v>
      </c>
      <c r="O240" s="1"/>
      <c r="P240" s="1"/>
      <c r="X240" s="1" t="s">
        <v>42</v>
      </c>
      <c r="Y240" s="1" t="s">
        <v>44</v>
      </c>
      <c r="Z240" s="1" t="s">
        <v>43</v>
      </c>
    </row>
    <row r="241" spans="6:26">
      <c r="F241">
        <v>67</v>
      </c>
      <c r="G241" s="1" t="s">
        <v>53</v>
      </c>
      <c r="I241">
        <v>67</v>
      </c>
      <c r="J241" s="1" t="s">
        <v>53</v>
      </c>
      <c r="K241" s="1" t="s">
        <v>54</v>
      </c>
      <c r="N241" s="1"/>
      <c r="O241" s="1"/>
      <c r="P241" s="1"/>
      <c r="X241">
        <v>67</v>
      </c>
      <c r="Y241" s="1" t="s">
        <v>53</v>
      </c>
      <c r="Z241" s="1" t="s">
        <v>56</v>
      </c>
    </row>
    <row r="242" spans="6:26">
      <c r="F242" s="1" t="s">
        <v>42</v>
      </c>
      <c r="G242" s="1" t="s">
        <v>44</v>
      </c>
      <c r="I242" s="1" t="s">
        <v>42</v>
      </c>
      <c r="J242" s="1" t="s">
        <v>44</v>
      </c>
      <c r="K242" s="1" t="s">
        <v>43</v>
      </c>
      <c r="O242" s="1"/>
      <c r="P242" s="1"/>
      <c r="X242" s="1" t="s">
        <v>42</v>
      </c>
      <c r="Y242" s="1" t="s">
        <v>44</v>
      </c>
      <c r="Z242" s="1" t="s">
        <v>43</v>
      </c>
    </row>
    <row r="243" spans="6:26">
      <c r="F243">
        <v>68</v>
      </c>
      <c r="G243" s="1" t="s">
        <v>53</v>
      </c>
      <c r="I243">
        <v>68</v>
      </c>
      <c r="J243" s="1" t="s">
        <v>53</v>
      </c>
      <c r="K243" s="1" t="s">
        <v>54</v>
      </c>
      <c r="N243" s="1"/>
      <c r="O243" s="1"/>
      <c r="P243" s="1"/>
      <c r="X243">
        <v>68</v>
      </c>
      <c r="Y243" s="1" t="s">
        <v>53</v>
      </c>
      <c r="Z243" s="1" t="s">
        <v>56</v>
      </c>
    </row>
    <row r="244" spans="6:26">
      <c r="F244" s="1" t="s">
        <v>42</v>
      </c>
      <c r="G244" s="1" t="s">
        <v>44</v>
      </c>
      <c r="I244" s="1" t="s">
        <v>42</v>
      </c>
      <c r="J244" s="1" t="s">
        <v>44</v>
      </c>
      <c r="K244" s="1" t="s">
        <v>43</v>
      </c>
      <c r="O244" s="1"/>
      <c r="P244" s="1"/>
      <c r="X244" s="1" t="s">
        <v>42</v>
      </c>
      <c r="Y244" s="1" t="s">
        <v>44</v>
      </c>
      <c r="Z244" s="1" t="s">
        <v>43</v>
      </c>
    </row>
    <row r="245" spans="6:26">
      <c r="F245">
        <v>69</v>
      </c>
      <c r="G245" s="1" t="s">
        <v>53</v>
      </c>
      <c r="I245">
        <v>69</v>
      </c>
      <c r="J245" s="1" t="s">
        <v>53</v>
      </c>
      <c r="K245" s="1" t="s">
        <v>54</v>
      </c>
      <c r="N245" s="1"/>
      <c r="O245" s="1"/>
      <c r="P245" s="1"/>
      <c r="X245">
        <v>69</v>
      </c>
      <c r="Y245" s="1" t="s">
        <v>53</v>
      </c>
      <c r="Z245" s="1" t="s">
        <v>56</v>
      </c>
    </row>
    <row r="246" spans="6:26">
      <c r="F246" s="1" t="s">
        <v>42</v>
      </c>
      <c r="G246" s="1" t="s">
        <v>44</v>
      </c>
      <c r="I246" s="1" t="s">
        <v>42</v>
      </c>
      <c r="J246" s="1" t="s">
        <v>44</v>
      </c>
      <c r="K246" s="1" t="s">
        <v>43</v>
      </c>
      <c r="O246" s="1"/>
      <c r="P246" s="1"/>
      <c r="X246" s="1" t="s">
        <v>42</v>
      </c>
      <c r="Y246" s="1" t="s">
        <v>44</v>
      </c>
      <c r="Z246" s="1" t="s">
        <v>43</v>
      </c>
    </row>
    <row r="247" spans="6:26">
      <c r="F247">
        <v>70</v>
      </c>
      <c r="G247" s="1" t="s">
        <v>53</v>
      </c>
      <c r="I247">
        <v>70</v>
      </c>
      <c r="J247" s="1" t="s">
        <v>53</v>
      </c>
      <c r="K247" s="1" t="s">
        <v>54</v>
      </c>
      <c r="N247" s="1"/>
      <c r="O247" s="1"/>
      <c r="P247" s="1"/>
      <c r="X247">
        <v>70</v>
      </c>
      <c r="Y247" s="1" t="s">
        <v>53</v>
      </c>
      <c r="Z247" s="1" t="s">
        <v>56</v>
      </c>
    </row>
    <row r="248" spans="6:26">
      <c r="F248" s="1" t="s">
        <v>42</v>
      </c>
      <c r="G248" s="1" t="s">
        <v>44</v>
      </c>
      <c r="I248" s="1" t="s">
        <v>42</v>
      </c>
      <c r="J248" s="1" t="s">
        <v>44</v>
      </c>
      <c r="K248" s="1" t="s">
        <v>43</v>
      </c>
      <c r="O248" s="1"/>
      <c r="P248" s="1"/>
      <c r="X248" s="1" t="s">
        <v>42</v>
      </c>
      <c r="Y248" s="1" t="s">
        <v>44</v>
      </c>
      <c r="Z248" s="1" t="s">
        <v>43</v>
      </c>
    </row>
    <row r="249" spans="6:26">
      <c r="F249">
        <v>71</v>
      </c>
      <c r="G249" s="1" t="s">
        <v>53</v>
      </c>
      <c r="I249">
        <v>71</v>
      </c>
      <c r="J249" s="1" t="s">
        <v>53</v>
      </c>
      <c r="K249" s="1" t="s">
        <v>54</v>
      </c>
      <c r="N249" s="1"/>
      <c r="O249" s="1"/>
      <c r="P249" s="1"/>
      <c r="X249">
        <v>71</v>
      </c>
      <c r="Y249" s="1" t="s">
        <v>53</v>
      </c>
      <c r="Z249" s="1" t="s">
        <v>56</v>
      </c>
    </row>
    <row r="250" spans="6:26">
      <c r="F250" s="1" t="s">
        <v>42</v>
      </c>
      <c r="G250" s="1" t="s">
        <v>44</v>
      </c>
      <c r="I250" s="1" t="s">
        <v>42</v>
      </c>
      <c r="J250" s="1" t="s">
        <v>44</v>
      </c>
      <c r="K250" s="1" t="s">
        <v>43</v>
      </c>
      <c r="O250" s="1"/>
      <c r="P250" s="1"/>
      <c r="X250" s="1" t="s">
        <v>42</v>
      </c>
      <c r="Y250" s="1" t="s">
        <v>44</v>
      </c>
      <c r="Z250" s="1" t="s">
        <v>43</v>
      </c>
    </row>
    <row r="251" spans="6:26">
      <c r="F251">
        <v>72</v>
      </c>
      <c r="G251" s="1" t="s">
        <v>53</v>
      </c>
      <c r="I251">
        <v>72</v>
      </c>
      <c r="J251" s="1" t="s">
        <v>53</v>
      </c>
      <c r="K251" s="1" t="s">
        <v>54</v>
      </c>
      <c r="N251" s="1"/>
      <c r="O251" s="1"/>
      <c r="P251" s="1"/>
      <c r="X251">
        <v>72</v>
      </c>
      <c r="Y251" s="1" t="s">
        <v>53</v>
      </c>
      <c r="Z251" s="1" t="s">
        <v>56</v>
      </c>
    </row>
    <row r="252" spans="6:26">
      <c r="F252" s="1" t="s">
        <v>42</v>
      </c>
      <c r="G252" s="1" t="s">
        <v>44</v>
      </c>
      <c r="I252" s="1" t="s">
        <v>42</v>
      </c>
      <c r="J252" s="1" t="s">
        <v>44</v>
      </c>
      <c r="K252" s="1" t="s">
        <v>43</v>
      </c>
      <c r="O252" s="1"/>
      <c r="P252" s="1"/>
      <c r="X252" s="1" t="s">
        <v>42</v>
      </c>
      <c r="Y252" s="1" t="s">
        <v>44</v>
      </c>
      <c r="Z252" s="1" t="s">
        <v>43</v>
      </c>
    </row>
    <row r="253" spans="6:26">
      <c r="F253">
        <v>73</v>
      </c>
      <c r="G253" s="1" t="s">
        <v>53</v>
      </c>
      <c r="I253">
        <v>73</v>
      </c>
      <c r="J253" s="1" t="s">
        <v>53</v>
      </c>
      <c r="K253" s="1" t="s">
        <v>54</v>
      </c>
      <c r="N253" s="1"/>
      <c r="O253" s="1"/>
      <c r="P253" s="1"/>
      <c r="X253">
        <v>73</v>
      </c>
      <c r="Y253" s="1" t="s">
        <v>53</v>
      </c>
      <c r="Z253" s="1" t="s">
        <v>56</v>
      </c>
    </row>
    <row r="254" spans="6:26">
      <c r="F254" s="1" t="s">
        <v>42</v>
      </c>
      <c r="G254" s="1" t="s">
        <v>44</v>
      </c>
      <c r="I254" s="1" t="s">
        <v>42</v>
      </c>
      <c r="J254" s="1" t="s">
        <v>44</v>
      </c>
      <c r="K254" s="1" t="s">
        <v>43</v>
      </c>
      <c r="O254" s="1"/>
      <c r="P254" s="1"/>
      <c r="X254" s="1" t="s">
        <v>42</v>
      </c>
      <c r="Y254" s="1" t="s">
        <v>44</v>
      </c>
      <c r="Z254" s="1" t="s">
        <v>43</v>
      </c>
    </row>
    <row r="255" spans="6:26">
      <c r="F255">
        <v>74</v>
      </c>
      <c r="G255" s="1" t="s">
        <v>53</v>
      </c>
      <c r="I255">
        <v>74</v>
      </c>
      <c r="J255" s="1" t="s">
        <v>53</v>
      </c>
      <c r="K255" s="1" t="s">
        <v>54</v>
      </c>
      <c r="X255">
        <v>74</v>
      </c>
      <c r="Y255" s="1" t="s">
        <v>53</v>
      </c>
      <c r="Z255" s="1" t="s">
        <v>56</v>
      </c>
    </row>
    <row r="256" spans="6:26">
      <c r="F256" s="1" t="s">
        <v>42</v>
      </c>
      <c r="G256" s="1" t="s">
        <v>44</v>
      </c>
      <c r="I256" s="1" t="s">
        <v>42</v>
      </c>
      <c r="J256" s="1" t="s">
        <v>44</v>
      </c>
      <c r="K256" s="1" t="s">
        <v>43</v>
      </c>
      <c r="Q256" s="1"/>
      <c r="R256" s="1"/>
      <c r="X256" s="1" t="s">
        <v>42</v>
      </c>
      <c r="Y256" s="1" t="s">
        <v>44</v>
      </c>
      <c r="Z256" s="1" t="s">
        <v>43</v>
      </c>
    </row>
    <row r="257" spans="6:26">
      <c r="F257">
        <v>75</v>
      </c>
      <c r="G257" s="1" t="s">
        <v>53</v>
      </c>
      <c r="I257">
        <v>75</v>
      </c>
      <c r="J257" s="1" t="s">
        <v>53</v>
      </c>
      <c r="K257" s="1" t="s">
        <v>54</v>
      </c>
      <c r="Q257" s="1"/>
      <c r="R257" s="1"/>
      <c r="X257">
        <v>75</v>
      </c>
      <c r="Y257" s="1" t="s">
        <v>53</v>
      </c>
      <c r="Z257" s="1" t="s">
        <v>56</v>
      </c>
    </row>
    <row r="258" spans="6:26">
      <c r="F258" s="1" t="s">
        <v>42</v>
      </c>
      <c r="G258" s="1" t="s">
        <v>44</v>
      </c>
      <c r="I258" s="1" t="s">
        <v>42</v>
      </c>
      <c r="J258" s="1" t="s">
        <v>44</v>
      </c>
      <c r="K258" s="1" t="s">
        <v>43</v>
      </c>
      <c r="Q258" s="1"/>
      <c r="R258" s="1"/>
      <c r="X258" s="1" t="s">
        <v>42</v>
      </c>
      <c r="Y258" s="1" t="s">
        <v>44</v>
      </c>
      <c r="Z258" s="1" t="s">
        <v>43</v>
      </c>
    </row>
    <row r="259" spans="6:26">
      <c r="F259">
        <v>76</v>
      </c>
      <c r="G259" s="1" t="s">
        <v>53</v>
      </c>
      <c r="I259">
        <v>76</v>
      </c>
      <c r="J259" s="1" t="s">
        <v>53</v>
      </c>
      <c r="K259" s="1" t="s">
        <v>54</v>
      </c>
      <c r="Q259" s="1"/>
      <c r="R259" s="1"/>
      <c r="X259">
        <v>76</v>
      </c>
      <c r="Y259" s="1" t="s">
        <v>53</v>
      </c>
      <c r="Z259" s="1" t="s">
        <v>56</v>
      </c>
    </row>
    <row r="260" spans="6:26">
      <c r="F260" s="1" t="s">
        <v>42</v>
      </c>
      <c r="G260" s="1" t="s">
        <v>44</v>
      </c>
      <c r="I260" s="1" t="s">
        <v>42</v>
      </c>
      <c r="J260" s="1" t="s">
        <v>44</v>
      </c>
      <c r="K260" s="1" t="s">
        <v>43</v>
      </c>
      <c r="Q260" s="1"/>
      <c r="R260" s="1"/>
      <c r="X260" s="1" t="s">
        <v>42</v>
      </c>
      <c r="Y260" s="1" t="s">
        <v>44</v>
      </c>
      <c r="Z260" s="1" t="s">
        <v>43</v>
      </c>
    </row>
    <row r="261" spans="6:26">
      <c r="F261">
        <v>77</v>
      </c>
      <c r="G261" s="1" t="s">
        <v>53</v>
      </c>
      <c r="I261">
        <v>77</v>
      </c>
      <c r="J261" s="1" t="s">
        <v>53</v>
      </c>
      <c r="K261" s="1" t="s">
        <v>54</v>
      </c>
      <c r="Q261" s="1"/>
      <c r="R261" s="1"/>
      <c r="X261">
        <v>77</v>
      </c>
      <c r="Y261" s="1" t="s">
        <v>53</v>
      </c>
      <c r="Z261" s="1" t="s">
        <v>56</v>
      </c>
    </row>
    <row r="262" spans="6:26">
      <c r="F262" s="1" t="s">
        <v>42</v>
      </c>
      <c r="G262" s="1" t="s">
        <v>44</v>
      </c>
      <c r="I262" s="1" t="s">
        <v>42</v>
      </c>
      <c r="J262" s="1" t="s">
        <v>44</v>
      </c>
      <c r="K262" s="1" t="s">
        <v>43</v>
      </c>
      <c r="Q262" s="1"/>
      <c r="R262" s="1"/>
      <c r="X262" s="1" t="s">
        <v>42</v>
      </c>
      <c r="Y262" s="1" t="s">
        <v>44</v>
      </c>
      <c r="Z262" s="1" t="s">
        <v>43</v>
      </c>
    </row>
    <row r="263" spans="6:26">
      <c r="F263">
        <v>78</v>
      </c>
      <c r="G263" s="1" t="s">
        <v>53</v>
      </c>
      <c r="I263">
        <v>78</v>
      </c>
      <c r="J263" s="1" t="s">
        <v>53</v>
      </c>
      <c r="K263" s="1" t="s">
        <v>54</v>
      </c>
      <c r="Q263" s="1"/>
      <c r="R263" s="1"/>
      <c r="X263">
        <v>78</v>
      </c>
      <c r="Y263" s="1" t="s">
        <v>53</v>
      </c>
      <c r="Z263" s="1" t="s">
        <v>56</v>
      </c>
    </row>
    <row r="264" spans="6:26">
      <c r="F264" s="1" t="s">
        <v>42</v>
      </c>
      <c r="G264" s="1" t="s">
        <v>44</v>
      </c>
      <c r="I264" s="1" t="s">
        <v>42</v>
      </c>
      <c r="J264" s="1" t="s">
        <v>44</v>
      </c>
      <c r="K264" s="1" t="s">
        <v>43</v>
      </c>
      <c r="Q264" s="1"/>
      <c r="R264" s="1"/>
      <c r="X264" s="1" t="s">
        <v>42</v>
      </c>
      <c r="Y264" s="1" t="s">
        <v>44</v>
      </c>
      <c r="Z264" s="1" t="s">
        <v>43</v>
      </c>
    </row>
    <row r="265" spans="6:26">
      <c r="F265">
        <v>79</v>
      </c>
      <c r="G265" s="1" t="s">
        <v>53</v>
      </c>
      <c r="I265">
        <v>79</v>
      </c>
      <c r="J265" s="1" t="s">
        <v>53</v>
      </c>
      <c r="K265" s="1" t="s">
        <v>54</v>
      </c>
      <c r="Q265" s="1"/>
      <c r="R265" s="1"/>
      <c r="X265">
        <v>79</v>
      </c>
      <c r="Y265" s="1" t="s">
        <v>53</v>
      </c>
      <c r="Z265" s="1" t="s">
        <v>56</v>
      </c>
    </row>
    <row r="266" spans="6:26">
      <c r="F266" s="1" t="s">
        <v>42</v>
      </c>
      <c r="G266" s="1" t="s">
        <v>44</v>
      </c>
      <c r="I266" s="1" t="s">
        <v>42</v>
      </c>
      <c r="J266" s="1" t="s">
        <v>44</v>
      </c>
      <c r="K266" s="1" t="s">
        <v>43</v>
      </c>
      <c r="Q266" s="1"/>
      <c r="R266" s="1"/>
      <c r="X266" s="1" t="s">
        <v>42</v>
      </c>
      <c r="Y266" s="1" t="s">
        <v>44</v>
      </c>
      <c r="Z266" s="1" t="s">
        <v>43</v>
      </c>
    </row>
    <row r="267" spans="6:26">
      <c r="F267">
        <v>80</v>
      </c>
      <c r="G267" s="1" t="s">
        <v>53</v>
      </c>
      <c r="I267">
        <v>80</v>
      </c>
      <c r="J267" s="1" t="s">
        <v>53</v>
      </c>
      <c r="K267" s="1" t="s">
        <v>54</v>
      </c>
      <c r="Q267" s="1"/>
      <c r="R267" s="1"/>
      <c r="X267">
        <v>80</v>
      </c>
      <c r="Y267" s="1" t="s">
        <v>53</v>
      </c>
      <c r="Z267" s="1" t="s">
        <v>56</v>
      </c>
    </row>
    <row r="268" spans="6:26">
      <c r="F268" s="1" t="s">
        <v>42</v>
      </c>
      <c r="G268" s="1" t="s">
        <v>44</v>
      </c>
      <c r="I268" s="1" t="s">
        <v>42</v>
      </c>
      <c r="J268" s="1" t="s">
        <v>44</v>
      </c>
      <c r="K268" s="1" t="s">
        <v>43</v>
      </c>
      <c r="Q268" s="1"/>
      <c r="R268" s="1"/>
      <c r="X268" s="1" t="s">
        <v>42</v>
      </c>
      <c r="Y268" s="1" t="s">
        <v>44</v>
      </c>
      <c r="Z268" s="1" t="s">
        <v>43</v>
      </c>
    </row>
    <row r="269" spans="6:26">
      <c r="F269">
        <v>81</v>
      </c>
      <c r="G269" s="1" t="s">
        <v>53</v>
      </c>
      <c r="I269">
        <v>81</v>
      </c>
      <c r="J269" s="1" t="s">
        <v>53</v>
      </c>
      <c r="K269" s="1" t="s">
        <v>54</v>
      </c>
      <c r="Q269" s="1"/>
      <c r="R269" s="1"/>
      <c r="W269" s="1"/>
      <c r="X269">
        <v>81</v>
      </c>
      <c r="Y269" s="1" t="s">
        <v>53</v>
      </c>
      <c r="Z269" s="1" t="s">
        <v>56</v>
      </c>
    </row>
    <row r="270" spans="6:26">
      <c r="F270" s="1" t="s">
        <v>42</v>
      </c>
      <c r="G270" s="1" t="s">
        <v>44</v>
      </c>
      <c r="I270" s="1" t="s">
        <v>42</v>
      </c>
      <c r="J270" s="1" t="s">
        <v>44</v>
      </c>
      <c r="K270" s="1" t="s">
        <v>43</v>
      </c>
      <c r="Q270" s="1"/>
      <c r="R270" s="1"/>
      <c r="W270" s="1"/>
      <c r="X270" s="1" t="s">
        <v>42</v>
      </c>
      <c r="Y270" s="1" t="s">
        <v>44</v>
      </c>
      <c r="Z270" s="1" t="s">
        <v>43</v>
      </c>
    </row>
    <row r="271" spans="6:26">
      <c r="F271">
        <v>82</v>
      </c>
      <c r="G271" s="1" t="s">
        <v>53</v>
      </c>
      <c r="I271">
        <v>82</v>
      </c>
      <c r="J271" s="1" t="s">
        <v>53</v>
      </c>
      <c r="K271" s="1" t="s">
        <v>54</v>
      </c>
      <c r="Q271" s="1"/>
      <c r="R271" s="1"/>
      <c r="X271">
        <v>82</v>
      </c>
      <c r="Y271" s="1" t="s">
        <v>53</v>
      </c>
      <c r="Z271" s="1" t="s">
        <v>56</v>
      </c>
    </row>
    <row r="272" spans="6:26">
      <c r="F272" s="1" t="s">
        <v>42</v>
      </c>
      <c r="G272" s="1" t="s">
        <v>44</v>
      </c>
      <c r="I272" s="1" t="s">
        <v>42</v>
      </c>
      <c r="J272" s="1" t="s">
        <v>44</v>
      </c>
      <c r="K272" s="1" t="s">
        <v>43</v>
      </c>
      <c r="Q272" s="1"/>
      <c r="R272" s="1"/>
      <c r="X272" s="1" t="s">
        <v>42</v>
      </c>
      <c r="Y272" s="1" t="s">
        <v>44</v>
      </c>
      <c r="Z272" s="1" t="s">
        <v>43</v>
      </c>
    </row>
    <row r="273" spans="6:26">
      <c r="F273">
        <v>83</v>
      </c>
      <c r="G273" s="1" t="s">
        <v>53</v>
      </c>
      <c r="I273">
        <v>83</v>
      </c>
      <c r="J273" s="1" t="s">
        <v>53</v>
      </c>
      <c r="K273" s="1" t="s">
        <v>54</v>
      </c>
      <c r="Q273" s="1"/>
      <c r="R273" s="1"/>
      <c r="X273">
        <v>83</v>
      </c>
      <c r="Y273" s="1" t="s">
        <v>53</v>
      </c>
      <c r="Z273" s="1" t="s">
        <v>56</v>
      </c>
    </row>
    <row r="274" spans="6:26">
      <c r="F274" s="1" t="s">
        <v>42</v>
      </c>
      <c r="G274" s="1" t="s">
        <v>44</v>
      </c>
      <c r="I274" s="1" t="s">
        <v>42</v>
      </c>
      <c r="J274" s="1" t="s">
        <v>44</v>
      </c>
      <c r="K274" s="1" t="s">
        <v>43</v>
      </c>
      <c r="Q274" s="1"/>
      <c r="R274" s="1"/>
      <c r="X274" s="1" t="s">
        <v>42</v>
      </c>
      <c r="Y274" s="1" t="s">
        <v>44</v>
      </c>
      <c r="Z274" s="1" t="s">
        <v>43</v>
      </c>
    </row>
    <row r="275" spans="6:26">
      <c r="F275">
        <v>84</v>
      </c>
      <c r="G275" s="1" t="s">
        <v>53</v>
      </c>
      <c r="I275">
        <v>84</v>
      </c>
      <c r="J275" s="1" t="s">
        <v>53</v>
      </c>
      <c r="K275" s="1" t="s">
        <v>54</v>
      </c>
      <c r="Q275" s="1"/>
      <c r="R275" s="1"/>
      <c r="X275">
        <v>84</v>
      </c>
      <c r="Y275" s="1" t="s">
        <v>53</v>
      </c>
      <c r="Z275" s="1" t="s">
        <v>56</v>
      </c>
    </row>
    <row r="276" spans="6:26">
      <c r="F276" s="1" t="s">
        <v>42</v>
      </c>
      <c r="G276" s="1" t="s">
        <v>44</v>
      </c>
      <c r="I276" s="1" t="s">
        <v>42</v>
      </c>
      <c r="J276" s="1" t="s">
        <v>44</v>
      </c>
      <c r="K276" s="1" t="s">
        <v>43</v>
      </c>
      <c r="Q276" s="1"/>
      <c r="R276" s="1"/>
      <c r="X276" s="1" t="s">
        <v>42</v>
      </c>
      <c r="Y276" s="1" t="s">
        <v>44</v>
      </c>
      <c r="Z276" s="1" t="s">
        <v>43</v>
      </c>
    </row>
    <row r="277" spans="6:26">
      <c r="F277">
        <v>85</v>
      </c>
      <c r="G277" s="1" t="s">
        <v>53</v>
      </c>
      <c r="I277">
        <v>85</v>
      </c>
      <c r="J277" s="1" t="s">
        <v>53</v>
      </c>
      <c r="K277" s="1" t="s">
        <v>54</v>
      </c>
      <c r="Q277" s="1"/>
      <c r="R277" s="1"/>
      <c r="X277">
        <v>85</v>
      </c>
      <c r="Y277" s="1" t="s">
        <v>53</v>
      </c>
      <c r="Z277" s="1" t="s">
        <v>56</v>
      </c>
    </row>
    <row r="278" spans="6:26">
      <c r="F278" s="1" t="s">
        <v>42</v>
      </c>
      <c r="G278" s="1" t="s">
        <v>44</v>
      </c>
      <c r="I278" s="1" t="s">
        <v>42</v>
      </c>
      <c r="J278" s="1" t="s">
        <v>44</v>
      </c>
      <c r="K278" s="1" t="s">
        <v>43</v>
      </c>
      <c r="Q278" s="1"/>
      <c r="R278" s="1"/>
      <c r="X278" s="1" t="s">
        <v>42</v>
      </c>
      <c r="Y278" s="1" t="s">
        <v>44</v>
      </c>
      <c r="Z278" s="1" t="s">
        <v>43</v>
      </c>
    </row>
    <row r="279" spans="6:26">
      <c r="F279">
        <v>86</v>
      </c>
      <c r="G279" s="1" t="s">
        <v>53</v>
      </c>
      <c r="I279">
        <v>86</v>
      </c>
      <c r="J279" s="1" t="s">
        <v>53</v>
      </c>
      <c r="K279" s="1" t="s">
        <v>54</v>
      </c>
      <c r="Q279" s="1"/>
      <c r="R279" s="1"/>
      <c r="X279">
        <v>86</v>
      </c>
      <c r="Y279" s="1" t="s">
        <v>53</v>
      </c>
      <c r="Z279" s="1" t="s">
        <v>56</v>
      </c>
    </row>
    <row r="280" spans="6:26">
      <c r="F280" s="1" t="s">
        <v>42</v>
      </c>
      <c r="G280" s="1" t="s">
        <v>44</v>
      </c>
      <c r="I280" s="1" t="s">
        <v>42</v>
      </c>
      <c r="J280" s="1" t="s">
        <v>44</v>
      </c>
      <c r="K280" s="1" t="s">
        <v>43</v>
      </c>
      <c r="Q280" s="1"/>
      <c r="R280" s="1"/>
      <c r="X280" s="1" t="s">
        <v>42</v>
      </c>
      <c r="Y280" s="1" t="s">
        <v>44</v>
      </c>
      <c r="Z280" s="1" t="s">
        <v>43</v>
      </c>
    </row>
    <row r="281" spans="6:26">
      <c r="F281">
        <v>87</v>
      </c>
      <c r="G281" s="1" t="s">
        <v>53</v>
      </c>
      <c r="I281">
        <v>87</v>
      </c>
      <c r="J281" s="1" t="s">
        <v>53</v>
      </c>
      <c r="K281" s="1" t="s">
        <v>54</v>
      </c>
      <c r="Q281" s="1"/>
      <c r="R281" s="1"/>
      <c r="X281">
        <v>87</v>
      </c>
      <c r="Y281" s="1" t="s">
        <v>53</v>
      </c>
      <c r="Z281" s="1" t="s">
        <v>56</v>
      </c>
    </row>
    <row r="282" spans="6:26">
      <c r="F282" s="1" t="s">
        <v>42</v>
      </c>
      <c r="G282" s="1" t="s">
        <v>44</v>
      </c>
      <c r="I282" s="1" t="s">
        <v>42</v>
      </c>
      <c r="J282" s="1" t="s">
        <v>44</v>
      </c>
      <c r="K282" s="1" t="s">
        <v>43</v>
      </c>
      <c r="Q282" s="1"/>
      <c r="R282" s="1"/>
      <c r="X282" s="1" t="s">
        <v>42</v>
      </c>
      <c r="Y282" s="1" t="s">
        <v>44</v>
      </c>
      <c r="Z282" s="1" t="s">
        <v>43</v>
      </c>
    </row>
    <row r="283" spans="6:26">
      <c r="F283">
        <v>88</v>
      </c>
      <c r="G283" s="1" t="s">
        <v>53</v>
      </c>
      <c r="I283">
        <v>88</v>
      </c>
      <c r="J283" s="1" t="s">
        <v>53</v>
      </c>
      <c r="K283" s="1" t="s">
        <v>54</v>
      </c>
      <c r="Q283" s="1"/>
      <c r="R283" s="1"/>
      <c r="X283">
        <v>88</v>
      </c>
      <c r="Y283" s="1" t="s">
        <v>53</v>
      </c>
      <c r="Z283" s="1" t="s">
        <v>56</v>
      </c>
    </row>
    <row r="284" spans="6:26">
      <c r="F284" s="1" t="s">
        <v>42</v>
      </c>
      <c r="G284" s="1" t="s">
        <v>44</v>
      </c>
      <c r="I284" s="1" t="s">
        <v>42</v>
      </c>
      <c r="J284" s="1" t="s">
        <v>44</v>
      </c>
      <c r="K284" s="1" t="s">
        <v>43</v>
      </c>
      <c r="Q284" s="1"/>
      <c r="R284" s="1"/>
      <c r="X284" s="1" t="s">
        <v>42</v>
      </c>
      <c r="Y284" s="1" t="s">
        <v>44</v>
      </c>
      <c r="Z284" s="1" t="s">
        <v>43</v>
      </c>
    </row>
    <row r="285" spans="6:26">
      <c r="F285">
        <v>89</v>
      </c>
      <c r="G285" s="1" t="s">
        <v>53</v>
      </c>
      <c r="I285">
        <v>89</v>
      </c>
      <c r="J285" s="1" t="s">
        <v>53</v>
      </c>
      <c r="K285" s="1" t="s">
        <v>54</v>
      </c>
      <c r="Q285" s="1"/>
      <c r="R285" s="1"/>
      <c r="X285">
        <v>89</v>
      </c>
      <c r="Y285" s="1" t="s">
        <v>53</v>
      </c>
      <c r="Z285" s="1" t="s">
        <v>56</v>
      </c>
    </row>
    <row r="286" spans="6:26">
      <c r="F286" s="1" t="s">
        <v>42</v>
      </c>
      <c r="G286" s="1" t="s">
        <v>44</v>
      </c>
      <c r="I286" s="1" t="s">
        <v>42</v>
      </c>
      <c r="J286" s="1" t="s">
        <v>44</v>
      </c>
      <c r="K286" s="1" t="s">
        <v>43</v>
      </c>
      <c r="X286" s="1" t="s">
        <v>42</v>
      </c>
      <c r="Y286" s="1" t="s">
        <v>44</v>
      </c>
      <c r="Z286" s="1" t="s">
        <v>43</v>
      </c>
    </row>
    <row r="287" spans="6:26">
      <c r="F287">
        <v>90</v>
      </c>
      <c r="G287" s="1" t="s">
        <v>53</v>
      </c>
      <c r="I287">
        <v>90</v>
      </c>
      <c r="J287" s="1" t="s">
        <v>53</v>
      </c>
      <c r="K287" s="1" t="s">
        <v>54</v>
      </c>
      <c r="X287">
        <v>90</v>
      </c>
      <c r="Y287" s="1" t="s">
        <v>53</v>
      </c>
      <c r="Z287" s="1" t="s">
        <v>56</v>
      </c>
    </row>
    <row r="288" spans="6:26">
      <c r="F288" s="1" t="s">
        <v>42</v>
      </c>
      <c r="G288" s="1" t="s">
        <v>44</v>
      </c>
      <c r="I288" s="1" t="s">
        <v>42</v>
      </c>
      <c r="J288" s="1" t="s">
        <v>44</v>
      </c>
      <c r="K288" s="1" t="s">
        <v>43</v>
      </c>
      <c r="X288" s="1" t="s">
        <v>42</v>
      </c>
      <c r="Y288" s="1" t="s">
        <v>44</v>
      </c>
      <c r="Z288" s="1" t="s">
        <v>43</v>
      </c>
    </row>
    <row r="289" spans="6:26">
      <c r="F289">
        <v>91</v>
      </c>
      <c r="G289" s="1" t="s">
        <v>53</v>
      </c>
      <c r="I289">
        <v>91</v>
      </c>
      <c r="J289" s="1" t="s">
        <v>53</v>
      </c>
      <c r="K289" s="1" t="s">
        <v>54</v>
      </c>
      <c r="X289">
        <v>91</v>
      </c>
      <c r="Y289" s="1" t="s">
        <v>53</v>
      </c>
      <c r="Z289" s="1" t="s">
        <v>56</v>
      </c>
    </row>
    <row r="290" spans="6:26">
      <c r="F290" s="1" t="s">
        <v>42</v>
      </c>
      <c r="G290" s="1" t="s">
        <v>44</v>
      </c>
      <c r="I290" s="1" t="s">
        <v>42</v>
      </c>
      <c r="J290" s="1" t="s">
        <v>44</v>
      </c>
      <c r="K290" s="1" t="s">
        <v>43</v>
      </c>
      <c r="X290" s="1" t="s">
        <v>42</v>
      </c>
      <c r="Y290" s="1" t="s">
        <v>44</v>
      </c>
      <c r="Z290" s="1" t="s">
        <v>43</v>
      </c>
    </row>
    <row r="291" spans="6:26">
      <c r="F291">
        <v>92</v>
      </c>
      <c r="G291" s="1" t="s">
        <v>53</v>
      </c>
      <c r="I291">
        <v>92</v>
      </c>
      <c r="J291" s="1" t="s">
        <v>53</v>
      </c>
      <c r="K291" s="1" t="s">
        <v>54</v>
      </c>
      <c r="X291">
        <v>92</v>
      </c>
      <c r="Y291" s="1" t="s">
        <v>53</v>
      </c>
      <c r="Z291" s="1" t="s">
        <v>56</v>
      </c>
    </row>
    <row r="292" spans="6:26">
      <c r="F292" s="1" t="s">
        <v>42</v>
      </c>
      <c r="G292" s="1" t="s">
        <v>44</v>
      </c>
      <c r="I292" s="1" t="s">
        <v>42</v>
      </c>
      <c r="J292" s="1" t="s">
        <v>44</v>
      </c>
      <c r="K292" s="1" t="s">
        <v>43</v>
      </c>
      <c r="X292" s="1" t="s">
        <v>42</v>
      </c>
      <c r="Y292" s="1" t="s">
        <v>44</v>
      </c>
      <c r="Z292" s="1" t="s">
        <v>43</v>
      </c>
    </row>
    <row r="293" spans="6:26">
      <c r="F293">
        <v>93</v>
      </c>
      <c r="G293" s="1" t="s">
        <v>53</v>
      </c>
      <c r="I293">
        <v>93</v>
      </c>
      <c r="J293" s="1" t="s">
        <v>53</v>
      </c>
      <c r="K293" s="1" t="s">
        <v>54</v>
      </c>
      <c r="X293">
        <v>93</v>
      </c>
      <c r="Y293" s="1" t="s">
        <v>53</v>
      </c>
      <c r="Z293" s="1" t="s">
        <v>56</v>
      </c>
    </row>
    <row r="294" spans="6:26">
      <c r="F294" s="1" t="s">
        <v>42</v>
      </c>
      <c r="G294" s="1" t="s">
        <v>44</v>
      </c>
      <c r="I294" s="1" t="s">
        <v>42</v>
      </c>
      <c r="J294" s="1" t="s">
        <v>44</v>
      </c>
      <c r="K294" s="1" t="s">
        <v>43</v>
      </c>
      <c r="X294" s="1" t="s">
        <v>42</v>
      </c>
      <c r="Y294" s="1" t="s">
        <v>44</v>
      </c>
      <c r="Z294" s="1" t="s">
        <v>43</v>
      </c>
    </row>
    <row r="295" spans="6:26">
      <c r="F295">
        <v>94</v>
      </c>
      <c r="G295" s="1" t="s">
        <v>53</v>
      </c>
      <c r="I295">
        <v>94</v>
      </c>
      <c r="J295" s="1" t="s">
        <v>53</v>
      </c>
      <c r="K295" s="1" t="s">
        <v>54</v>
      </c>
      <c r="X295">
        <v>94</v>
      </c>
      <c r="Y295" s="1" t="s">
        <v>53</v>
      </c>
      <c r="Z295" s="1" t="s">
        <v>56</v>
      </c>
    </row>
    <row r="296" spans="6:26">
      <c r="F296" s="1" t="s">
        <v>42</v>
      </c>
      <c r="G296" s="1" t="s">
        <v>44</v>
      </c>
      <c r="I296" s="1" t="s">
        <v>42</v>
      </c>
      <c r="J296" s="1" t="s">
        <v>44</v>
      </c>
      <c r="K296" s="1" t="s">
        <v>43</v>
      </c>
      <c r="X296" s="1" t="s">
        <v>42</v>
      </c>
      <c r="Y296" s="1" t="s">
        <v>44</v>
      </c>
      <c r="Z296" s="1" t="s">
        <v>43</v>
      </c>
    </row>
    <row r="297" spans="6:26">
      <c r="F297">
        <v>95</v>
      </c>
      <c r="G297" s="1" t="s">
        <v>53</v>
      </c>
      <c r="I297">
        <v>95</v>
      </c>
      <c r="J297" s="1" t="s">
        <v>53</v>
      </c>
      <c r="K297" s="1" t="s">
        <v>54</v>
      </c>
      <c r="X297">
        <v>95</v>
      </c>
      <c r="Y297" s="1" t="s">
        <v>53</v>
      </c>
      <c r="Z297" s="1" t="s">
        <v>56</v>
      </c>
    </row>
    <row r="298" spans="6:26">
      <c r="F298" s="1" t="s">
        <v>42</v>
      </c>
      <c r="G298" s="1" t="s">
        <v>44</v>
      </c>
      <c r="I298" s="1" t="s">
        <v>42</v>
      </c>
      <c r="J298" s="1" t="s">
        <v>44</v>
      </c>
      <c r="K298" s="1" t="s">
        <v>43</v>
      </c>
      <c r="X298" s="1" t="s">
        <v>42</v>
      </c>
      <c r="Y298" s="1" t="s">
        <v>44</v>
      </c>
      <c r="Z298" s="1" t="s">
        <v>43</v>
      </c>
    </row>
    <row r="299" spans="6:26">
      <c r="F299">
        <v>96</v>
      </c>
      <c r="G299" s="1" t="s">
        <v>53</v>
      </c>
      <c r="I299">
        <v>96</v>
      </c>
      <c r="J299" s="1" t="s">
        <v>53</v>
      </c>
      <c r="K299" s="1" t="s">
        <v>54</v>
      </c>
      <c r="X299">
        <v>96</v>
      </c>
      <c r="Y299" s="1" t="s">
        <v>53</v>
      </c>
      <c r="Z299" s="1" t="s">
        <v>56</v>
      </c>
    </row>
    <row r="300" spans="6:26">
      <c r="F300" s="1" t="s">
        <v>42</v>
      </c>
      <c r="G300" s="1" t="s">
        <v>44</v>
      </c>
      <c r="I300" s="1" t="s">
        <v>42</v>
      </c>
      <c r="J300" s="1" t="s">
        <v>44</v>
      </c>
      <c r="K300" s="1" t="s">
        <v>43</v>
      </c>
      <c r="X300" s="1" t="s">
        <v>42</v>
      </c>
      <c r="Y300" s="1" t="s">
        <v>44</v>
      </c>
      <c r="Z300" s="1" t="s">
        <v>43</v>
      </c>
    </row>
    <row r="301" spans="6:26">
      <c r="F301">
        <v>97</v>
      </c>
      <c r="G301" s="1" t="s">
        <v>53</v>
      </c>
      <c r="I301">
        <v>97</v>
      </c>
      <c r="J301" s="1" t="s">
        <v>53</v>
      </c>
      <c r="K301" s="1" t="s">
        <v>54</v>
      </c>
      <c r="X301">
        <v>97</v>
      </c>
      <c r="Y301" s="1" t="s">
        <v>53</v>
      </c>
      <c r="Z301" s="1" t="s">
        <v>56</v>
      </c>
    </row>
    <row r="302" spans="6:26">
      <c r="F302" s="1" t="s">
        <v>42</v>
      </c>
      <c r="G302" s="1" t="s">
        <v>44</v>
      </c>
      <c r="I302" s="1" t="s">
        <v>42</v>
      </c>
      <c r="J302" s="1" t="s">
        <v>44</v>
      </c>
      <c r="K302" s="1" t="s">
        <v>43</v>
      </c>
      <c r="X302" s="1" t="s">
        <v>42</v>
      </c>
      <c r="Y302" s="1" t="s">
        <v>44</v>
      </c>
      <c r="Z302" s="1" t="s">
        <v>43</v>
      </c>
    </row>
    <row r="303" spans="6:26">
      <c r="F303">
        <v>98</v>
      </c>
      <c r="G303" s="1" t="s">
        <v>53</v>
      </c>
      <c r="I303">
        <v>98</v>
      </c>
      <c r="J303" s="1" t="s">
        <v>53</v>
      </c>
      <c r="K303" s="1" t="s">
        <v>54</v>
      </c>
      <c r="X303">
        <v>98</v>
      </c>
      <c r="Y303" s="1" t="s">
        <v>53</v>
      </c>
      <c r="Z303" s="1" t="s">
        <v>56</v>
      </c>
    </row>
    <row r="304" spans="6:26">
      <c r="F304" s="1" t="s">
        <v>42</v>
      </c>
      <c r="G304" s="1" t="s">
        <v>44</v>
      </c>
      <c r="I304" s="1" t="s">
        <v>42</v>
      </c>
      <c r="J304" s="1" t="s">
        <v>44</v>
      </c>
      <c r="K304" s="1" t="s">
        <v>43</v>
      </c>
      <c r="X304" s="1" t="s">
        <v>42</v>
      </c>
      <c r="Y304" s="1" t="s">
        <v>44</v>
      </c>
      <c r="Z304" s="1" t="s">
        <v>43</v>
      </c>
    </row>
    <row r="305" spans="6:26">
      <c r="F305">
        <v>99</v>
      </c>
      <c r="G305" s="1" t="s">
        <v>53</v>
      </c>
      <c r="I305">
        <v>99</v>
      </c>
      <c r="J305" s="1" t="s">
        <v>53</v>
      </c>
      <c r="K305" s="1" t="s">
        <v>54</v>
      </c>
      <c r="X305">
        <v>99</v>
      </c>
      <c r="Y305" s="1" t="s">
        <v>53</v>
      </c>
      <c r="Z305" s="1" t="s">
        <v>56</v>
      </c>
    </row>
    <row r="306" spans="6:26">
      <c r="F306" s="1" t="s">
        <v>42</v>
      </c>
      <c r="G306" s="1" t="s">
        <v>44</v>
      </c>
      <c r="I306" s="1" t="s">
        <v>42</v>
      </c>
      <c r="J306" s="1" t="s">
        <v>44</v>
      </c>
      <c r="K306" s="1" t="s">
        <v>43</v>
      </c>
      <c r="X306" s="1" t="s">
        <v>42</v>
      </c>
      <c r="Y306" s="1" t="s">
        <v>44</v>
      </c>
      <c r="Z306" s="1" t="s">
        <v>43</v>
      </c>
    </row>
    <row r="307" spans="6:26">
      <c r="F307">
        <v>100</v>
      </c>
      <c r="G307" s="1" t="s">
        <v>53</v>
      </c>
      <c r="I307">
        <v>100</v>
      </c>
      <c r="J307" s="1" t="s">
        <v>53</v>
      </c>
      <c r="K307" s="1" t="s">
        <v>54</v>
      </c>
      <c r="X307">
        <v>100</v>
      </c>
      <c r="Y307" s="1" t="s">
        <v>53</v>
      </c>
      <c r="Z307" s="1" t="s">
        <v>56</v>
      </c>
    </row>
    <row r="308" spans="6:26">
      <c r="F308" s="1" t="s">
        <v>42</v>
      </c>
      <c r="G308" s="1" t="s">
        <v>44</v>
      </c>
      <c r="H308" s="1"/>
      <c r="I308" s="1" t="s">
        <v>42</v>
      </c>
      <c r="J308" s="1" t="s">
        <v>44</v>
      </c>
      <c r="K308" s="1" t="s">
        <v>43</v>
      </c>
      <c r="X308" s="1" t="s">
        <v>42</v>
      </c>
      <c r="Y308" s="1" t="s">
        <v>44</v>
      </c>
      <c r="Z308" s="1" t="s">
        <v>43</v>
      </c>
    </row>
    <row r="309" spans="6:26">
      <c r="F309">
        <v>0</v>
      </c>
      <c r="G309" s="1" t="s">
        <v>55</v>
      </c>
      <c r="H309" s="1"/>
      <c r="I309">
        <v>0</v>
      </c>
      <c r="J309" s="1" t="s">
        <v>55</v>
      </c>
      <c r="K309" s="1" t="s">
        <v>54</v>
      </c>
      <c r="X309">
        <v>0</v>
      </c>
      <c r="Y309" s="1" t="s">
        <v>55</v>
      </c>
      <c r="Z309" s="1" t="s">
        <v>56</v>
      </c>
    </row>
    <row r="310" spans="6:26">
      <c r="F310" s="1" t="s">
        <v>42</v>
      </c>
      <c r="G310" s="1" t="s">
        <v>44</v>
      </c>
      <c r="I310" s="1" t="s">
        <v>42</v>
      </c>
      <c r="J310" s="1" t="s">
        <v>44</v>
      </c>
      <c r="K310" s="1" t="s">
        <v>43</v>
      </c>
      <c r="P310" s="1"/>
      <c r="X310" s="1" t="s">
        <v>42</v>
      </c>
      <c r="Y310" s="1" t="s">
        <v>44</v>
      </c>
      <c r="Z310" s="1" t="s">
        <v>43</v>
      </c>
    </row>
    <row r="311" spans="6:26">
      <c r="F311">
        <v>1</v>
      </c>
      <c r="G311" s="1" t="s">
        <v>55</v>
      </c>
      <c r="I311">
        <v>1</v>
      </c>
      <c r="J311" s="1" t="s">
        <v>55</v>
      </c>
      <c r="K311" s="1" t="s">
        <v>54</v>
      </c>
      <c r="P311" s="1"/>
      <c r="X311">
        <v>1</v>
      </c>
      <c r="Y311" s="1" t="s">
        <v>55</v>
      </c>
      <c r="Z311" s="1" t="s">
        <v>56</v>
      </c>
    </row>
    <row r="312" spans="6:26">
      <c r="F312" s="1" t="s">
        <v>42</v>
      </c>
      <c r="G312" s="1" t="s">
        <v>44</v>
      </c>
      <c r="I312" s="1" t="s">
        <v>42</v>
      </c>
      <c r="J312" s="1" t="s">
        <v>44</v>
      </c>
      <c r="K312" s="1" t="s">
        <v>43</v>
      </c>
      <c r="P312" s="1"/>
      <c r="X312" s="1" t="s">
        <v>42</v>
      </c>
      <c r="Y312" s="1" t="s">
        <v>44</v>
      </c>
      <c r="Z312" s="1" t="s">
        <v>43</v>
      </c>
    </row>
    <row r="313" spans="6:26">
      <c r="F313">
        <v>2</v>
      </c>
      <c r="G313" s="1" t="s">
        <v>55</v>
      </c>
      <c r="I313">
        <v>2</v>
      </c>
      <c r="J313" s="1" t="s">
        <v>55</v>
      </c>
      <c r="K313" s="1" t="s">
        <v>54</v>
      </c>
      <c r="P313" s="1"/>
      <c r="X313">
        <v>2</v>
      </c>
      <c r="Y313" s="1" t="s">
        <v>55</v>
      </c>
      <c r="Z313" s="1" t="s">
        <v>56</v>
      </c>
    </row>
    <row r="314" spans="6:26">
      <c r="F314" s="1" t="s">
        <v>42</v>
      </c>
      <c r="G314" s="1" t="s">
        <v>44</v>
      </c>
      <c r="I314" s="1" t="s">
        <v>42</v>
      </c>
      <c r="J314" s="1" t="s">
        <v>44</v>
      </c>
      <c r="K314" s="1" t="s">
        <v>43</v>
      </c>
      <c r="P314" s="1"/>
      <c r="X314" s="1" t="s">
        <v>42</v>
      </c>
      <c r="Y314" s="1" t="s">
        <v>44</v>
      </c>
      <c r="Z314" s="1" t="s">
        <v>43</v>
      </c>
    </row>
    <row r="315" spans="6:26">
      <c r="F315">
        <v>3</v>
      </c>
      <c r="G315" s="1" t="s">
        <v>55</v>
      </c>
      <c r="I315">
        <v>3</v>
      </c>
      <c r="J315" s="1" t="s">
        <v>55</v>
      </c>
      <c r="K315" s="1" t="s">
        <v>54</v>
      </c>
      <c r="P315" s="1"/>
      <c r="X315">
        <v>3</v>
      </c>
      <c r="Y315" s="1" t="s">
        <v>55</v>
      </c>
      <c r="Z315" s="1" t="s">
        <v>56</v>
      </c>
    </row>
    <row r="316" spans="6:26">
      <c r="F316" s="1" t="s">
        <v>42</v>
      </c>
      <c r="G316" s="1" t="s">
        <v>44</v>
      </c>
      <c r="I316" s="1" t="s">
        <v>42</v>
      </c>
      <c r="J316" s="1" t="s">
        <v>44</v>
      </c>
      <c r="K316" s="1" t="s">
        <v>43</v>
      </c>
      <c r="P316" s="1"/>
      <c r="X316" s="1" t="s">
        <v>42</v>
      </c>
      <c r="Y316" s="1" t="s">
        <v>44</v>
      </c>
      <c r="Z316" s="1" t="s">
        <v>43</v>
      </c>
    </row>
    <row r="317" spans="6:26">
      <c r="F317">
        <v>4</v>
      </c>
      <c r="G317" s="1" t="s">
        <v>55</v>
      </c>
      <c r="I317">
        <v>4</v>
      </c>
      <c r="J317" s="1" t="s">
        <v>55</v>
      </c>
      <c r="K317" s="1" t="s">
        <v>54</v>
      </c>
      <c r="P317" s="1"/>
      <c r="X317">
        <v>4</v>
      </c>
      <c r="Y317" s="1" t="s">
        <v>55</v>
      </c>
      <c r="Z317" s="1" t="s">
        <v>56</v>
      </c>
    </row>
    <row r="318" spans="6:26">
      <c r="F318" s="1" t="s">
        <v>42</v>
      </c>
      <c r="G318" s="1" t="s">
        <v>44</v>
      </c>
      <c r="I318" s="1" t="s">
        <v>42</v>
      </c>
      <c r="J318" s="1" t="s">
        <v>44</v>
      </c>
      <c r="K318" s="1" t="s">
        <v>43</v>
      </c>
      <c r="P318" s="1"/>
      <c r="X318" s="1" t="s">
        <v>42</v>
      </c>
      <c r="Y318" s="1" t="s">
        <v>44</v>
      </c>
      <c r="Z318" s="1" t="s">
        <v>43</v>
      </c>
    </row>
    <row r="319" spans="6:26">
      <c r="F319">
        <v>5</v>
      </c>
      <c r="G319" s="1" t="s">
        <v>55</v>
      </c>
      <c r="I319">
        <v>5</v>
      </c>
      <c r="J319" s="1" t="s">
        <v>55</v>
      </c>
      <c r="K319" s="1" t="s">
        <v>54</v>
      </c>
      <c r="P319" s="1"/>
      <c r="X319">
        <v>5</v>
      </c>
      <c r="Y319" s="1" t="s">
        <v>55</v>
      </c>
      <c r="Z319" s="1" t="s">
        <v>56</v>
      </c>
    </row>
    <row r="320" spans="6:26">
      <c r="F320" s="1" t="s">
        <v>42</v>
      </c>
      <c r="G320" s="1" t="s">
        <v>44</v>
      </c>
      <c r="I320" s="1" t="s">
        <v>42</v>
      </c>
      <c r="J320" s="1" t="s">
        <v>44</v>
      </c>
      <c r="K320" s="1" t="s">
        <v>43</v>
      </c>
      <c r="P320" s="1"/>
      <c r="X320" s="1" t="s">
        <v>42</v>
      </c>
      <c r="Y320" s="1" t="s">
        <v>44</v>
      </c>
      <c r="Z320" s="1" t="s">
        <v>43</v>
      </c>
    </row>
    <row r="321" spans="6:26">
      <c r="F321">
        <v>6</v>
      </c>
      <c r="G321" s="1" t="s">
        <v>55</v>
      </c>
      <c r="I321">
        <v>6</v>
      </c>
      <c r="J321" s="1" t="s">
        <v>55</v>
      </c>
      <c r="K321" s="1" t="s">
        <v>54</v>
      </c>
      <c r="P321" s="1"/>
      <c r="X321">
        <v>6</v>
      </c>
      <c r="Y321" s="1" t="s">
        <v>55</v>
      </c>
      <c r="Z321" s="1" t="s">
        <v>56</v>
      </c>
    </row>
    <row r="322" spans="6:26">
      <c r="F322" s="1" t="s">
        <v>42</v>
      </c>
      <c r="G322" s="1" t="s">
        <v>44</v>
      </c>
      <c r="I322" s="1" t="s">
        <v>42</v>
      </c>
      <c r="J322" s="1" t="s">
        <v>44</v>
      </c>
      <c r="K322" s="1" t="s">
        <v>43</v>
      </c>
      <c r="P322" s="1"/>
      <c r="X322" s="1" t="s">
        <v>42</v>
      </c>
      <c r="Y322" s="1" t="s">
        <v>44</v>
      </c>
      <c r="Z322" s="1" t="s">
        <v>43</v>
      </c>
    </row>
    <row r="323" spans="6:26">
      <c r="F323">
        <v>7</v>
      </c>
      <c r="G323" s="1" t="s">
        <v>55</v>
      </c>
      <c r="I323">
        <v>7</v>
      </c>
      <c r="J323" s="1" t="s">
        <v>55</v>
      </c>
      <c r="K323" s="1" t="s">
        <v>54</v>
      </c>
      <c r="P323" s="1"/>
      <c r="X323">
        <v>7</v>
      </c>
      <c r="Y323" s="1" t="s">
        <v>55</v>
      </c>
      <c r="Z323" s="1" t="s">
        <v>56</v>
      </c>
    </row>
    <row r="324" spans="6:26">
      <c r="F324" s="1" t="s">
        <v>42</v>
      </c>
      <c r="G324" s="1" t="s">
        <v>44</v>
      </c>
      <c r="I324" s="1" t="s">
        <v>42</v>
      </c>
      <c r="J324" s="1" t="s">
        <v>44</v>
      </c>
      <c r="K324" s="1" t="s">
        <v>43</v>
      </c>
      <c r="P324" s="1"/>
      <c r="X324" s="1" t="s">
        <v>42</v>
      </c>
      <c r="Y324" s="1" t="s">
        <v>44</v>
      </c>
      <c r="Z324" s="1" t="s">
        <v>43</v>
      </c>
    </row>
    <row r="325" spans="6:26">
      <c r="F325">
        <v>8</v>
      </c>
      <c r="G325" s="1" t="s">
        <v>55</v>
      </c>
      <c r="I325">
        <v>8</v>
      </c>
      <c r="J325" s="1" t="s">
        <v>55</v>
      </c>
      <c r="K325" s="1" t="s">
        <v>54</v>
      </c>
      <c r="P325" s="1"/>
      <c r="X325">
        <v>8</v>
      </c>
      <c r="Y325" s="1" t="s">
        <v>55</v>
      </c>
      <c r="Z325" s="1" t="s">
        <v>56</v>
      </c>
    </row>
    <row r="326" spans="6:26">
      <c r="F326" s="1" t="s">
        <v>42</v>
      </c>
      <c r="G326" s="1" t="s">
        <v>44</v>
      </c>
      <c r="I326" s="1" t="s">
        <v>42</v>
      </c>
      <c r="J326" s="1" t="s">
        <v>44</v>
      </c>
      <c r="K326" s="1" t="s">
        <v>43</v>
      </c>
      <c r="P326" s="1"/>
      <c r="X326" s="1" t="s">
        <v>42</v>
      </c>
      <c r="Y326" s="1" t="s">
        <v>44</v>
      </c>
      <c r="Z326" s="1" t="s">
        <v>43</v>
      </c>
    </row>
    <row r="327" spans="6:26">
      <c r="F327">
        <v>9</v>
      </c>
      <c r="G327" s="1" t="s">
        <v>55</v>
      </c>
      <c r="I327">
        <v>9</v>
      </c>
      <c r="J327" s="1" t="s">
        <v>55</v>
      </c>
      <c r="K327" s="1" t="s">
        <v>54</v>
      </c>
      <c r="P327" s="1"/>
      <c r="X327">
        <v>9</v>
      </c>
      <c r="Y327" s="1" t="s">
        <v>55</v>
      </c>
      <c r="Z327" s="1" t="s">
        <v>56</v>
      </c>
    </row>
    <row r="328" spans="6:26">
      <c r="F328" s="1" t="s">
        <v>42</v>
      </c>
      <c r="G328" s="1" t="s">
        <v>44</v>
      </c>
      <c r="I328" s="1" t="s">
        <v>42</v>
      </c>
      <c r="J328" s="1" t="s">
        <v>44</v>
      </c>
      <c r="K328" s="1" t="s">
        <v>43</v>
      </c>
      <c r="P328" s="1"/>
      <c r="X328" s="1" t="s">
        <v>42</v>
      </c>
      <c r="Y328" s="1" t="s">
        <v>44</v>
      </c>
      <c r="Z328" s="1" t="s">
        <v>43</v>
      </c>
    </row>
    <row r="329" spans="6:26">
      <c r="F329">
        <v>10</v>
      </c>
      <c r="G329" s="1" t="s">
        <v>55</v>
      </c>
      <c r="I329">
        <v>10</v>
      </c>
      <c r="J329" s="1" t="s">
        <v>55</v>
      </c>
      <c r="K329" s="1" t="s">
        <v>54</v>
      </c>
      <c r="P329" s="1"/>
      <c r="X329">
        <v>10</v>
      </c>
      <c r="Y329" s="1" t="s">
        <v>55</v>
      </c>
      <c r="Z329" s="1" t="s">
        <v>56</v>
      </c>
    </row>
    <row r="330" spans="6:26">
      <c r="F330" s="1" t="s">
        <v>42</v>
      </c>
      <c r="G330" s="1" t="s">
        <v>44</v>
      </c>
      <c r="I330" s="1" t="s">
        <v>42</v>
      </c>
      <c r="J330" s="1" t="s">
        <v>44</v>
      </c>
      <c r="K330" s="1" t="s">
        <v>43</v>
      </c>
      <c r="P330" s="1"/>
      <c r="X330" s="1" t="s">
        <v>42</v>
      </c>
      <c r="Y330" s="1" t="s">
        <v>44</v>
      </c>
      <c r="Z330" s="1" t="s">
        <v>43</v>
      </c>
    </row>
    <row r="331" spans="6:26">
      <c r="F331">
        <v>11</v>
      </c>
      <c r="G331" s="1" t="s">
        <v>55</v>
      </c>
      <c r="I331">
        <v>11</v>
      </c>
      <c r="J331" s="1" t="s">
        <v>55</v>
      </c>
      <c r="K331" s="1" t="s">
        <v>54</v>
      </c>
      <c r="P331" s="1"/>
      <c r="X331">
        <v>11</v>
      </c>
      <c r="Y331" s="1" t="s">
        <v>55</v>
      </c>
      <c r="Z331" s="1" t="s">
        <v>56</v>
      </c>
    </row>
    <row r="332" spans="6:26">
      <c r="F332" s="1" t="s">
        <v>42</v>
      </c>
      <c r="G332" s="1" t="s">
        <v>44</v>
      </c>
      <c r="I332" s="1" t="s">
        <v>42</v>
      </c>
      <c r="J332" s="1" t="s">
        <v>44</v>
      </c>
      <c r="K332" s="1" t="s">
        <v>43</v>
      </c>
      <c r="P332" s="1"/>
      <c r="X332" s="1" t="s">
        <v>42</v>
      </c>
      <c r="Y332" s="1" t="s">
        <v>44</v>
      </c>
      <c r="Z332" s="1" t="s">
        <v>43</v>
      </c>
    </row>
    <row r="333" spans="6:26">
      <c r="F333">
        <v>12</v>
      </c>
      <c r="G333" s="1" t="s">
        <v>55</v>
      </c>
      <c r="I333">
        <v>12</v>
      </c>
      <c r="J333" s="1" t="s">
        <v>55</v>
      </c>
      <c r="K333" s="1" t="s">
        <v>54</v>
      </c>
      <c r="P333" s="1"/>
      <c r="X333">
        <v>12</v>
      </c>
      <c r="Y333" s="1" t="s">
        <v>55</v>
      </c>
      <c r="Z333" s="1" t="s">
        <v>56</v>
      </c>
    </row>
    <row r="334" spans="6:26">
      <c r="F334" s="1" t="s">
        <v>42</v>
      </c>
      <c r="G334" s="1" t="s">
        <v>44</v>
      </c>
      <c r="I334" s="1" t="s">
        <v>42</v>
      </c>
      <c r="J334" s="1" t="s">
        <v>44</v>
      </c>
      <c r="K334" s="1" t="s">
        <v>43</v>
      </c>
      <c r="P334" s="1"/>
      <c r="X334" s="1" t="s">
        <v>42</v>
      </c>
      <c r="Y334" s="1" t="s">
        <v>44</v>
      </c>
      <c r="Z334" s="1" t="s">
        <v>43</v>
      </c>
    </row>
    <row r="335" spans="6:26">
      <c r="F335">
        <v>13</v>
      </c>
      <c r="G335" s="1" t="s">
        <v>55</v>
      </c>
      <c r="I335">
        <v>13</v>
      </c>
      <c r="J335" s="1" t="s">
        <v>55</v>
      </c>
      <c r="K335" s="1" t="s">
        <v>54</v>
      </c>
      <c r="P335" s="1"/>
      <c r="X335">
        <v>13</v>
      </c>
      <c r="Y335" s="1" t="s">
        <v>55</v>
      </c>
      <c r="Z335" s="1" t="s">
        <v>56</v>
      </c>
    </row>
    <row r="336" spans="6:26">
      <c r="F336" s="1" t="s">
        <v>42</v>
      </c>
      <c r="G336" s="1" t="s">
        <v>44</v>
      </c>
      <c r="I336" s="1" t="s">
        <v>42</v>
      </c>
      <c r="J336" s="1" t="s">
        <v>44</v>
      </c>
      <c r="K336" s="1" t="s">
        <v>43</v>
      </c>
      <c r="P336" s="1"/>
      <c r="X336" s="1" t="s">
        <v>42</v>
      </c>
      <c r="Y336" s="1" t="s">
        <v>44</v>
      </c>
      <c r="Z336" s="1" t="s">
        <v>43</v>
      </c>
    </row>
    <row r="337" spans="6:26">
      <c r="F337">
        <v>14</v>
      </c>
      <c r="G337" s="1" t="s">
        <v>55</v>
      </c>
      <c r="I337">
        <v>14</v>
      </c>
      <c r="J337" s="1" t="s">
        <v>55</v>
      </c>
      <c r="K337" s="1" t="s">
        <v>54</v>
      </c>
      <c r="P337" s="1"/>
      <c r="X337">
        <v>14</v>
      </c>
      <c r="Y337" s="1" t="s">
        <v>55</v>
      </c>
      <c r="Z337" s="1" t="s">
        <v>56</v>
      </c>
    </row>
    <row r="338" spans="6:26">
      <c r="F338" s="1" t="s">
        <v>42</v>
      </c>
      <c r="G338" s="1" t="s">
        <v>44</v>
      </c>
      <c r="I338" s="1" t="s">
        <v>42</v>
      </c>
      <c r="J338" s="1" t="s">
        <v>44</v>
      </c>
      <c r="K338" s="1" t="s">
        <v>43</v>
      </c>
      <c r="P338" s="1"/>
      <c r="X338" s="1" t="s">
        <v>42</v>
      </c>
      <c r="Y338" s="1" t="s">
        <v>44</v>
      </c>
      <c r="Z338" s="1" t="s">
        <v>43</v>
      </c>
    </row>
    <row r="339" spans="6:26">
      <c r="F339">
        <v>15</v>
      </c>
      <c r="G339" s="1" t="s">
        <v>55</v>
      </c>
      <c r="I339">
        <v>15</v>
      </c>
      <c r="J339" s="1" t="s">
        <v>55</v>
      </c>
      <c r="K339" s="1" t="s">
        <v>54</v>
      </c>
      <c r="P339" s="1"/>
      <c r="X339">
        <v>15</v>
      </c>
      <c r="Y339" s="1" t="s">
        <v>55</v>
      </c>
      <c r="Z339" s="1" t="s">
        <v>56</v>
      </c>
    </row>
    <row r="340" spans="6:26">
      <c r="F340" s="1" t="s">
        <v>42</v>
      </c>
      <c r="G340" s="1" t="s">
        <v>44</v>
      </c>
      <c r="I340" s="1" t="s">
        <v>42</v>
      </c>
      <c r="J340" s="1" t="s">
        <v>44</v>
      </c>
      <c r="K340" s="1" t="s">
        <v>43</v>
      </c>
      <c r="X340" s="1" t="s">
        <v>42</v>
      </c>
      <c r="Y340" s="1" t="s">
        <v>44</v>
      </c>
      <c r="Z340" s="1" t="s">
        <v>43</v>
      </c>
    </row>
    <row r="341" spans="6:26">
      <c r="F341">
        <v>16</v>
      </c>
      <c r="G341" s="1" t="s">
        <v>55</v>
      </c>
      <c r="I341">
        <v>16</v>
      </c>
      <c r="J341" s="1" t="s">
        <v>55</v>
      </c>
      <c r="K341" s="1" t="s">
        <v>54</v>
      </c>
      <c r="X341">
        <v>16</v>
      </c>
      <c r="Y341" s="1" t="s">
        <v>55</v>
      </c>
      <c r="Z341" s="1" t="s">
        <v>56</v>
      </c>
    </row>
    <row r="342" spans="6:26">
      <c r="F342" s="1" t="s">
        <v>42</v>
      </c>
      <c r="G342" s="1" t="s">
        <v>44</v>
      </c>
      <c r="I342" s="1" t="s">
        <v>42</v>
      </c>
      <c r="J342" s="1" t="s">
        <v>44</v>
      </c>
      <c r="K342" s="1" t="s">
        <v>43</v>
      </c>
      <c r="X342" s="1" t="s">
        <v>42</v>
      </c>
      <c r="Y342" s="1" t="s">
        <v>44</v>
      </c>
      <c r="Z342" s="1" t="s">
        <v>43</v>
      </c>
    </row>
    <row r="343" spans="6:26">
      <c r="F343">
        <v>17</v>
      </c>
      <c r="G343" s="1" t="s">
        <v>55</v>
      </c>
      <c r="I343">
        <v>17</v>
      </c>
      <c r="J343" s="1" t="s">
        <v>55</v>
      </c>
      <c r="K343" s="1" t="s">
        <v>54</v>
      </c>
      <c r="X343">
        <v>17</v>
      </c>
      <c r="Y343" s="1" t="s">
        <v>55</v>
      </c>
      <c r="Z343" s="1" t="s">
        <v>56</v>
      </c>
    </row>
    <row r="344" spans="6:26">
      <c r="F344" s="1" t="s">
        <v>42</v>
      </c>
      <c r="G344" s="1" t="s">
        <v>44</v>
      </c>
      <c r="I344" s="1" t="s">
        <v>42</v>
      </c>
      <c r="J344" s="1" t="s">
        <v>44</v>
      </c>
      <c r="K344" s="1" t="s">
        <v>43</v>
      </c>
      <c r="X344" s="1" t="s">
        <v>42</v>
      </c>
      <c r="Y344" s="1" t="s">
        <v>44</v>
      </c>
      <c r="Z344" s="1" t="s">
        <v>43</v>
      </c>
    </row>
    <row r="345" spans="6:26">
      <c r="F345">
        <v>18</v>
      </c>
      <c r="G345" s="1" t="s">
        <v>55</v>
      </c>
      <c r="I345">
        <v>18</v>
      </c>
      <c r="J345" s="1" t="s">
        <v>55</v>
      </c>
      <c r="K345" s="1" t="s">
        <v>54</v>
      </c>
      <c r="X345">
        <v>18</v>
      </c>
      <c r="Y345" s="1" t="s">
        <v>55</v>
      </c>
      <c r="Z345" s="1" t="s">
        <v>56</v>
      </c>
    </row>
    <row r="346" spans="6:26">
      <c r="F346" s="1" t="s">
        <v>42</v>
      </c>
      <c r="G346" s="1" t="s">
        <v>44</v>
      </c>
      <c r="I346" s="1" t="s">
        <v>42</v>
      </c>
      <c r="J346" s="1" t="s">
        <v>44</v>
      </c>
      <c r="K346" s="1" t="s">
        <v>43</v>
      </c>
      <c r="X346" s="1" t="s">
        <v>42</v>
      </c>
      <c r="Y346" s="1" t="s">
        <v>44</v>
      </c>
      <c r="Z346" s="1" t="s">
        <v>43</v>
      </c>
    </row>
    <row r="347" spans="6:26">
      <c r="F347">
        <v>19</v>
      </c>
      <c r="G347" s="1" t="s">
        <v>55</v>
      </c>
      <c r="I347">
        <v>19</v>
      </c>
      <c r="J347" s="1" t="s">
        <v>55</v>
      </c>
      <c r="K347" s="1" t="s">
        <v>54</v>
      </c>
      <c r="X347">
        <v>19</v>
      </c>
      <c r="Y347" s="1" t="s">
        <v>55</v>
      </c>
      <c r="Z347" s="1" t="s">
        <v>56</v>
      </c>
    </row>
    <row r="348" spans="6:26">
      <c r="F348" s="1" t="s">
        <v>42</v>
      </c>
      <c r="G348" s="1" t="s">
        <v>44</v>
      </c>
      <c r="I348" s="1" t="s">
        <v>42</v>
      </c>
      <c r="J348" s="1" t="s">
        <v>44</v>
      </c>
      <c r="K348" s="1" t="s">
        <v>43</v>
      </c>
      <c r="X348" s="1" t="s">
        <v>42</v>
      </c>
      <c r="Y348" s="1" t="s">
        <v>44</v>
      </c>
      <c r="Z348" s="1" t="s">
        <v>43</v>
      </c>
    </row>
    <row r="349" spans="6:26">
      <c r="F349">
        <v>20</v>
      </c>
      <c r="G349" s="1" t="s">
        <v>55</v>
      </c>
      <c r="I349">
        <v>20</v>
      </c>
      <c r="J349" s="1" t="s">
        <v>55</v>
      </c>
      <c r="K349" s="1" t="s">
        <v>54</v>
      </c>
      <c r="X349">
        <v>20</v>
      </c>
      <c r="Y349" s="1" t="s">
        <v>55</v>
      </c>
      <c r="Z349" s="1" t="s">
        <v>56</v>
      </c>
    </row>
    <row r="350" spans="6:26">
      <c r="F350" s="1" t="s">
        <v>42</v>
      </c>
      <c r="G350" s="1" t="s">
        <v>44</v>
      </c>
      <c r="I350" s="1" t="s">
        <v>42</v>
      </c>
      <c r="J350" s="1" t="s">
        <v>44</v>
      </c>
      <c r="K350" s="1" t="s">
        <v>43</v>
      </c>
      <c r="X350" s="1" t="s">
        <v>42</v>
      </c>
      <c r="Y350" s="1" t="s">
        <v>44</v>
      </c>
      <c r="Z350" s="1" t="s">
        <v>43</v>
      </c>
    </row>
    <row r="351" spans="6:26">
      <c r="F351">
        <v>21</v>
      </c>
      <c r="G351" s="1" t="s">
        <v>55</v>
      </c>
      <c r="I351">
        <v>21</v>
      </c>
      <c r="J351" s="1" t="s">
        <v>55</v>
      </c>
      <c r="K351" s="1" t="s">
        <v>54</v>
      </c>
      <c r="X351">
        <v>21</v>
      </c>
      <c r="Y351" s="1" t="s">
        <v>55</v>
      </c>
      <c r="Z351" s="1" t="s">
        <v>56</v>
      </c>
    </row>
    <row r="352" spans="6:26">
      <c r="F352" s="1" t="s">
        <v>42</v>
      </c>
      <c r="G352" s="1" t="s">
        <v>44</v>
      </c>
      <c r="I352" s="1" t="s">
        <v>42</v>
      </c>
      <c r="J352" s="1" t="s">
        <v>44</v>
      </c>
      <c r="K352" s="1" t="s">
        <v>43</v>
      </c>
      <c r="X352" s="1" t="s">
        <v>42</v>
      </c>
      <c r="Y352" s="1" t="s">
        <v>44</v>
      </c>
      <c r="Z352" s="1" t="s">
        <v>43</v>
      </c>
    </row>
    <row r="353" spans="6:26">
      <c r="F353">
        <v>22</v>
      </c>
      <c r="G353" s="1" t="s">
        <v>55</v>
      </c>
      <c r="I353">
        <v>22</v>
      </c>
      <c r="J353" s="1" t="s">
        <v>55</v>
      </c>
      <c r="K353" s="1" t="s">
        <v>54</v>
      </c>
      <c r="X353">
        <v>22</v>
      </c>
      <c r="Y353" s="1" t="s">
        <v>55</v>
      </c>
      <c r="Z353" s="1" t="s">
        <v>56</v>
      </c>
    </row>
    <row r="354" spans="6:26">
      <c r="F354" s="1" t="s">
        <v>42</v>
      </c>
      <c r="G354" s="1" t="s">
        <v>44</v>
      </c>
      <c r="I354" s="1" t="s">
        <v>42</v>
      </c>
      <c r="J354" s="1" t="s">
        <v>44</v>
      </c>
      <c r="K354" s="1" t="s">
        <v>43</v>
      </c>
      <c r="X354" s="1" t="s">
        <v>42</v>
      </c>
      <c r="Y354" s="1" t="s">
        <v>44</v>
      </c>
      <c r="Z354" s="1" t="s">
        <v>43</v>
      </c>
    </row>
    <row r="355" spans="6:26">
      <c r="F355">
        <v>23</v>
      </c>
      <c r="G355" s="1" t="s">
        <v>55</v>
      </c>
      <c r="I355">
        <v>23</v>
      </c>
      <c r="J355" s="1" t="s">
        <v>55</v>
      </c>
      <c r="K355" s="1" t="s">
        <v>54</v>
      </c>
      <c r="X355">
        <v>23</v>
      </c>
      <c r="Y355" s="1" t="s">
        <v>55</v>
      </c>
      <c r="Z355" s="1" t="s">
        <v>56</v>
      </c>
    </row>
    <row r="356" spans="6:26">
      <c r="F356" s="1" t="s">
        <v>42</v>
      </c>
      <c r="G356" s="1" t="s">
        <v>44</v>
      </c>
      <c r="I356" s="1" t="s">
        <v>42</v>
      </c>
      <c r="J356" s="1" t="s">
        <v>44</v>
      </c>
      <c r="K356" s="1" t="s">
        <v>43</v>
      </c>
      <c r="X356" s="1" t="s">
        <v>42</v>
      </c>
      <c r="Y356" s="1" t="s">
        <v>44</v>
      </c>
      <c r="Z356" s="1" t="s">
        <v>43</v>
      </c>
    </row>
    <row r="357" spans="6:26">
      <c r="F357">
        <v>24</v>
      </c>
      <c r="G357" s="1" t="s">
        <v>55</v>
      </c>
      <c r="I357">
        <v>24</v>
      </c>
      <c r="J357" s="1" t="s">
        <v>55</v>
      </c>
      <c r="K357" s="1" t="s">
        <v>54</v>
      </c>
      <c r="X357">
        <v>24</v>
      </c>
      <c r="Y357" s="1" t="s">
        <v>55</v>
      </c>
      <c r="Z357" s="1" t="s">
        <v>56</v>
      </c>
    </row>
    <row r="358" spans="6:26">
      <c r="F358" s="1" t="s">
        <v>42</v>
      </c>
      <c r="G358" s="1" t="s">
        <v>44</v>
      </c>
      <c r="I358" s="1" t="s">
        <v>42</v>
      </c>
      <c r="J358" s="1" t="s">
        <v>44</v>
      </c>
      <c r="K358" s="1" t="s">
        <v>43</v>
      </c>
      <c r="X358" s="1" t="s">
        <v>42</v>
      </c>
      <c r="Y358" s="1" t="s">
        <v>44</v>
      </c>
      <c r="Z358" s="1" t="s">
        <v>43</v>
      </c>
    </row>
    <row r="359" spans="6:26">
      <c r="F359">
        <v>25</v>
      </c>
      <c r="G359" s="1" t="s">
        <v>55</v>
      </c>
      <c r="I359">
        <v>25</v>
      </c>
      <c r="J359" s="1" t="s">
        <v>55</v>
      </c>
      <c r="K359" s="1" t="s">
        <v>54</v>
      </c>
      <c r="X359">
        <v>25</v>
      </c>
      <c r="Y359" s="1" t="s">
        <v>55</v>
      </c>
      <c r="Z359" s="1" t="s">
        <v>56</v>
      </c>
    </row>
    <row r="360" spans="6:26">
      <c r="F360" s="1" t="s">
        <v>42</v>
      </c>
      <c r="G360" s="1" t="s">
        <v>44</v>
      </c>
      <c r="I360" s="1" t="s">
        <v>42</v>
      </c>
      <c r="J360" s="1" t="s">
        <v>44</v>
      </c>
      <c r="K360" s="1" t="s">
        <v>43</v>
      </c>
      <c r="X360" s="1" t="s">
        <v>42</v>
      </c>
      <c r="Y360" s="1" t="s">
        <v>44</v>
      </c>
      <c r="Z360" s="1" t="s">
        <v>43</v>
      </c>
    </row>
    <row r="361" spans="6:26">
      <c r="F361">
        <v>26</v>
      </c>
      <c r="G361" s="1" t="s">
        <v>55</v>
      </c>
      <c r="I361">
        <v>26</v>
      </c>
      <c r="J361" s="1" t="s">
        <v>55</v>
      </c>
      <c r="K361" s="1" t="s">
        <v>54</v>
      </c>
      <c r="X361">
        <v>26</v>
      </c>
      <c r="Y361" s="1" t="s">
        <v>55</v>
      </c>
      <c r="Z361" s="1" t="s">
        <v>56</v>
      </c>
    </row>
    <row r="362" spans="6:26">
      <c r="F362" s="1" t="s">
        <v>42</v>
      </c>
      <c r="G362" s="1" t="s">
        <v>44</v>
      </c>
      <c r="I362" s="1" t="s">
        <v>42</v>
      </c>
      <c r="J362" s="1" t="s">
        <v>44</v>
      </c>
      <c r="K362" s="1" t="s">
        <v>43</v>
      </c>
      <c r="X362" s="1" t="s">
        <v>42</v>
      </c>
      <c r="Y362" s="1" t="s">
        <v>44</v>
      </c>
      <c r="Z362" s="1" t="s">
        <v>43</v>
      </c>
    </row>
    <row r="363" spans="6:26">
      <c r="F363">
        <v>27</v>
      </c>
      <c r="G363" s="1" t="s">
        <v>55</v>
      </c>
      <c r="I363">
        <v>27</v>
      </c>
      <c r="J363" s="1" t="s">
        <v>55</v>
      </c>
      <c r="K363" s="1" t="s">
        <v>54</v>
      </c>
      <c r="X363">
        <v>27</v>
      </c>
      <c r="Y363" s="1" t="s">
        <v>55</v>
      </c>
      <c r="Z363" s="1" t="s">
        <v>56</v>
      </c>
    </row>
    <row r="364" spans="6:26">
      <c r="F364" s="1" t="s">
        <v>42</v>
      </c>
      <c r="G364" s="1" t="s">
        <v>44</v>
      </c>
      <c r="I364" s="1" t="s">
        <v>42</v>
      </c>
      <c r="J364" s="1" t="s">
        <v>44</v>
      </c>
      <c r="K364" s="1" t="s">
        <v>43</v>
      </c>
      <c r="X364" s="1" t="s">
        <v>42</v>
      </c>
      <c r="Y364" s="1" t="s">
        <v>44</v>
      </c>
      <c r="Z364" s="1" t="s">
        <v>43</v>
      </c>
    </row>
    <row r="365" spans="6:26">
      <c r="F365">
        <v>28</v>
      </c>
      <c r="G365" s="1" t="s">
        <v>55</v>
      </c>
      <c r="I365">
        <v>28</v>
      </c>
      <c r="J365" s="1" t="s">
        <v>55</v>
      </c>
      <c r="K365" s="1" t="s">
        <v>54</v>
      </c>
      <c r="X365">
        <v>28</v>
      </c>
      <c r="Y365" s="1" t="s">
        <v>55</v>
      </c>
      <c r="Z365" s="1" t="s">
        <v>56</v>
      </c>
    </row>
    <row r="366" spans="6:26">
      <c r="F366" s="1" t="s">
        <v>42</v>
      </c>
      <c r="G366" s="1" t="s">
        <v>44</v>
      </c>
      <c r="I366" s="1" t="s">
        <v>42</v>
      </c>
      <c r="J366" s="1" t="s">
        <v>44</v>
      </c>
      <c r="K366" s="1" t="s">
        <v>43</v>
      </c>
      <c r="X366" s="1" t="s">
        <v>42</v>
      </c>
      <c r="Y366" s="1" t="s">
        <v>44</v>
      </c>
      <c r="Z366" s="1" t="s">
        <v>43</v>
      </c>
    </row>
    <row r="367" spans="6:26">
      <c r="F367">
        <v>29</v>
      </c>
      <c r="G367" s="1" t="s">
        <v>55</v>
      </c>
      <c r="I367">
        <v>29</v>
      </c>
      <c r="J367" s="1" t="s">
        <v>55</v>
      </c>
      <c r="K367" s="1" t="s">
        <v>54</v>
      </c>
      <c r="X367">
        <v>29</v>
      </c>
      <c r="Y367" s="1" t="s">
        <v>55</v>
      </c>
      <c r="Z367" s="1" t="s">
        <v>56</v>
      </c>
    </row>
    <row r="368" spans="6:26">
      <c r="F368" s="1" t="s">
        <v>42</v>
      </c>
      <c r="G368" s="1" t="s">
        <v>44</v>
      </c>
      <c r="I368" s="1" t="s">
        <v>42</v>
      </c>
      <c r="J368" s="1" t="s">
        <v>44</v>
      </c>
      <c r="K368" s="1" t="s">
        <v>43</v>
      </c>
      <c r="X368" s="1" t="s">
        <v>42</v>
      </c>
      <c r="Y368" s="1" t="s">
        <v>44</v>
      </c>
      <c r="Z368" s="1" t="s">
        <v>43</v>
      </c>
    </row>
    <row r="369" spans="6:26">
      <c r="F369">
        <v>30</v>
      </c>
      <c r="G369" s="1" t="s">
        <v>55</v>
      </c>
      <c r="I369">
        <v>30</v>
      </c>
      <c r="J369" s="1" t="s">
        <v>55</v>
      </c>
      <c r="K369" s="1" t="s">
        <v>54</v>
      </c>
      <c r="X369">
        <v>30</v>
      </c>
      <c r="Y369" s="1" t="s">
        <v>55</v>
      </c>
      <c r="Z369" s="1" t="s">
        <v>56</v>
      </c>
    </row>
    <row r="370" spans="6:26">
      <c r="F370" s="1" t="s">
        <v>42</v>
      </c>
      <c r="G370" s="1" t="s">
        <v>44</v>
      </c>
      <c r="I370" s="1" t="s">
        <v>42</v>
      </c>
      <c r="J370" s="1" t="s">
        <v>44</v>
      </c>
      <c r="K370" s="1" t="s">
        <v>43</v>
      </c>
      <c r="X370" s="1" t="s">
        <v>42</v>
      </c>
      <c r="Y370" s="1" t="s">
        <v>44</v>
      </c>
      <c r="Z370" s="1" t="s">
        <v>43</v>
      </c>
    </row>
    <row r="371" spans="6:26">
      <c r="F371">
        <v>31</v>
      </c>
      <c r="G371" s="1" t="s">
        <v>55</v>
      </c>
      <c r="I371">
        <v>31</v>
      </c>
      <c r="J371" s="1" t="s">
        <v>55</v>
      </c>
      <c r="K371" s="1" t="s">
        <v>54</v>
      </c>
      <c r="X371">
        <v>31</v>
      </c>
      <c r="Y371" s="1" t="s">
        <v>55</v>
      </c>
      <c r="Z371" s="1" t="s">
        <v>56</v>
      </c>
    </row>
    <row r="372" spans="6:26">
      <c r="F372" s="1" t="s">
        <v>42</v>
      </c>
      <c r="G372" s="1" t="s">
        <v>44</v>
      </c>
      <c r="I372" s="1" t="s">
        <v>42</v>
      </c>
      <c r="J372" s="1" t="s">
        <v>44</v>
      </c>
      <c r="K372" s="1" t="s">
        <v>43</v>
      </c>
      <c r="X372" s="1" t="s">
        <v>42</v>
      </c>
      <c r="Y372" s="1" t="s">
        <v>44</v>
      </c>
      <c r="Z372" s="1" t="s">
        <v>43</v>
      </c>
    </row>
    <row r="373" spans="6:26">
      <c r="F373">
        <v>32</v>
      </c>
      <c r="G373" s="1" t="s">
        <v>55</v>
      </c>
      <c r="I373">
        <v>32</v>
      </c>
      <c r="J373" s="1" t="s">
        <v>55</v>
      </c>
      <c r="K373" s="1" t="s">
        <v>54</v>
      </c>
      <c r="X373">
        <v>32</v>
      </c>
      <c r="Y373" s="1" t="s">
        <v>55</v>
      </c>
      <c r="Z373" s="1" t="s">
        <v>56</v>
      </c>
    </row>
    <row r="374" spans="6:26">
      <c r="F374" s="1" t="s">
        <v>42</v>
      </c>
      <c r="G374" s="1" t="s">
        <v>44</v>
      </c>
      <c r="I374" s="1" t="s">
        <v>42</v>
      </c>
      <c r="J374" s="1" t="s">
        <v>44</v>
      </c>
      <c r="K374" s="1" t="s">
        <v>43</v>
      </c>
      <c r="X374" s="1" t="s">
        <v>42</v>
      </c>
      <c r="Y374" s="1" t="s">
        <v>44</v>
      </c>
      <c r="Z374" s="1" t="s">
        <v>43</v>
      </c>
    </row>
    <row r="375" spans="6:26">
      <c r="F375">
        <v>33</v>
      </c>
      <c r="G375" s="1" t="s">
        <v>55</v>
      </c>
      <c r="I375">
        <v>33</v>
      </c>
      <c r="J375" s="1" t="s">
        <v>55</v>
      </c>
      <c r="K375" s="1" t="s">
        <v>54</v>
      </c>
      <c r="X375">
        <v>33</v>
      </c>
      <c r="Y375" s="1" t="s">
        <v>55</v>
      </c>
      <c r="Z375" s="1" t="s">
        <v>56</v>
      </c>
    </row>
    <row r="376" spans="6:26">
      <c r="F376" s="1" t="s">
        <v>42</v>
      </c>
      <c r="G376" s="1" t="s">
        <v>44</v>
      </c>
      <c r="I376" s="1" t="s">
        <v>42</v>
      </c>
      <c r="J376" s="1" t="s">
        <v>44</v>
      </c>
      <c r="K376" s="1" t="s">
        <v>43</v>
      </c>
      <c r="X376" s="1" t="s">
        <v>42</v>
      </c>
      <c r="Y376" s="1" t="s">
        <v>44</v>
      </c>
      <c r="Z376" s="1" t="s">
        <v>43</v>
      </c>
    </row>
    <row r="377" spans="6:26">
      <c r="F377">
        <v>34</v>
      </c>
      <c r="G377" s="1" t="s">
        <v>55</v>
      </c>
      <c r="I377">
        <v>34</v>
      </c>
      <c r="J377" s="1" t="s">
        <v>55</v>
      </c>
      <c r="K377" s="1" t="s">
        <v>54</v>
      </c>
      <c r="X377">
        <v>34</v>
      </c>
      <c r="Y377" s="1" t="s">
        <v>55</v>
      </c>
      <c r="Z377" s="1" t="s">
        <v>56</v>
      </c>
    </row>
    <row r="378" spans="6:26">
      <c r="F378" s="1" t="s">
        <v>42</v>
      </c>
      <c r="G378" s="1" t="s">
        <v>44</v>
      </c>
      <c r="I378" s="1" t="s">
        <v>42</v>
      </c>
      <c r="J378" s="1" t="s">
        <v>44</v>
      </c>
      <c r="K378" s="1" t="s">
        <v>43</v>
      </c>
      <c r="X378" s="1" t="s">
        <v>42</v>
      </c>
      <c r="Y378" s="1" t="s">
        <v>44</v>
      </c>
      <c r="Z378" s="1" t="s">
        <v>43</v>
      </c>
    </row>
    <row r="379" spans="6:26">
      <c r="F379">
        <v>35</v>
      </c>
      <c r="G379" s="1" t="s">
        <v>55</v>
      </c>
      <c r="I379">
        <v>35</v>
      </c>
      <c r="J379" s="1" t="s">
        <v>55</v>
      </c>
      <c r="K379" s="1" t="s">
        <v>54</v>
      </c>
      <c r="X379">
        <v>35</v>
      </c>
      <c r="Y379" s="1" t="s">
        <v>55</v>
      </c>
      <c r="Z379" s="1" t="s">
        <v>56</v>
      </c>
    </row>
    <row r="380" spans="6:26">
      <c r="F380" s="1" t="s">
        <v>42</v>
      </c>
      <c r="G380" s="1" t="s">
        <v>44</v>
      </c>
      <c r="I380" s="1" t="s">
        <v>42</v>
      </c>
      <c r="J380" s="1" t="s">
        <v>44</v>
      </c>
      <c r="K380" s="1" t="s">
        <v>43</v>
      </c>
      <c r="X380" s="1" t="s">
        <v>42</v>
      </c>
      <c r="Y380" s="1" t="s">
        <v>44</v>
      </c>
      <c r="Z380" s="1" t="s">
        <v>43</v>
      </c>
    </row>
    <row r="381" spans="6:26">
      <c r="F381">
        <v>36</v>
      </c>
      <c r="G381" s="1" t="s">
        <v>55</v>
      </c>
      <c r="I381">
        <v>36</v>
      </c>
      <c r="J381" s="1" t="s">
        <v>55</v>
      </c>
      <c r="K381" s="1" t="s">
        <v>54</v>
      </c>
      <c r="X381">
        <v>36</v>
      </c>
      <c r="Y381" s="1" t="s">
        <v>55</v>
      </c>
      <c r="Z381" s="1" t="s">
        <v>56</v>
      </c>
    </row>
    <row r="382" spans="6:26">
      <c r="F382" s="1" t="s">
        <v>42</v>
      </c>
      <c r="G382" s="1" t="s">
        <v>44</v>
      </c>
      <c r="I382" s="1" t="s">
        <v>42</v>
      </c>
      <c r="J382" s="1" t="s">
        <v>44</v>
      </c>
      <c r="K382" s="1" t="s">
        <v>43</v>
      </c>
      <c r="X382" s="1" t="s">
        <v>42</v>
      </c>
      <c r="Y382" s="1" t="s">
        <v>44</v>
      </c>
      <c r="Z382" s="1" t="s">
        <v>43</v>
      </c>
    </row>
    <row r="383" spans="6:26">
      <c r="F383">
        <v>37</v>
      </c>
      <c r="G383" s="1" t="s">
        <v>55</v>
      </c>
      <c r="I383">
        <v>37</v>
      </c>
      <c r="J383" s="1" t="s">
        <v>55</v>
      </c>
      <c r="K383" s="1" t="s">
        <v>54</v>
      </c>
      <c r="X383">
        <v>37</v>
      </c>
      <c r="Y383" s="1" t="s">
        <v>55</v>
      </c>
      <c r="Z383" s="1" t="s">
        <v>56</v>
      </c>
    </row>
    <row r="384" spans="6:26">
      <c r="F384" s="1" t="s">
        <v>42</v>
      </c>
      <c r="G384" s="1" t="s">
        <v>44</v>
      </c>
      <c r="I384" s="1" t="s">
        <v>42</v>
      </c>
      <c r="J384" s="1" t="s">
        <v>44</v>
      </c>
      <c r="K384" s="1" t="s">
        <v>43</v>
      </c>
      <c r="X384" s="1" t="s">
        <v>42</v>
      </c>
      <c r="Y384" s="1" t="s">
        <v>44</v>
      </c>
      <c r="Z384" s="1" t="s">
        <v>43</v>
      </c>
    </row>
    <row r="385" spans="6:26">
      <c r="F385">
        <v>38</v>
      </c>
      <c r="G385" s="1" t="s">
        <v>55</v>
      </c>
      <c r="I385">
        <v>38</v>
      </c>
      <c r="J385" s="1" t="s">
        <v>55</v>
      </c>
      <c r="K385" s="1" t="s">
        <v>54</v>
      </c>
      <c r="X385">
        <v>38</v>
      </c>
      <c r="Y385" s="1" t="s">
        <v>55</v>
      </c>
      <c r="Z385" s="1" t="s">
        <v>56</v>
      </c>
    </row>
    <row r="386" spans="6:26">
      <c r="F386" s="1" t="s">
        <v>42</v>
      </c>
      <c r="G386" s="1" t="s">
        <v>44</v>
      </c>
      <c r="I386" s="1" t="s">
        <v>42</v>
      </c>
      <c r="J386" s="1" t="s">
        <v>44</v>
      </c>
      <c r="K386" s="1" t="s">
        <v>43</v>
      </c>
      <c r="X386" s="1" t="s">
        <v>42</v>
      </c>
      <c r="Y386" s="1" t="s">
        <v>44</v>
      </c>
      <c r="Z386" s="1" t="s">
        <v>43</v>
      </c>
    </row>
    <row r="387" spans="6:26">
      <c r="F387">
        <v>39</v>
      </c>
      <c r="G387" s="1" t="s">
        <v>55</v>
      </c>
      <c r="I387">
        <v>39</v>
      </c>
      <c r="J387" s="1" t="s">
        <v>55</v>
      </c>
      <c r="K387" s="1" t="s">
        <v>54</v>
      </c>
      <c r="X387">
        <v>39</v>
      </c>
      <c r="Y387" s="1" t="s">
        <v>55</v>
      </c>
      <c r="Z387" s="1" t="s">
        <v>56</v>
      </c>
    </row>
    <row r="388" spans="6:26">
      <c r="F388" s="1" t="s">
        <v>42</v>
      </c>
      <c r="G388" s="1" t="s">
        <v>44</v>
      </c>
      <c r="I388" s="1" t="s">
        <v>42</v>
      </c>
      <c r="J388" s="1" t="s">
        <v>44</v>
      </c>
      <c r="K388" s="1" t="s">
        <v>43</v>
      </c>
      <c r="X388" s="1" t="s">
        <v>42</v>
      </c>
      <c r="Y388" s="1" t="s">
        <v>44</v>
      </c>
      <c r="Z388" s="1" t="s">
        <v>43</v>
      </c>
    </row>
    <row r="389" spans="6:26">
      <c r="F389">
        <v>40</v>
      </c>
      <c r="G389" s="1" t="s">
        <v>55</v>
      </c>
      <c r="I389">
        <v>40</v>
      </c>
      <c r="J389" s="1" t="s">
        <v>55</v>
      </c>
      <c r="K389" s="1" t="s">
        <v>54</v>
      </c>
      <c r="X389">
        <v>40</v>
      </c>
      <c r="Y389" s="1" t="s">
        <v>55</v>
      </c>
      <c r="Z389" s="1" t="s">
        <v>56</v>
      </c>
    </row>
    <row r="390" spans="6:26">
      <c r="F390" s="1" t="s">
        <v>42</v>
      </c>
      <c r="G390" s="1" t="s">
        <v>44</v>
      </c>
      <c r="I390" s="1" t="s">
        <v>42</v>
      </c>
      <c r="J390" s="1" t="s">
        <v>44</v>
      </c>
      <c r="K390" s="1" t="s">
        <v>43</v>
      </c>
      <c r="X390" s="1" t="s">
        <v>42</v>
      </c>
      <c r="Y390" s="1" t="s">
        <v>44</v>
      </c>
      <c r="Z390" s="1" t="s">
        <v>43</v>
      </c>
    </row>
    <row r="391" spans="6:26">
      <c r="F391">
        <v>41</v>
      </c>
      <c r="G391" s="1" t="s">
        <v>55</v>
      </c>
      <c r="I391">
        <v>41</v>
      </c>
      <c r="J391" s="1" t="s">
        <v>55</v>
      </c>
      <c r="K391" s="1" t="s">
        <v>54</v>
      </c>
      <c r="X391">
        <v>41</v>
      </c>
      <c r="Y391" s="1" t="s">
        <v>55</v>
      </c>
      <c r="Z391" s="1" t="s">
        <v>56</v>
      </c>
    </row>
    <row r="392" spans="6:26">
      <c r="F392" s="1" t="s">
        <v>42</v>
      </c>
      <c r="G392" s="1" t="s">
        <v>44</v>
      </c>
      <c r="I392" s="1" t="s">
        <v>42</v>
      </c>
      <c r="J392" s="1" t="s">
        <v>44</v>
      </c>
      <c r="K392" s="1" t="s">
        <v>43</v>
      </c>
      <c r="X392" s="1" t="s">
        <v>42</v>
      </c>
      <c r="Y392" s="1" t="s">
        <v>44</v>
      </c>
      <c r="Z392" s="1" t="s">
        <v>43</v>
      </c>
    </row>
    <row r="393" spans="6:26">
      <c r="F393">
        <v>42</v>
      </c>
      <c r="G393" s="1" t="s">
        <v>55</v>
      </c>
      <c r="I393">
        <v>42</v>
      </c>
      <c r="J393" s="1" t="s">
        <v>55</v>
      </c>
      <c r="K393" s="1" t="s">
        <v>54</v>
      </c>
      <c r="X393">
        <v>42</v>
      </c>
      <c r="Y393" s="1" t="s">
        <v>55</v>
      </c>
      <c r="Z393" s="1" t="s">
        <v>56</v>
      </c>
    </row>
    <row r="394" spans="6:26">
      <c r="F394" s="1" t="s">
        <v>42</v>
      </c>
      <c r="G394" s="1" t="s">
        <v>44</v>
      </c>
      <c r="I394" s="1" t="s">
        <v>42</v>
      </c>
      <c r="J394" s="1" t="s">
        <v>44</v>
      </c>
      <c r="K394" s="1" t="s">
        <v>43</v>
      </c>
      <c r="X394" s="1" t="s">
        <v>42</v>
      </c>
      <c r="Y394" s="1" t="s">
        <v>44</v>
      </c>
      <c r="Z394" s="1" t="s">
        <v>43</v>
      </c>
    </row>
    <row r="395" spans="6:26">
      <c r="F395">
        <v>43</v>
      </c>
      <c r="G395" s="1" t="s">
        <v>55</v>
      </c>
      <c r="I395">
        <v>43</v>
      </c>
      <c r="J395" s="1" t="s">
        <v>55</v>
      </c>
      <c r="K395" s="1" t="s">
        <v>54</v>
      </c>
      <c r="X395">
        <v>43</v>
      </c>
      <c r="Y395" s="1" t="s">
        <v>55</v>
      </c>
      <c r="Z395" s="1" t="s">
        <v>56</v>
      </c>
    </row>
    <row r="396" spans="6:26">
      <c r="F396" s="1" t="s">
        <v>42</v>
      </c>
      <c r="G396" s="1" t="s">
        <v>44</v>
      </c>
      <c r="I396" s="1" t="s">
        <v>42</v>
      </c>
      <c r="J396" s="1" t="s">
        <v>44</v>
      </c>
      <c r="K396" s="1" t="s">
        <v>43</v>
      </c>
      <c r="X396" s="1" t="s">
        <v>42</v>
      </c>
      <c r="Y396" s="1" t="s">
        <v>44</v>
      </c>
      <c r="Z396" s="1" t="s">
        <v>43</v>
      </c>
    </row>
    <row r="397" spans="6:26">
      <c r="F397">
        <v>44</v>
      </c>
      <c r="G397" s="1" t="s">
        <v>55</v>
      </c>
      <c r="I397">
        <v>44</v>
      </c>
      <c r="J397" s="1" t="s">
        <v>55</v>
      </c>
      <c r="K397" s="1" t="s">
        <v>54</v>
      </c>
      <c r="X397">
        <v>44</v>
      </c>
      <c r="Y397" s="1" t="s">
        <v>55</v>
      </c>
      <c r="Z397" s="1" t="s">
        <v>56</v>
      </c>
    </row>
    <row r="398" spans="6:26">
      <c r="F398" s="1" t="s">
        <v>42</v>
      </c>
      <c r="G398" s="1" t="s">
        <v>44</v>
      </c>
      <c r="I398" s="1" t="s">
        <v>42</v>
      </c>
      <c r="J398" s="1" t="s">
        <v>44</v>
      </c>
      <c r="K398" s="1" t="s">
        <v>43</v>
      </c>
      <c r="X398" s="1" t="s">
        <v>42</v>
      </c>
      <c r="Y398" s="1" t="s">
        <v>44</v>
      </c>
      <c r="Z398" s="1" t="s">
        <v>43</v>
      </c>
    </row>
    <row r="399" spans="6:26">
      <c r="F399">
        <v>45</v>
      </c>
      <c r="G399" s="1" t="s">
        <v>55</v>
      </c>
      <c r="I399">
        <v>45</v>
      </c>
      <c r="J399" s="1" t="s">
        <v>55</v>
      </c>
      <c r="K399" s="1" t="s">
        <v>54</v>
      </c>
      <c r="X399">
        <v>45</v>
      </c>
      <c r="Y399" s="1" t="s">
        <v>55</v>
      </c>
      <c r="Z399" s="1" t="s">
        <v>56</v>
      </c>
    </row>
    <row r="400" spans="6:26">
      <c r="F400" s="1" t="s">
        <v>42</v>
      </c>
      <c r="G400" s="1" t="s">
        <v>44</v>
      </c>
      <c r="I400" s="1" t="s">
        <v>42</v>
      </c>
      <c r="J400" s="1" t="s">
        <v>44</v>
      </c>
      <c r="K400" s="1" t="s">
        <v>43</v>
      </c>
      <c r="X400" s="1" t="s">
        <v>42</v>
      </c>
      <c r="Y400" s="1" t="s">
        <v>44</v>
      </c>
      <c r="Z400" s="1" t="s">
        <v>43</v>
      </c>
    </row>
    <row r="401" spans="6:26">
      <c r="F401">
        <v>46</v>
      </c>
      <c r="G401" s="1" t="s">
        <v>55</v>
      </c>
      <c r="I401">
        <v>46</v>
      </c>
      <c r="J401" s="1" t="s">
        <v>55</v>
      </c>
      <c r="K401" s="1" t="s">
        <v>54</v>
      </c>
      <c r="X401">
        <v>46</v>
      </c>
      <c r="Y401" s="1" t="s">
        <v>55</v>
      </c>
      <c r="Z401" s="1" t="s">
        <v>56</v>
      </c>
    </row>
    <row r="402" spans="6:26">
      <c r="F402" s="1" t="s">
        <v>42</v>
      </c>
      <c r="G402" s="1" t="s">
        <v>44</v>
      </c>
      <c r="I402" s="1" t="s">
        <v>42</v>
      </c>
      <c r="J402" s="1" t="s">
        <v>44</v>
      </c>
      <c r="K402" s="1" t="s">
        <v>43</v>
      </c>
      <c r="X402" s="1" t="s">
        <v>42</v>
      </c>
      <c r="Y402" s="1" t="s">
        <v>44</v>
      </c>
      <c r="Z402" s="1" t="s">
        <v>43</v>
      </c>
    </row>
    <row r="403" spans="6:26">
      <c r="F403">
        <v>47</v>
      </c>
      <c r="G403" s="1" t="s">
        <v>55</v>
      </c>
      <c r="I403">
        <v>47</v>
      </c>
      <c r="J403" s="1" t="s">
        <v>55</v>
      </c>
      <c r="K403" s="1" t="s">
        <v>54</v>
      </c>
      <c r="X403">
        <v>47</v>
      </c>
      <c r="Y403" s="1" t="s">
        <v>55</v>
      </c>
      <c r="Z403" s="1" t="s">
        <v>56</v>
      </c>
    </row>
    <row r="404" spans="6:26">
      <c r="F404" s="1" t="s">
        <v>42</v>
      </c>
      <c r="G404" s="1" t="s">
        <v>44</v>
      </c>
      <c r="I404" s="1" t="s">
        <v>42</v>
      </c>
      <c r="J404" s="1" t="s">
        <v>44</v>
      </c>
      <c r="K404" s="1" t="s">
        <v>43</v>
      </c>
      <c r="X404" s="1" t="s">
        <v>42</v>
      </c>
      <c r="Y404" s="1" t="s">
        <v>44</v>
      </c>
      <c r="Z404" s="1" t="s">
        <v>43</v>
      </c>
    </row>
    <row r="405" spans="6:26">
      <c r="F405">
        <v>48</v>
      </c>
      <c r="G405" s="1" t="s">
        <v>55</v>
      </c>
      <c r="I405">
        <v>48</v>
      </c>
      <c r="J405" s="1" t="s">
        <v>55</v>
      </c>
      <c r="K405" s="1" t="s">
        <v>54</v>
      </c>
      <c r="X405">
        <v>48</v>
      </c>
      <c r="Y405" s="1" t="s">
        <v>55</v>
      </c>
      <c r="Z405" s="1" t="s">
        <v>56</v>
      </c>
    </row>
    <row r="406" spans="6:26">
      <c r="F406" s="1" t="s">
        <v>42</v>
      </c>
      <c r="G406" s="1" t="s">
        <v>44</v>
      </c>
      <c r="I406" s="1" t="s">
        <v>42</v>
      </c>
      <c r="J406" s="1" t="s">
        <v>44</v>
      </c>
      <c r="K406" s="1" t="s">
        <v>43</v>
      </c>
      <c r="X406" s="1" t="s">
        <v>42</v>
      </c>
      <c r="Y406" s="1" t="s">
        <v>44</v>
      </c>
      <c r="Z406" s="1" t="s">
        <v>43</v>
      </c>
    </row>
    <row r="407" spans="6:26">
      <c r="F407">
        <v>49</v>
      </c>
      <c r="G407" s="1" t="s">
        <v>55</v>
      </c>
      <c r="I407">
        <v>49</v>
      </c>
      <c r="J407" s="1" t="s">
        <v>55</v>
      </c>
      <c r="K407" s="1" t="s">
        <v>54</v>
      </c>
      <c r="X407">
        <v>49</v>
      </c>
      <c r="Y407" s="1" t="s">
        <v>55</v>
      </c>
      <c r="Z407" s="1" t="s">
        <v>56</v>
      </c>
    </row>
    <row r="408" spans="6:26">
      <c r="F408" s="1" t="s">
        <v>42</v>
      </c>
      <c r="G408" s="1" t="s">
        <v>44</v>
      </c>
      <c r="I408" s="1" t="s">
        <v>42</v>
      </c>
      <c r="J408" s="1" t="s">
        <v>44</v>
      </c>
      <c r="K408" s="1" t="s">
        <v>43</v>
      </c>
      <c r="X408" s="1" t="s">
        <v>42</v>
      </c>
      <c r="Y408" s="1" t="s">
        <v>44</v>
      </c>
      <c r="Z408" s="1" t="s">
        <v>43</v>
      </c>
    </row>
    <row r="409" spans="6:26">
      <c r="F409">
        <v>50</v>
      </c>
      <c r="G409" s="1" t="s">
        <v>55</v>
      </c>
      <c r="I409">
        <v>50</v>
      </c>
      <c r="J409" s="1" t="s">
        <v>55</v>
      </c>
      <c r="K409" s="1" t="s">
        <v>54</v>
      </c>
      <c r="X409">
        <v>50</v>
      </c>
      <c r="Y409" s="1" t="s">
        <v>55</v>
      </c>
      <c r="Z409" s="1" t="s">
        <v>56</v>
      </c>
    </row>
    <row r="410" spans="6:26">
      <c r="F410" s="1" t="s">
        <v>42</v>
      </c>
      <c r="G410" s="1" t="s">
        <v>44</v>
      </c>
      <c r="I410" s="1" t="s">
        <v>42</v>
      </c>
      <c r="J410" s="1" t="s">
        <v>44</v>
      </c>
      <c r="K410" s="1" t="s">
        <v>43</v>
      </c>
      <c r="X410" s="1" t="s">
        <v>42</v>
      </c>
      <c r="Y410" s="1" t="s">
        <v>44</v>
      </c>
      <c r="Z410" s="1" t="s">
        <v>43</v>
      </c>
    </row>
    <row r="411" spans="6:26">
      <c r="F411">
        <v>51</v>
      </c>
      <c r="G411" s="1" t="s">
        <v>55</v>
      </c>
      <c r="I411">
        <v>51</v>
      </c>
      <c r="J411" s="1" t="s">
        <v>55</v>
      </c>
      <c r="K411" s="1" t="s">
        <v>54</v>
      </c>
      <c r="X411">
        <v>51</v>
      </c>
      <c r="Y411" s="1" t="s">
        <v>55</v>
      </c>
      <c r="Z411" s="1" t="s">
        <v>56</v>
      </c>
    </row>
    <row r="412" spans="6:26">
      <c r="F412" s="1" t="s">
        <v>42</v>
      </c>
      <c r="G412" s="1" t="s">
        <v>44</v>
      </c>
      <c r="I412" s="1" t="s">
        <v>42</v>
      </c>
      <c r="J412" s="1" t="s">
        <v>44</v>
      </c>
      <c r="K412" s="1" t="s">
        <v>43</v>
      </c>
      <c r="X412" s="1" t="s">
        <v>42</v>
      </c>
      <c r="Y412" s="1" t="s">
        <v>44</v>
      </c>
      <c r="Z412" s="1" t="s">
        <v>43</v>
      </c>
    </row>
    <row r="413" spans="6:26">
      <c r="F413">
        <v>52</v>
      </c>
      <c r="G413" s="1" t="s">
        <v>55</v>
      </c>
      <c r="I413">
        <v>52</v>
      </c>
      <c r="J413" s="1" t="s">
        <v>55</v>
      </c>
      <c r="K413" s="1" t="s">
        <v>54</v>
      </c>
      <c r="X413">
        <v>52</v>
      </c>
      <c r="Y413" s="1" t="s">
        <v>55</v>
      </c>
      <c r="Z413" s="1" t="s">
        <v>56</v>
      </c>
    </row>
    <row r="414" spans="6:26">
      <c r="F414" s="1" t="s">
        <v>42</v>
      </c>
      <c r="G414" s="1" t="s">
        <v>44</v>
      </c>
      <c r="I414" s="1" t="s">
        <v>42</v>
      </c>
      <c r="J414" s="1" t="s">
        <v>44</v>
      </c>
      <c r="K414" s="1" t="s">
        <v>43</v>
      </c>
      <c r="X414" s="1" t="s">
        <v>42</v>
      </c>
      <c r="Y414" s="1" t="s">
        <v>44</v>
      </c>
      <c r="Z414" s="1" t="s">
        <v>43</v>
      </c>
    </row>
    <row r="415" spans="6:26">
      <c r="F415">
        <v>53</v>
      </c>
      <c r="G415" s="1" t="s">
        <v>55</v>
      </c>
      <c r="I415">
        <v>53</v>
      </c>
      <c r="J415" s="1" t="s">
        <v>55</v>
      </c>
      <c r="K415" s="1" t="s">
        <v>54</v>
      </c>
      <c r="X415">
        <v>53</v>
      </c>
      <c r="Y415" s="1" t="s">
        <v>55</v>
      </c>
      <c r="Z415" s="1" t="s">
        <v>56</v>
      </c>
    </row>
    <row r="416" spans="6:26">
      <c r="F416" s="1" t="s">
        <v>42</v>
      </c>
      <c r="G416" s="1" t="s">
        <v>44</v>
      </c>
      <c r="I416" s="1" t="s">
        <v>42</v>
      </c>
      <c r="J416" s="1" t="s">
        <v>44</v>
      </c>
      <c r="K416" s="1" t="s">
        <v>43</v>
      </c>
      <c r="X416" s="1" t="s">
        <v>42</v>
      </c>
      <c r="Y416" s="1" t="s">
        <v>44</v>
      </c>
      <c r="Z416" s="1" t="s">
        <v>43</v>
      </c>
    </row>
    <row r="417" spans="6:26">
      <c r="F417">
        <v>54</v>
      </c>
      <c r="G417" s="1" t="s">
        <v>55</v>
      </c>
      <c r="I417">
        <v>54</v>
      </c>
      <c r="J417" s="1" t="s">
        <v>55</v>
      </c>
      <c r="K417" s="1" t="s">
        <v>54</v>
      </c>
      <c r="X417">
        <v>54</v>
      </c>
      <c r="Y417" s="1" t="s">
        <v>55</v>
      </c>
      <c r="Z417" s="1" t="s">
        <v>56</v>
      </c>
    </row>
    <row r="418" spans="6:26">
      <c r="F418" s="1" t="s">
        <v>42</v>
      </c>
      <c r="G418" s="1" t="s">
        <v>44</v>
      </c>
      <c r="I418" s="1" t="s">
        <v>42</v>
      </c>
      <c r="J418" s="1" t="s">
        <v>44</v>
      </c>
      <c r="K418" s="1" t="s">
        <v>43</v>
      </c>
      <c r="X418" s="1" t="s">
        <v>42</v>
      </c>
      <c r="Y418" s="1" t="s">
        <v>44</v>
      </c>
      <c r="Z418" s="1" t="s">
        <v>43</v>
      </c>
    </row>
    <row r="419" spans="6:26">
      <c r="F419">
        <v>55</v>
      </c>
      <c r="G419" s="1" t="s">
        <v>55</v>
      </c>
      <c r="I419">
        <v>55</v>
      </c>
      <c r="J419" s="1" t="s">
        <v>55</v>
      </c>
      <c r="K419" s="1" t="s">
        <v>54</v>
      </c>
      <c r="X419">
        <v>55</v>
      </c>
      <c r="Y419" s="1" t="s">
        <v>55</v>
      </c>
      <c r="Z419" s="1" t="s">
        <v>56</v>
      </c>
    </row>
    <row r="420" spans="6:26">
      <c r="F420" s="1" t="s">
        <v>42</v>
      </c>
      <c r="G420" s="1" t="s">
        <v>44</v>
      </c>
      <c r="I420" s="1" t="s">
        <v>42</v>
      </c>
      <c r="J420" s="1" t="s">
        <v>44</v>
      </c>
      <c r="K420" s="1" t="s">
        <v>43</v>
      </c>
      <c r="X420" s="1" t="s">
        <v>42</v>
      </c>
      <c r="Y420" s="1" t="s">
        <v>44</v>
      </c>
      <c r="Z420" s="1" t="s">
        <v>43</v>
      </c>
    </row>
    <row r="421" spans="6:26">
      <c r="F421">
        <v>56</v>
      </c>
      <c r="G421" s="1" t="s">
        <v>55</v>
      </c>
      <c r="I421">
        <v>56</v>
      </c>
      <c r="J421" s="1" t="s">
        <v>55</v>
      </c>
      <c r="K421" s="1" t="s">
        <v>54</v>
      </c>
      <c r="X421">
        <v>56</v>
      </c>
      <c r="Y421" s="1" t="s">
        <v>55</v>
      </c>
      <c r="Z421" s="1" t="s">
        <v>56</v>
      </c>
    </row>
    <row r="422" spans="6:26">
      <c r="F422" s="1" t="s">
        <v>42</v>
      </c>
      <c r="G422" s="1" t="s">
        <v>44</v>
      </c>
      <c r="I422" s="1" t="s">
        <v>42</v>
      </c>
      <c r="J422" s="1" t="s">
        <v>44</v>
      </c>
      <c r="K422" s="1" t="s">
        <v>43</v>
      </c>
      <c r="X422" s="1" t="s">
        <v>42</v>
      </c>
      <c r="Y422" s="1" t="s">
        <v>44</v>
      </c>
      <c r="Z422" s="1" t="s">
        <v>43</v>
      </c>
    </row>
    <row r="423" spans="6:26">
      <c r="F423">
        <v>57</v>
      </c>
      <c r="G423" s="1" t="s">
        <v>55</v>
      </c>
      <c r="I423">
        <v>57</v>
      </c>
      <c r="J423" s="1" t="s">
        <v>55</v>
      </c>
      <c r="K423" s="1" t="s">
        <v>54</v>
      </c>
      <c r="X423">
        <v>57</v>
      </c>
      <c r="Y423" s="1" t="s">
        <v>55</v>
      </c>
      <c r="Z423" s="1" t="s">
        <v>56</v>
      </c>
    </row>
    <row r="424" spans="6:26">
      <c r="F424" s="1" t="s">
        <v>42</v>
      </c>
      <c r="G424" s="1" t="s">
        <v>44</v>
      </c>
      <c r="I424" s="1" t="s">
        <v>42</v>
      </c>
      <c r="J424" s="1" t="s">
        <v>44</v>
      </c>
      <c r="K424" s="1" t="s">
        <v>43</v>
      </c>
      <c r="X424" s="1" t="s">
        <v>42</v>
      </c>
      <c r="Y424" s="1" t="s">
        <v>44</v>
      </c>
      <c r="Z424" s="1" t="s">
        <v>43</v>
      </c>
    </row>
    <row r="425" spans="6:26">
      <c r="F425">
        <v>58</v>
      </c>
      <c r="G425" s="1" t="s">
        <v>55</v>
      </c>
      <c r="I425">
        <v>58</v>
      </c>
      <c r="J425" s="1" t="s">
        <v>55</v>
      </c>
      <c r="K425" s="1" t="s">
        <v>54</v>
      </c>
      <c r="X425">
        <v>58</v>
      </c>
      <c r="Y425" s="1" t="s">
        <v>55</v>
      </c>
      <c r="Z425" s="1" t="s">
        <v>56</v>
      </c>
    </row>
    <row r="426" spans="6:26">
      <c r="F426" s="1" t="s">
        <v>42</v>
      </c>
      <c r="G426" s="1" t="s">
        <v>44</v>
      </c>
      <c r="I426" s="1" t="s">
        <v>42</v>
      </c>
      <c r="J426" s="1" t="s">
        <v>44</v>
      </c>
      <c r="K426" s="1" t="s">
        <v>43</v>
      </c>
      <c r="X426" s="1" t="s">
        <v>42</v>
      </c>
      <c r="Y426" s="1" t="s">
        <v>44</v>
      </c>
      <c r="Z426" s="1" t="s">
        <v>43</v>
      </c>
    </row>
    <row r="427" spans="6:26">
      <c r="F427">
        <v>59</v>
      </c>
      <c r="G427" s="1" t="s">
        <v>55</v>
      </c>
      <c r="I427">
        <v>59</v>
      </c>
      <c r="J427" s="1" t="s">
        <v>55</v>
      </c>
      <c r="K427" s="1" t="s">
        <v>54</v>
      </c>
      <c r="X427">
        <v>59</v>
      </c>
      <c r="Y427" s="1" t="s">
        <v>55</v>
      </c>
      <c r="Z427" s="1" t="s">
        <v>56</v>
      </c>
    </row>
    <row r="428" spans="6:26">
      <c r="F428" s="1" t="s">
        <v>42</v>
      </c>
      <c r="G428" s="1" t="s">
        <v>44</v>
      </c>
      <c r="I428" s="1" t="s">
        <v>42</v>
      </c>
      <c r="J428" s="1" t="s">
        <v>44</v>
      </c>
      <c r="K428" s="1" t="s">
        <v>43</v>
      </c>
      <c r="X428" s="1" t="s">
        <v>42</v>
      </c>
      <c r="Y428" s="1" t="s">
        <v>44</v>
      </c>
      <c r="Z428" s="1" t="s">
        <v>43</v>
      </c>
    </row>
    <row r="429" spans="6:26">
      <c r="F429">
        <v>60</v>
      </c>
      <c r="G429" s="1" t="s">
        <v>55</v>
      </c>
      <c r="I429">
        <v>60</v>
      </c>
      <c r="J429" s="1" t="s">
        <v>55</v>
      </c>
      <c r="K429" s="1" t="s">
        <v>54</v>
      </c>
      <c r="X429">
        <v>60</v>
      </c>
      <c r="Y429" s="1" t="s">
        <v>55</v>
      </c>
      <c r="Z429" s="1" t="s">
        <v>56</v>
      </c>
    </row>
    <row r="430" spans="6:26">
      <c r="F430" s="1" t="s">
        <v>42</v>
      </c>
      <c r="G430" s="1" t="s">
        <v>44</v>
      </c>
      <c r="I430" s="1" t="s">
        <v>42</v>
      </c>
      <c r="J430" s="1" t="s">
        <v>44</v>
      </c>
      <c r="K430" s="1" t="s">
        <v>43</v>
      </c>
      <c r="X430" s="1" t="s">
        <v>42</v>
      </c>
      <c r="Y430" s="1" t="s">
        <v>44</v>
      </c>
      <c r="Z430" s="1" t="s">
        <v>43</v>
      </c>
    </row>
    <row r="431" spans="6:26">
      <c r="F431">
        <v>61</v>
      </c>
      <c r="G431" s="1" t="s">
        <v>55</v>
      </c>
      <c r="I431">
        <v>61</v>
      </c>
      <c r="J431" s="1" t="s">
        <v>55</v>
      </c>
      <c r="K431" s="1" t="s">
        <v>54</v>
      </c>
      <c r="X431">
        <v>61</v>
      </c>
      <c r="Y431" s="1" t="s">
        <v>55</v>
      </c>
      <c r="Z431" s="1" t="s">
        <v>56</v>
      </c>
    </row>
    <row r="432" spans="6:26">
      <c r="F432" s="1" t="s">
        <v>42</v>
      </c>
      <c r="G432" s="1" t="s">
        <v>44</v>
      </c>
      <c r="I432" s="1" t="s">
        <v>42</v>
      </c>
      <c r="J432" s="1" t="s">
        <v>44</v>
      </c>
      <c r="K432" s="1" t="s">
        <v>43</v>
      </c>
      <c r="X432" s="1" t="s">
        <v>42</v>
      </c>
      <c r="Y432" s="1" t="s">
        <v>44</v>
      </c>
      <c r="Z432" s="1" t="s">
        <v>43</v>
      </c>
    </row>
    <row r="433" spans="6:26">
      <c r="F433">
        <v>62</v>
      </c>
      <c r="G433" s="1" t="s">
        <v>55</v>
      </c>
      <c r="I433">
        <v>62</v>
      </c>
      <c r="J433" s="1" t="s">
        <v>55</v>
      </c>
      <c r="K433" s="1" t="s">
        <v>54</v>
      </c>
      <c r="X433">
        <v>62</v>
      </c>
      <c r="Y433" s="1" t="s">
        <v>55</v>
      </c>
      <c r="Z433" s="1" t="s">
        <v>56</v>
      </c>
    </row>
    <row r="434" spans="6:26">
      <c r="F434" s="1" t="s">
        <v>42</v>
      </c>
      <c r="G434" s="1" t="s">
        <v>44</v>
      </c>
      <c r="I434" s="1" t="s">
        <v>42</v>
      </c>
      <c r="J434" s="1" t="s">
        <v>44</v>
      </c>
      <c r="K434" s="1" t="s">
        <v>43</v>
      </c>
      <c r="X434" s="1" t="s">
        <v>42</v>
      </c>
      <c r="Y434" s="1" t="s">
        <v>44</v>
      </c>
      <c r="Z434" s="1" t="s">
        <v>43</v>
      </c>
    </row>
    <row r="435" spans="6:26">
      <c r="F435">
        <v>63</v>
      </c>
      <c r="G435" s="1" t="s">
        <v>55</v>
      </c>
      <c r="I435">
        <v>63</v>
      </c>
      <c r="J435" s="1" t="s">
        <v>55</v>
      </c>
      <c r="K435" s="1" t="s">
        <v>54</v>
      </c>
      <c r="X435">
        <v>63</v>
      </c>
      <c r="Y435" s="1" t="s">
        <v>55</v>
      </c>
      <c r="Z435" s="1" t="s">
        <v>56</v>
      </c>
    </row>
    <row r="436" spans="6:26">
      <c r="F436" s="1" t="s">
        <v>42</v>
      </c>
      <c r="G436" s="1" t="s">
        <v>44</v>
      </c>
      <c r="I436" s="1" t="s">
        <v>42</v>
      </c>
      <c r="J436" s="1" t="s">
        <v>44</v>
      </c>
      <c r="K436" s="1" t="s">
        <v>43</v>
      </c>
      <c r="X436" s="1" t="s">
        <v>42</v>
      </c>
      <c r="Y436" s="1" t="s">
        <v>44</v>
      </c>
      <c r="Z436" s="1" t="s">
        <v>43</v>
      </c>
    </row>
    <row r="437" spans="6:26">
      <c r="F437">
        <v>64</v>
      </c>
      <c r="G437" s="1" t="s">
        <v>55</v>
      </c>
      <c r="I437">
        <v>64</v>
      </c>
      <c r="J437" s="1" t="s">
        <v>55</v>
      </c>
      <c r="K437" s="1" t="s">
        <v>54</v>
      </c>
      <c r="X437">
        <v>64</v>
      </c>
      <c r="Y437" s="1" t="s">
        <v>55</v>
      </c>
      <c r="Z437" s="1" t="s">
        <v>56</v>
      </c>
    </row>
    <row r="438" spans="6:26">
      <c r="F438" s="1" t="s">
        <v>42</v>
      </c>
      <c r="G438" s="1" t="s">
        <v>44</v>
      </c>
      <c r="I438" s="1" t="s">
        <v>42</v>
      </c>
      <c r="J438" s="1" t="s">
        <v>44</v>
      </c>
      <c r="K438" s="1" t="s">
        <v>43</v>
      </c>
      <c r="X438" s="1" t="s">
        <v>42</v>
      </c>
      <c r="Y438" s="1" t="s">
        <v>44</v>
      </c>
      <c r="Z438" s="1" t="s">
        <v>43</v>
      </c>
    </row>
    <row r="439" spans="6:26">
      <c r="F439">
        <v>65</v>
      </c>
      <c r="G439" s="1" t="s">
        <v>55</v>
      </c>
      <c r="I439">
        <v>65</v>
      </c>
      <c r="J439" s="1" t="s">
        <v>55</v>
      </c>
      <c r="K439" s="1" t="s">
        <v>54</v>
      </c>
      <c r="X439">
        <v>65</v>
      </c>
      <c r="Y439" s="1" t="s">
        <v>55</v>
      </c>
      <c r="Z439" s="1" t="s">
        <v>56</v>
      </c>
    </row>
    <row r="440" spans="6:26">
      <c r="F440" s="1" t="s">
        <v>42</v>
      </c>
      <c r="G440" s="1" t="s">
        <v>44</v>
      </c>
      <c r="I440" s="1" t="s">
        <v>42</v>
      </c>
      <c r="J440" s="1" t="s">
        <v>44</v>
      </c>
      <c r="K440" s="1" t="s">
        <v>43</v>
      </c>
      <c r="X440" s="1" t="s">
        <v>42</v>
      </c>
      <c r="Y440" s="1" t="s">
        <v>44</v>
      </c>
      <c r="Z440" s="1" t="s">
        <v>43</v>
      </c>
    </row>
    <row r="441" spans="6:26">
      <c r="F441">
        <v>66</v>
      </c>
      <c r="G441" s="1" t="s">
        <v>55</v>
      </c>
      <c r="I441">
        <v>66</v>
      </c>
      <c r="J441" s="1" t="s">
        <v>55</v>
      </c>
      <c r="K441" s="1" t="s">
        <v>54</v>
      </c>
      <c r="X441">
        <v>66</v>
      </c>
      <c r="Y441" s="1" t="s">
        <v>55</v>
      </c>
      <c r="Z441" s="1" t="s">
        <v>56</v>
      </c>
    </row>
    <row r="442" spans="6:26">
      <c r="F442" s="1" t="s">
        <v>42</v>
      </c>
      <c r="G442" s="1" t="s">
        <v>44</v>
      </c>
      <c r="I442" s="1" t="s">
        <v>42</v>
      </c>
      <c r="J442" s="1" t="s">
        <v>44</v>
      </c>
      <c r="K442" s="1" t="s">
        <v>43</v>
      </c>
      <c r="X442" s="1" t="s">
        <v>42</v>
      </c>
      <c r="Y442" s="1" t="s">
        <v>44</v>
      </c>
      <c r="Z442" s="1" t="s">
        <v>43</v>
      </c>
    </row>
    <row r="443" spans="6:26">
      <c r="F443">
        <v>67</v>
      </c>
      <c r="G443" s="1" t="s">
        <v>55</v>
      </c>
      <c r="I443">
        <v>67</v>
      </c>
      <c r="J443" s="1" t="s">
        <v>55</v>
      </c>
      <c r="K443" s="1" t="s">
        <v>54</v>
      </c>
      <c r="X443">
        <v>67</v>
      </c>
      <c r="Y443" s="1" t="s">
        <v>55</v>
      </c>
      <c r="Z443" s="1" t="s">
        <v>56</v>
      </c>
    </row>
    <row r="444" spans="6:26">
      <c r="F444" s="1" t="s">
        <v>42</v>
      </c>
      <c r="G444" s="1" t="s">
        <v>44</v>
      </c>
      <c r="I444" s="1" t="s">
        <v>42</v>
      </c>
      <c r="J444" s="1" t="s">
        <v>44</v>
      </c>
      <c r="K444" s="1" t="s">
        <v>43</v>
      </c>
      <c r="X444" s="1" t="s">
        <v>42</v>
      </c>
      <c r="Y444" s="1" t="s">
        <v>44</v>
      </c>
      <c r="Z444" s="1" t="s">
        <v>43</v>
      </c>
    </row>
    <row r="445" spans="6:26">
      <c r="F445">
        <v>68</v>
      </c>
      <c r="G445" s="1" t="s">
        <v>55</v>
      </c>
      <c r="I445">
        <v>68</v>
      </c>
      <c r="J445" s="1" t="s">
        <v>55</v>
      </c>
      <c r="K445" s="1" t="s">
        <v>54</v>
      </c>
      <c r="X445">
        <v>68</v>
      </c>
      <c r="Y445" s="1" t="s">
        <v>55</v>
      </c>
      <c r="Z445" s="1" t="s">
        <v>56</v>
      </c>
    </row>
    <row r="446" spans="6:26">
      <c r="F446" s="1" t="s">
        <v>42</v>
      </c>
      <c r="G446" s="1" t="s">
        <v>44</v>
      </c>
      <c r="I446" s="1" t="s">
        <v>42</v>
      </c>
      <c r="J446" s="1" t="s">
        <v>44</v>
      </c>
      <c r="K446" s="1" t="s">
        <v>43</v>
      </c>
      <c r="X446" s="1" t="s">
        <v>42</v>
      </c>
      <c r="Y446" s="1" t="s">
        <v>44</v>
      </c>
      <c r="Z446" s="1" t="s">
        <v>43</v>
      </c>
    </row>
    <row r="447" spans="6:26">
      <c r="F447">
        <v>69</v>
      </c>
      <c r="G447" s="1" t="s">
        <v>55</v>
      </c>
      <c r="I447">
        <v>69</v>
      </c>
      <c r="J447" s="1" t="s">
        <v>55</v>
      </c>
      <c r="K447" s="1" t="s">
        <v>54</v>
      </c>
      <c r="X447">
        <v>69</v>
      </c>
      <c r="Y447" s="1" t="s">
        <v>55</v>
      </c>
      <c r="Z447" s="1" t="s">
        <v>56</v>
      </c>
    </row>
    <row r="448" spans="6:26">
      <c r="F448" s="1" t="s">
        <v>42</v>
      </c>
      <c r="G448" s="1" t="s">
        <v>44</v>
      </c>
      <c r="I448" s="1" t="s">
        <v>42</v>
      </c>
      <c r="J448" s="1" t="s">
        <v>44</v>
      </c>
      <c r="K448" s="1" t="s">
        <v>43</v>
      </c>
      <c r="X448" s="1" t="s">
        <v>42</v>
      </c>
      <c r="Y448" s="1" t="s">
        <v>44</v>
      </c>
      <c r="Z448" s="1" t="s">
        <v>43</v>
      </c>
    </row>
    <row r="449" spans="6:26">
      <c r="F449">
        <v>70</v>
      </c>
      <c r="G449" s="1" t="s">
        <v>55</v>
      </c>
      <c r="I449">
        <v>70</v>
      </c>
      <c r="J449" s="1" t="s">
        <v>55</v>
      </c>
      <c r="K449" s="1" t="s">
        <v>54</v>
      </c>
      <c r="X449">
        <v>70</v>
      </c>
      <c r="Y449" s="1" t="s">
        <v>55</v>
      </c>
      <c r="Z449" s="1" t="s">
        <v>56</v>
      </c>
    </row>
    <row r="450" spans="6:26">
      <c r="F450" s="1" t="s">
        <v>42</v>
      </c>
      <c r="G450" s="1" t="s">
        <v>44</v>
      </c>
      <c r="I450" s="1" t="s">
        <v>42</v>
      </c>
      <c r="J450" s="1" t="s">
        <v>44</v>
      </c>
      <c r="K450" s="1" t="s">
        <v>43</v>
      </c>
      <c r="X450" s="1" t="s">
        <v>42</v>
      </c>
      <c r="Y450" s="1" t="s">
        <v>44</v>
      </c>
      <c r="Z450" s="1" t="s">
        <v>43</v>
      </c>
    </row>
    <row r="451" spans="6:26">
      <c r="F451">
        <v>71</v>
      </c>
      <c r="G451" s="1" t="s">
        <v>55</v>
      </c>
      <c r="I451">
        <v>71</v>
      </c>
      <c r="J451" s="1" t="s">
        <v>55</v>
      </c>
      <c r="K451" s="1" t="s">
        <v>54</v>
      </c>
      <c r="X451">
        <v>71</v>
      </c>
      <c r="Y451" s="1" t="s">
        <v>55</v>
      </c>
      <c r="Z451" s="1" t="s">
        <v>56</v>
      </c>
    </row>
    <row r="452" spans="6:26">
      <c r="F452" s="1" t="s">
        <v>42</v>
      </c>
      <c r="G452" s="1" t="s">
        <v>44</v>
      </c>
      <c r="I452" s="1" t="s">
        <v>42</v>
      </c>
      <c r="J452" s="1" t="s">
        <v>44</v>
      </c>
      <c r="K452" s="1" t="s">
        <v>43</v>
      </c>
      <c r="X452" s="1" t="s">
        <v>42</v>
      </c>
      <c r="Y452" s="1" t="s">
        <v>44</v>
      </c>
      <c r="Z452" s="1" t="s">
        <v>43</v>
      </c>
    </row>
    <row r="453" spans="6:26">
      <c r="F453">
        <v>72</v>
      </c>
      <c r="G453" s="1" t="s">
        <v>55</v>
      </c>
      <c r="I453">
        <v>72</v>
      </c>
      <c r="J453" s="1" t="s">
        <v>55</v>
      </c>
      <c r="K453" s="1" t="s">
        <v>54</v>
      </c>
      <c r="X453">
        <v>72</v>
      </c>
      <c r="Y453" s="1" t="s">
        <v>55</v>
      </c>
      <c r="Z453" s="1" t="s">
        <v>56</v>
      </c>
    </row>
    <row r="454" spans="6:26">
      <c r="F454" s="1" t="s">
        <v>42</v>
      </c>
      <c r="G454" s="1" t="s">
        <v>44</v>
      </c>
      <c r="I454" s="1" t="s">
        <v>42</v>
      </c>
      <c r="J454" s="1" t="s">
        <v>44</v>
      </c>
      <c r="K454" s="1" t="s">
        <v>43</v>
      </c>
      <c r="X454" s="1" t="s">
        <v>42</v>
      </c>
      <c r="Y454" s="1" t="s">
        <v>44</v>
      </c>
      <c r="Z454" s="1" t="s">
        <v>43</v>
      </c>
    </row>
    <row r="455" spans="6:26">
      <c r="F455">
        <v>73</v>
      </c>
      <c r="G455" s="1" t="s">
        <v>55</v>
      </c>
      <c r="I455">
        <v>73</v>
      </c>
      <c r="J455" s="1" t="s">
        <v>55</v>
      </c>
      <c r="K455" s="1" t="s">
        <v>54</v>
      </c>
      <c r="X455">
        <v>73</v>
      </c>
      <c r="Y455" s="1" t="s">
        <v>55</v>
      </c>
      <c r="Z455" s="1" t="s">
        <v>56</v>
      </c>
    </row>
    <row r="456" spans="6:26">
      <c r="F456" s="1" t="s">
        <v>42</v>
      </c>
      <c r="G456" s="1" t="s">
        <v>44</v>
      </c>
      <c r="I456" s="1" t="s">
        <v>42</v>
      </c>
      <c r="J456" s="1" t="s">
        <v>44</v>
      </c>
      <c r="K456" s="1" t="s">
        <v>43</v>
      </c>
      <c r="X456" s="1" t="s">
        <v>42</v>
      </c>
      <c r="Y456" s="1" t="s">
        <v>44</v>
      </c>
      <c r="Z456" s="1" t="s">
        <v>43</v>
      </c>
    </row>
    <row r="457" spans="6:26">
      <c r="F457">
        <v>74</v>
      </c>
      <c r="G457" s="1" t="s">
        <v>55</v>
      </c>
      <c r="I457">
        <v>74</v>
      </c>
      <c r="J457" s="1" t="s">
        <v>55</v>
      </c>
      <c r="K457" s="1" t="s">
        <v>54</v>
      </c>
      <c r="X457">
        <v>74</v>
      </c>
      <c r="Y457" s="1" t="s">
        <v>55</v>
      </c>
      <c r="Z457" s="1" t="s">
        <v>56</v>
      </c>
    </row>
    <row r="458" spans="6:26">
      <c r="F458" s="1" t="s">
        <v>42</v>
      </c>
      <c r="G458" s="1" t="s">
        <v>44</v>
      </c>
      <c r="I458" s="1" t="s">
        <v>42</v>
      </c>
      <c r="J458" s="1" t="s">
        <v>44</v>
      </c>
      <c r="K458" s="1" t="s">
        <v>43</v>
      </c>
      <c r="X458" s="1" t="s">
        <v>42</v>
      </c>
      <c r="Y458" s="1" t="s">
        <v>44</v>
      </c>
      <c r="Z458" s="1" t="s">
        <v>43</v>
      </c>
    </row>
    <row r="459" spans="6:26">
      <c r="F459">
        <v>75</v>
      </c>
      <c r="G459" s="1" t="s">
        <v>55</v>
      </c>
      <c r="I459">
        <v>75</v>
      </c>
      <c r="J459" s="1" t="s">
        <v>55</v>
      </c>
      <c r="K459" s="1" t="s">
        <v>54</v>
      </c>
      <c r="X459">
        <v>75</v>
      </c>
      <c r="Y459" s="1" t="s">
        <v>55</v>
      </c>
      <c r="Z459" s="1" t="s">
        <v>56</v>
      </c>
    </row>
    <row r="460" spans="6:26">
      <c r="F460" s="1" t="s">
        <v>42</v>
      </c>
      <c r="G460" s="1" t="s">
        <v>44</v>
      </c>
      <c r="I460" s="1" t="s">
        <v>42</v>
      </c>
      <c r="J460" s="1" t="s">
        <v>44</v>
      </c>
      <c r="K460" s="1" t="s">
        <v>43</v>
      </c>
      <c r="X460" s="1" t="s">
        <v>42</v>
      </c>
      <c r="Y460" s="1" t="s">
        <v>44</v>
      </c>
      <c r="Z460" s="1" t="s">
        <v>43</v>
      </c>
    </row>
    <row r="461" spans="6:26">
      <c r="F461">
        <v>76</v>
      </c>
      <c r="G461" s="1" t="s">
        <v>55</v>
      </c>
      <c r="I461">
        <v>76</v>
      </c>
      <c r="J461" s="1" t="s">
        <v>55</v>
      </c>
      <c r="K461" s="1" t="s">
        <v>54</v>
      </c>
      <c r="X461">
        <v>76</v>
      </c>
      <c r="Y461" s="1" t="s">
        <v>55</v>
      </c>
      <c r="Z461" s="1" t="s">
        <v>56</v>
      </c>
    </row>
    <row r="462" spans="6:26">
      <c r="F462" s="1" t="s">
        <v>42</v>
      </c>
      <c r="G462" s="1" t="s">
        <v>44</v>
      </c>
      <c r="I462" s="1" t="s">
        <v>42</v>
      </c>
      <c r="J462" s="1" t="s">
        <v>44</v>
      </c>
      <c r="K462" s="1" t="s">
        <v>43</v>
      </c>
      <c r="X462" s="1" t="s">
        <v>42</v>
      </c>
      <c r="Y462" s="1" t="s">
        <v>44</v>
      </c>
      <c r="Z462" s="1" t="s">
        <v>43</v>
      </c>
    </row>
    <row r="463" spans="6:26">
      <c r="F463">
        <v>77</v>
      </c>
      <c r="G463" s="1" t="s">
        <v>55</v>
      </c>
      <c r="I463">
        <v>77</v>
      </c>
      <c r="J463" s="1" t="s">
        <v>55</v>
      </c>
      <c r="K463" s="1" t="s">
        <v>54</v>
      </c>
      <c r="X463">
        <v>77</v>
      </c>
      <c r="Y463" s="1" t="s">
        <v>55</v>
      </c>
      <c r="Z463" s="1" t="s">
        <v>56</v>
      </c>
    </row>
    <row r="464" spans="6:26">
      <c r="F464" s="1" t="s">
        <v>42</v>
      </c>
      <c r="G464" s="1" t="s">
        <v>44</v>
      </c>
      <c r="I464" s="1" t="s">
        <v>42</v>
      </c>
      <c r="J464" s="1" t="s">
        <v>44</v>
      </c>
      <c r="K464" s="1" t="s">
        <v>43</v>
      </c>
      <c r="X464" s="1" t="s">
        <v>42</v>
      </c>
      <c r="Y464" s="1" t="s">
        <v>44</v>
      </c>
      <c r="Z464" s="1" t="s">
        <v>43</v>
      </c>
    </row>
    <row r="465" spans="6:26">
      <c r="F465">
        <v>78</v>
      </c>
      <c r="G465" s="1" t="s">
        <v>55</v>
      </c>
      <c r="I465">
        <v>78</v>
      </c>
      <c r="J465" s="1" t="s">
        <v>55</v>
      </c>
      <c r="K465" s="1" t="s">
        <v>54</v>
      </c>
      <c r="X465">
        <v>78</v>
      </c>
      <c r="Y465" s="1" t="s">
        <v>55</v>
      </c>
      <c r="Z465" s="1" t="s">
        <v>56</v>
      </c>
    </row>
    <row r="466" spans="6:26">
      <c r="F466" s="1" t="s">
        <v>42</v>
      </c>
      <c r="G466" s="1" t="s">
        <v>44</v>
      </c>
      <c r="I466" s="1" t="s">
        <v>42</v>
      </c>
      <c r="J466" s="1" t="s">
        <v>44</v>
      </c>
      <c r="K466" s="1" t="s">
        <v>43</v>
      </c>
      <c r="X466" s="1" t="s">
        <v>42</v>
      </c>
      <c r="Y466" s="1" t="s">
        <v>44</v>
      </c>
      <c r="Z466" s="1" t="s">
        <v>43</v>
      </c>
    </row>
    <row r="467" spans="6:26">
      <c r="F467">
        <v>79</v>
      </c>
      <c r="G467" s="1" t="s">
        <v>55</v>
      </c>
      <c r="I467">
        <v>79</v>
      </c>
      <c r="J467" s="1" t="s">
        <v>55</v>
      </c>
      <c r="K467" s="1" t="s">
        <v>54</v>
      </c>
      <c r="X467">
        <v>79</v>
      </c>
      <c r="Y467" s="1" t="s">
        <v>55</v>
      </c>
      <c r="Z467" s="1" t="s">
        <v>56</v>
      </c>
    </row>
    <row r="468" spans="6:26">
      <c r="F468" s="1" t="s">
        <v>42</v>
      </c>
      <c r="G468" s="1" t="s">
        <v>44</v>
      </c>
      <c r="I468" s="1" t="s">
        <v>42</v>
      </c>
      <c r="J468" s="1" t="s">
        <v>44</v>
      </c>
      <c r="K468" s="1" t="s">
        <v>43</v>
      </c>
      <c r="X468" s="1" t="s">
        <v>42</v>
      </c>
      <c r="Y468" s="1" t="s">
        <v>44</v>
      </c>
      <c r="Z468" s="1" t="s">
        <v>43</v>
      </c>
    </row>
    <row r="469" spans="6:26">
      <c r="F469">
        <v>80</v>
      </c>
      <c r="G469" s="1" t="s">
        <v>55</v>
      </c>
      <c r="I469">
        <v>80</v>
      </c>
      <c r="J469" s="1" t="s">
        <v>55</v>
      </c>
      <c r="K469" s="1" t="s">
        <v>54</v>
      </c>
      <c r="X469">
        <v>80</v>
      </c>
      <c r="Y469" s="1" t="s">
        <v>55</v>
      </c>
      <c r="Z469" s="1" t="s">
        <v>56</v>
      </c>
    </row>
    <row r="470" spans="6:26">
      <c r="F470" s="1" t="s">
        <v>42</v>
      </c>
      <c r="G470" s="1" t="s">
        <v>44</v>
      </c>
      <c r="I470" s="1" t="s">
        <v>42</v>
      </c>
      <c r="J470" s="1" t="s">
        <v>44</v>
      </c>
      <c r="K470" s="1" t="s">
        <v>43</v>
      </c>
      <c r="X470" s="1" t="s">
        <v>42</v>
      </c>
      <c r="Y470" s="1" t="s">
        <v>44</v>
      </c>
      <c r="Z470" s="1" t="s">
        <v>43</v>
      </c>
    </row>
    <row r="471" spans="6:26">
      <c r="F471">
        <v>81</v>
      </c>
      <c r="G471" s="1" t="s">
        <v>55</v>
      </c>
      <c r="I471">
        <v>81</v>
      </c>
      <c r="J471" s="1" t="s">
        <v>55</v>
      </c>
      <c r="K471" s="1" t="s">
        <v>54</v>
      </c>
      <c r="X471">
        <v>81</v>
      </c>
      <c r="Y471" s="1" t="s">
        <v>55</v>
      </c>
      <c r="Z471" s="1" t="s">
        <v>56</v>
      </c>
    </row>
    <row r="472" spans="6:26">
      <c r="F472" s="1" t="s">
        <v>42</v>
      </c>
      <c r="G472" s="1" t="s">
        <v>44</v>
      </c>
      <c r="I472" s="1" t="s">
        <v>42</v>
      </c>
      <c r="J472" s="1" t="s">
        <v>44</v>
      </c>
      <c r="K472" s="1" t="s">
        <v>43</v>
      </c>
      <c r="X472" s="1" t="s">
        <v>42</v>
      </c>
      <c r="Y472" s="1" t="s">
        <v>44</v>
      </c>
      <c r="Z472" s="1" t="s">
        <v>43</v>
      </c>
    </row>
    <row r="473" spans="6:26">
      <c r="F473">
        <v>82</v>
      </c>
      <c r="G473" s="1" t="s">
        <v>55</v>
      </c>
      <c r="I473">
        <v>82</v>
      </c>
      <c r="J473" s="1" t="s">
        <v>55</v>
      </c>
      <c r="K473" s="1" t="s">
        <v>54</v>
      </c>
      <c r="X473">
        <v>82</v>
      </c>
      <c r="Y473" s="1" t="s">
        <v>55</v>
      </c>
      <c r="Z473" s="1" t="s">
        <v>56</v>
      </c>
    </row>
    <row r="474" spans="6:26">
      <c r="F474" s="1" t="s">
        <v>42</v>
      </c>
      <c r="G474" s="1" t="s">
        <v>44</v>
      </c>
      <c r="I474" s="1" t="s">
        <v>42</v>
      </c>
      <c r="J474" s="1" t="s">
        <v>44</v>
      </c>
      <c r="K474" s="1" t="s">
        <v>43</v>
      </c>
      <c r="X474" s="1" t="s">
        <v>42</v>
      </c>
      <c r="Y474" s="1" t="s">
        <v>44</v>
      </c>
      <c r="Z474" s="1" t="s">
        <v>43</v>
      </c>
    </row>
    <row r="475" spans="6:26">
      <c r="F475">
        <v>83</v>
      </c>
      <c r="G475" s="1" t="s">
        <v>55</v>
      </c>
      <c r="I475">
        <v>83</v>
      </c>
      <c r="J475" s="1" t="s">
        <v>55</v>
      </c>
      <c r="K475" s="1" t="s">
        <v>54</v>
      </c>
      <c r="X475">
        <v>83</v>
      </c>
      <c r="Y475" s="1" t="s">
        <v>55</v>
      </c>
      <c r="Z475" s="1" t="s">
        <v>56</v>
      </c>
    </row>
    <row r="476" spans="6:26">
      <c r="F476" s="1" t="s">
        <v>42</v>
      </c>
      <c r="G476" s="1" t="s">
        <v>44</v>
      </c>
      <c r="I476" s="1" t="s">
        <v>42</v>
      </c>
      <c r="J476" s="1" t="s">
        <v>44</v>
      </c>
      <c r="K476" s="1" t="s">
        <v>43</v>
      </c>
      <c r="X476" s="1" t="s">
        <v>42</v>
      </c>
      <c r="Y476" s="1" t="s">
        <v>44</v>
      </c>
      <c r="Z476" s="1" t="s">
        <v>43</v>
      </c>
    </row>
    <row r="477" spans="6:26">
      <c r="F477">
        <v>84</v>
      </c>
      <c r="G477" s="1" t="s">
        <v>55</v>
      </c>
      <c r="I477">
        <v>84</v>
      </c>
      <c r="J477" s="1" t="s">
        <v>55</v>
      </c>
      <c r="K477" s="1" t="s">
        <v>54</v>
      </c>
      <c r="X477">
        <v>84</v>
      </c>
      <c r="Y477" s="1" t="s">
        <v>55</v>
      </c>
      <c r="Z477" s="1" t="s">
        <v>56</v>
      </c>
    </row>
    <row r="478" spans="6:26">
      <c r="F478" s="1" t="s">
        <v>42</v>
      </c>
      <c r="G478" s="1" t="s">
        <v>44</v>
      </c>
      <c r="I478" s="1" t="s">
        <v>42</v>
      </c>
      <c r="J478" s="1" t="s">
        <v>44</v>
      </c>
      <c r="K478" s="1" t="s">
        <v>43</v>
      </c>
      <c r="X478" s="1" t="s">
        <v>42</v>
      </c>
      <c r="Y478" s="1" t="s">
        <v>44</v>
      </c>
      <c r="Z478" s="1" t="s">
        <v>43</v>
      </c>
    </row>
    <row r="479" spans="6:26">
      <c r="F479">
        <v>85</v>
      </c>
      <c r="G479" s="1" t="s">
        <v>55</v>
      </c>
      <c r="I479">
        <v>85</v>
      </c>
      <c r="J479" s="1" t="s">
        <v>55</v>
      </c>
      <c r="K479" s="1" t="s">
        <v>54</v>
      </c>
      <c r="X479">
        <v>85</v>
      </c>
      <c r="Y479" s="1" t="s">
        <v>55</v>
      </c>
      <c r="Z479" s="1" t="s">
        <v>56</v>
      </c>
    </row>
    <row r="480" spans="6:26">
      <c r="F480" s="1" t="s">
        <v>42</v>
      </c>
      <c r="G480" s="1" t="s">
        <v>44</v>
      </c>
      <c r="I480" s="1" t="s">
        <v>42</v>
      </c>
      <c r="J480" s="1" t="s">
        <v>44</v>
      </c>
      <c r="K480" s="1" t="s">
        <v>43</v>
      </c>
      <c r="X480" s="1" t="s">
        <v>42</v>
      </c>
      <c r="Y480" s="1" t="s">
        <v>44</v>
      </c>
      <c r="Z480" s="1" t="s">
        <v>43</v>
      </c>
    </row>
    <row r="481" spans="6:26">
      <c r="F481">
        <v>86</v>
      </c>
      <c r="G481" s="1" t="s">
        <v>55</v>
      </c>
      <c r="I481">
        <v>86</v>
      </c>
      <c r="J481" s="1" t="s">
        <v>55</v>
      </c>
      <c r="K481" s="1" t="s">
        <v>54</v>
      </c>
      <c r="X481">
        <v>86</v>
      </c>
      <c r="Y481" s="1" t="s">
        <v>55</v>
      </c>
      <c r="Z481" s="1" t="s">
        <v>56</v>
      </c>
    </row>
    <row r="482" spans="6:26">
      <c r="F482" s="1" t="s">
        <v>42</v>
      </c>
      <c r="G482" s="1" t="s">
        <v>44</v>
      </c>
      <c r="I482" s="1" t="s">
        <v>42</v>
      </c>
      <c r="J482" s="1" t="s">
        <v>44</v>
      </c>
      <c r="K482" s="1" t="s">
        <v>43</v>
      </c>
      <c r="X482" s="1" t="s">
        <v>42</v>
      </c>
      <c r="Y482" s="1" t="s">
        <v>44</v>
      </c>
      <c r="Z482" s="1" t="s">
        <v>43</v>
      </c>
    </row>
    <row r="483" spans="6:26">
      <c r="F483">
        <v>87</v>
      </c>
      <c r="G483" s="1" t="s">
        <v>55</v>
      </c>
      <c r="I483">
        <v>87</v>
      </c>
      <c r="J483" s="1" t="s">
        <v>55</v>
      </c>
      <c r="K483" s="1" t="s">
        <v>54</v>
      </c>
      <c r="X483">
        <v>87</v>
      </c>
      <c r="Y483" s="1" t="s">
        <v>55</v>
      </c>
      <c r="Z483" s="1" t="s">
        <v>56</v>
      </c>
    </row>
    <row r="484" spans="6:26">
      <c r="F484" s="1" t="s">
        <v>42</v>
      </c>
      <c r="G484" s="1" t="s">
        <v>44</v>
      </c>
      <c r="I484" s="1" t="s">
        <v>42</v>
      </c>
      <c r="J484" s="1" t="s">
        <v>44</v>
      </c>
      <c r="K484" s="1" t="s">
        <v>43</v>
      </c>
      <c r="X484" s="1" t="s">
        <v>42</v>
      </c>
      <c r="Y484" s="1" t="s">
        <v>44</v>
      </c>
      <c r="Z484" s="1" t="s">
        <v>43</v>
      </c>
    </row>
    <row r="485" spans="6:26">
      <c r="F485">
        <v>88</v>
      </c>
      <c r="G485" s="1" t="s">
        <v>55</v>
      </c>
      <c r="I485">
        <v>88</v>
      </c>
      <c r="J485" s="1" t="s">
        <v>55</v>
      </c>
      <c r="K485" s="1" t="s">
        <v>54</v>
      </c>
      <c r="X485">
        <v>88</v>
      </c>
      <c r="Y485" s="1" t="s">
        <v>55</v>
      </c>
      <c r="Z485" s="1" t="s">
        <v>56</v>
      </c>
    </row>
    <row r="486" spans="6:26">
      <c r="F486" s="1" t="s">
        <v>42</v>
      </c>
      <c r="G486" s="1" t="s">
        <v>44</v>
      </c>
      <c r="I486" s="1" t="s">
        <v>42</v>
      </c>
      <c r="J486" s="1" t="s">
        <v>44</v>
      </c>
      <c r="K486" s="1" t="s">
        <v>43</v>
      </c>
      <c r="X486" s="1" t="s">
        <v>42</v>
      </c>
      <c r="Y486" s="1" t="s">
        <v>44</v>
      </c>
      <c r="Z486" s="1" t="s">
        <v>43</v>
      </c>
    </row>
    <row r="487" spans="6:26">
      <c r="F487">
        <v>89</v>
      </c>
      <c r="G487" s="1" t="s">
        <v>55</v>
      </c>
      <c r="I487">
        <v>89</v>
      </c>
      <c r="J487" s="1" t="s">
        <v>55</v>
      </c>
      <c r="K487" s="1" t="s">
        <v>54</v>
      </c>
      <c r="X487">
        <v>89</v>
      </c>
      <c r="Y487" s="1" t="s">
        <v>55</v>
      </c>
      <c r="Z487" s="1" t="s">
        <v>56</v>
      </c>
    </row>
    <row r="488" spans="6:26">
      <c r="F488" s="1" t="s">
        <v>42</v>
      </c>
      <c r="G488" s="1" t="s">
        <v>44</v>
      </c>
      <c r="I488" s="1" t="s">
        <v>42</v>
      </c>
      <c r="J488" s="1" t="s">
        <v>44</v>
      </c>
      <c r="K488" s="1" t="s">
        <v>43</v>
      </c>
      <c r="X488" s="1" t="s">
        <v>42</v>
      </c>
      <c r="Y488" s="1" t="s">
        <v>44</v>
      </c>
      <c r="Z488" s="1" t="s">
        <v>43</v>
      </c>
    </row>
    <row r="489" spans="6:26">
      <c r="F489">
        <v>90</v>
      </c>
      <c r="G489" s="1" t="s">
        <v>55</v>
      </c>
      <c r="I489">
        <v>90</v>
      </c>
      <c r="J489" s="1" t="s">
        <v>55</v>
      </c>
      <c r="K489" s="1" t="s">
        <v>54</v>
      </c>
      <c r="X489">
        <v>90</v>
      </c>
      <c r="Y489" s="1" t="s">
        <v>55</v>
      </c>
      <c r="Z489" s="1" t="s">
        <v>56</v>
      </c>
    </row>
    <row r="490" spans="6:26">
      <c r="F490" s="1" t="s">
        <v>42</v>
      </c>
      <c r="G490" s="1" t="s">
        <v>44</v>
      </c>
      <c r="I490" s="1" t="s">
        <v>42</v>
      </c>
      <c r="J490" s="1" t="s">
        <v>44</v>
      </c>
      <c r="K490" s="1" t="s">
        <v>43</v>
      </c>
      <c r="X490" s="1" t="s">
        <v>42</v>
      </c>
      <c r="Y490" s="1" t="s">
        <v>44</v>
      </c>
      <c r="Z490" s="1" t="s">
        <v>43</v>
      </c>
    </row>
    <row r="491" spans="6:26">
      <c r="F491">
        <v>91</v>
      </c>
      <c r="G491" s="1" t="s">
        <v>55</v>
      </c>
      <c r="I491">
        <v>91</v>
      </c>
      <c r="J491" s="1" t="s">
        <v>55</v>
      </c>
      <c r="K491" s="1" t="s">
        <v>54</v>
      </c>
      <c r="X491">
        <v>91</v>
      </c>
      <c r="Y491" s="1" t="s">
        <v>55</v>
      </c>
      <c r="Z491" s="1" t="s">
        <v>56</v>
      </c>
    </row>
    <row r="492" spans="6:26">
      <c r="F492" s="1" t="s">
        <v>42</v>
      </c>
      <c r="G492" s="1" t="s">
        <v>44</v>
      </c>
      <c r="I492" s="1" t="s">
        <v>42</v>
      </c>
      <c r="J492" s="1" t="s">
        <v>44</v>
      </c>
      <c r="K492" s="1" t="s">
        <v>43</v>
      </c>
      <c r="X492" s="1" t="s">
        <v>42</v>
      </c>
      <c r="Y492" s="1" t="s">
        <v>44</v>
      </c>
      <c r="Z492" s="1" t="s">
        <v>43</v>
      </c>
    </row>
    <row r="493" spans="6:26">
      <c r="F493">
        <v>92</v>
      </c>
      <c r="G493" s="1" t="s">
        <v>55</v>
      </c>
      <c r="I493">
        <v>92</v>
      </c>
      <c r="J493" s="1" t="s">
        <v>55</v>
      </c>
      <c r="K493" s="1" t="s">
        <v>54</v>
      </c>
      <c r="X493">
        <v>92</v>
      </c>
      <c r="Y493" s="1" t="s">
        <v>55</v>
      </c>
      <c r="Z493" s="1" t="s">
        <v>56</v>
      </c>
    </row>
    <row r="494" spans="6:26">
      <c r="F494" s="1" t="s">
        <v>42</v>
      </c>
      <c r="G494" s="1" t="s">
        <v>44</v>
      </c>
      <c r="I494" s="1" t="s">
        <v>42</v>
      </c>
      <c r="J494" s="1" t="s">
        <v>44</v>
      </c>
      <c r="K494" s="1" t="s">
        <v>43</v>
      </c>
      <c r="X494" s="1" t="s">
        <v>42</v>
      </c>
      <c r="Y494" s="1" t="s">
        <v>44</v>
      </c>
      <c r="Z494" s="1" t="s">
        <v>43</v>
      </c>
    </row>
    <row r="495" spans="6:26">
      <c r="F495">
        <v>93</v>
      </c>
      <c r="G495" s="1" t="s">
        <v>55</v>
      </c>
      <c r="I495">
        <v>93</v>
      </c>
      <c r="J495" s="1" t="s">
        <v>55</v>
      </c>
      <c r="K495" s="1" t="s">
        <v>54</v>
      </c>
      <c r="X495">
        <v>93</v>
      </c>
      <c r="Y495" s="1" t="s">
        <v>55</v>
      </c>
      <c r="Z495" s="1" t="s">
        <v>56</v>
      </c>
    </row>
    <row r="496" spans="6:26">
      <c r="F496" s="1" t="s">
        <v>42</v>
      </c>
      <c r="G496" s="1" t="s">
        <v>44</v>
      </c>
      <c r="I496" s="1" t="s">
        <v>42</v>
      </c>
      <c r="J496" s="1" t="s">
        <v>44</v>
      </c>
      <c r="K496" s="1" t="s">
        <v>43</v>
      </c>
      <c r="X496" s="1" t="s">
        <v>42</v>
      </c>
      <c r="Y496" s="1" t="s">
        <v>44</v>
      </c>
      <c r="Z496" s="1" t="s">
        <v>43</v>
      </c>
    </row>
    <row r="497" spans="6:26">
      <c r="F497">
        <v>94</v>
      </c>
      <c r="G497" s="1" t="s">
        <v>55</v>
      </c>
      <c r="I497">
        <v>94</v>
      </c>
      <c r="J497" s="1" t="s">
        <v>55</v>
      </c>
      <c r="K497" s="1" t="s">
        <v>54</v>
      </c>
      <c r="X497">
        <v>94</v>
      </c>
      <c r="Y497" s="1" t="s">
        <v>55</v>
      </c>
      <c r="Z497" s="1" t="s">
        <v>56</v>
      </c>
    </row>
    <row r="498" spans="6:26">
      <c r="F498" s="1" t="s">
        <v>42</v>
      </c>
      <c r="G498" s="1" t="s">
        <v>44</v>
      </c>
      <c r="I498" s="1" t="s">
        <v>42</v>
      </c>
      <c r="J498" s="1" t="s">
        <v>44</v>
      </c>
      <c r="K498" s="1" t="s">
        <v>43</v>
      </c>
      <c r="X498" s="1" t="s">
        <v>42</v>
      </c>
      <c r="Y498" s="1" t="s">
        <v>44</v>
      </c>
      <c r="Z498" s="1" t="s">
        <v>43</v>
      </c>
    </row>
    <row r="499" spans="6:26">
      <c r="F499">
        <v>95</v>
      </c>
      <c r="G499" s="1" t="s">
        <v>55</v>
      </c>
      <c r="I499">
        <v>95</v>
      </c>
      <c r="J499" s="1" t="s">
        <v>55</v>
      </c>
      <c r="K499" s="1" t="s">
        <v>54</v>
      </c>
      <c r="X499">
        <v>95</v>
      </c>
      <c r="Y499" s="1" t="s">
        <v>55</v>
      </c>
      <c r="Z499" s="1" t="s">
        <v>56</v>
      </c>
    </row>
    <row r="500" spans="6:26">
      <c r="F500" s="1" t="s">
        <v>42</v>
      </c>
      <c r="G500" s="1" t="s">
        <v>44</v>
      </c>
      <c r="I500" s="1" t="s">
        <v>42</v>
      </c>
      <c r="J500" s="1" t="s">
        <v>44</v>
      </c>
      <c r="K500" s="1" t="s">
        <v>43</v>
      </c>
      <c r="X500" s="1" t="s">
        <v>42</v>
      </c>
      <c r="Y500" s="1" t="s">
        <v>44</v>
      </c>
      <c r="Z500" s="1" t="s">
        <v>43</v>
      </c>
    </row>
    <row r="501" spans="6:26">
      <c r="F501">
        <v>96</v>
      </c>
      <c r="G501" s="1" t="s">
        <v>55</v>
      </c>
      <c r="I501">
        <v>96</v>
      </c>
      <c r="J501" s="1" t="s">
        <v>55</v>
      </c>
      <c r="K501" s="1" t="s">
        <v>54</v>
      </c>
      <c r="X501">
        <v>96</v>
      </c>
      <c r="Y501" s="1" t="s">
        <v>55</v>
      </c>
      <c r="Z501" s="1" t="s">
        <v>56</v>
      </c>
    </row>
    <row r="502" spans="6:26">
      <c r="F502" s="1" t="s">
        <v>42</v>
      </c>
      <c r="G502" s="1" t="s">
        <v>44</v>
      </c>
      <c r="I502" s="1" t="s">
        <v>42</v>
      </c>
      <c r="J502" s="1" t="s">
        <v>44</v>
      </c>
      <c r="K502" s="1" t="s">
        <v>43</v>
      </c>
      <c r="X502" s="1" t="s">
        <v>42</v>
      </c>
      <c r="Y502" s="1" t="s">
        <v>44</v>
      </c>
      <c r="Z502" s="1" t="s">
        <v>43</v>
      </c>
    </row>
    <row r="503" spans="6:26">
      <c r="F503">
        <v>97</v>
      </c>
      <c r="G503" s="1" t="s">
        <v>55</v>
      </c>
      <c r="I503">
        <v>97</v>
      </c>
      <c r="J503" s="1" t="s">
        <v>55</v>
      </c>
      <c r="K503" s="1" t="s">
        <v>54</v>
      </c>
      <c r="X503">
        <v>97</v>
      </c>
      <c r="Y503" s="1" t="s">
        <v>55</v>
      </c>
      <c r="Z503" s="1" t="s">
        <v>56</v>
      </c>
    </row>
    <row r="504" spans="6:26">
      <c r="F504" s="1" t="s">
        <v>42</v>
      </c>
      <c r="G504" s="1" t="s">
        <v>44</v>
      </c>
      <c r="I504" s="1" t="s">
        <v>42</v>
      </c>
      <c r="J504" s="1" t="s">
        <v>44</v>
      </c>
      <c r="K504" s="1" t="s">
        <v>43</v>
      </c>
      <c r="X504" s="1" t="s">
        <v>42</v>
      </c>
      <c r="Y504" s="1" t="s">
        <v>44</v>
      </c>
      <c r="Z504" s="1" t="s">
        <v>43</v>
      </c>
    </row>
    <row r="505" spans="6:26">
      <c r="F505">
        <v>98</v>
      </c>
      <c r="G505" s="1" t="s">
        <v>55</v>
      </c>
      <c r="I505">
        <v>98</v>
      </c>
      <c r="J505" s="1" t="s">
        <v>55</v>
      </c>
      <c r="K505" s="1" t="s">
        <v>54</v>
      </c>
      <c r="X505">
        <v>98</v>
      </c>
      <c r="Y505" s="1" t="s">
        <v>55</v>
      </c>
      <c r="Z505" s="1" t="s">
        <v>56</v>
      </c>
    </row>
    <row r="506" spans="6:26">
      <c r="F506" s="1" t="s">
        <v>42</v>
      </c>
      <c r="G506" s="1" t="s">
        <v>44</v>
      </c>
      <c r="I506" s="1" t="s">
        <v>42</v>
      </c>
      <c r="J506" s="1" t="s">
        <v>44</v>
      </c>
      <c r="K506" s="1" t="s">
        <v>43</v>
      </c>
      <c r="X506" s="1" t="s">
        <v>42</v>
      </c>
      <c r="Y506" s="1" t="s">
        <v>44</v>
      </c>
      <c r="Z506" s="1" t="s">
        <v>43</v>
      </c>
    </row>
    <row r="507" spans="6:26">
      <c r="F507">
        <v>99</v>
      </c>
      <c r="G507" s="1" t="s">
        <v>55</v>
      </c>
      <c r="I507">
        <v>99</v>
      </c>
      <c r="J507" s="1" t="s">
        <v>55</v>
      </c>
      <c r="K507" s="1" t="s">
        <v>54</v>
      </c>
      <c r="X507">
        <v>99</v>
      </c>
      <c r="Y507" s="1" t="s">
        <v>55</v>
      </c>
      <c r="Z507" s="1" t="s">
        <v>56</v>
      </c>
    </row>
    <row r="508" spans="6:26">
      <c r="F508" s="1" t="s">
        <v>42</v>
      </c>
      <c r="G508" s="1" t="s">
        <v>44</v>
      </c>
      <c r="I508" s="1" t="s">
        <v>42</v>
      </c>
      <c r="J508" s="1" t="s">
        <v>44</v>
      </c>
      <c r="K508" s="1" t="s">
        <v>43</v>
      </c>
      <c r="X508" s="1" t="s">
        <v>42</v>
      </c>
      <c r="Y508" s="1" t="s">
        <v>44</v>
      </c>
      <c r="Z508" s="1" t="s">
        <v>43</v>
      </c>
    </row>
    <row r="509" spans="6:26">
      <c r="F509">
        <v>100</v>
      </c>
      <c r="G509" s="1" t="s">
        <v>55</v>
      </c>
      <c r="I509">
        <v>100</v>
      </c>
      <c r="J509" s="1" t="s">
        <v>55</v>
      </c>
      <c r="K509" s="1" t="s">
        <v>54</v>
      </c>
      <c r="X509">
        <v>100</v>
      </c>
      <c r="Y509" s="1" t="s">
        <v>55</v>
      </c>
      <c r="Z509" s="1" t="s">
        <v>56</v>
      </c>
    </row>
    <row r="510" spans="6:26">
      <c r="F510" s="1"/>
      <c r="G510" s="1"/>
      <c r="H510" s="1"/>
    </row>
    <row r="511" spans="6:26">
      <c r="G511" s="1"/>
      <c r="H511" s="1"/>
    </row>
    <row r="512" spans="6:26">
      <c r="F512" s="1"/>
      <c r="G512" s="1"/>
      <c r="H512" s="1"/>
      <c r="L512" s="1"/>
    </row>
    <row r="513" spans="6:12">
      <c r="G513" s="1"/>
      <c r="H513" s="1"/>
      <c r="L513" s="1"/>
    </row>
    <row r="514" spans="6:12">
      <c r="F514" s="1"/>
      <c r="G514" s="1"/>
      <c r="H514" s="1"/>
      <c r="L514" s="1"/>
    </row>
    <row r="515" spans="6:12">
      <c r="G515" s="1"/>
      <c r="H515" s="1"/>
      <c r="L515" s="1"/>
    </row>
    <row r="516" spans="6:12">
      <c r="F516" s="1"/>
      <c r="G516" s="1"/>
      <c r="H516" s="1"/>
      <c r="L516" s="1"/>
    </row>
    <row r="517" spans="6:12">
      <c r="G517" s="1"/>
      <c r="H517" s="1"/>
      <c r="L517" s="1"/>
    </row>
    <row r="518" spans="6:12">
      <c r="F518" s="1"/>
      <c r="G518" s="1"/>
      <c r="H518" s="1"/>
      <c r="L518" s="1"/>
    </row>
    <row r="519" spans="6:12">
      <c r="G519" s="1"/>
      <c r="H519" s="1"/>
      <c r="L519" s="1"/>
    </row>
    <row r="520" spans="6:12">
      <c r="F520" s="1"/>
      <c r="G520" s="1"/>
      <c r="H520" s="1"/>
      <c r="L520" s="1"/>
    </row>
    <row r="521" spans="6:12">
      <c r="G521" s="1"/>
      <c r="H521" s="1"/>
      <c r="L521" s="1"/>
    </row>
    <row r="522" spans="6:12">
      <c r="F522" s="1"/>
      <c r="G522" s="1"/>
      <c r="H522" s="1"/>
      <c r="L522" s="1"/>
    </row>
    <row r="523" spans="6:12">
      <c r="G523" s="1"/>
      <c r="H523" s="1"/>
      <c r="L523" s="1"/>
    </row>
    <row r="524" spans="6:12">
      <c r="F524" s="1"/>
      <c r="G524" s="1"/>
      <c r="H524" s="1"/>
      <c r="L524" s="1"/>
    </row>
    <row r="525" spans="6:12">
      <c r="G525" s="1"/>
      <c r="H525" s="1"/>
      <c r="L525" s="1"/>
    </row>
    <row r="526" spans="6:12">
      <c r="F526" s="1"/>
      <c r="G526" s="1"/>
      <c r="H526" s="1"/>
      <c r="L526" s="1"/>
    </row>
    <row r="527" spans="6:12">
      <c r="G527" s="1"/>
      <c r="H527" s="1"/>
      <c r="L527" s="1"/>
    </row>
    <row r="528" spans="6:12">
      <c r="F528" s="1"/>
      <c r="G528" s="1"/>
      <c r="H528" s="1"/>
      <c r="L528" s="1"/>
    </row>
    <row r="529" spans="6:12">
      <c r="G529" s="1"/>
      <c r="H529" s="1"/>
      <c r="L529" s="1"/>
    </row>
    <row r="530" spans="6:12">
      <c r="F530" s="1"/>
      <c r="G530" s="1"/>
      <c r="H530" s="1"/>
      <c r="L530" s="1"/>
    </row>
    <row r="531" spans="6:12">
      <c r="G531" s="1"/>
      <c r="H531" s="1"/>
      <c r="L531" s="1"/>
    </row>
    <row r="532" spans="6:12">
      <c r="F532" s="1"/>
      <c r="G532" s="1"/>
      <c r="H532" s="1"/>
      <c r="L532" s="1"/>
    </row>
    <row r="533" spans="6:12">
      <c r="G533" s="1"/>
      <c r="H533" s="1"/>
      <c r="L533" s="1"/>
    </row>
    <row r="534" spans="6:12">
      <c r="F534" s="1"/>
      <c r="G534" s="1"/>
      <c r="H534" s="1"/>
      <c r="L534" s="1"/>
    </row>
    <row r="535" spans="6:12">
      <c r="G535" s="1"/>
      <c r="H535" s="1"/>
      <c r="L535" s="1"/>
    </row>
    <row r="536" spans="6:12">
      <c r="F536" s="1"/>
      <c r="G536" s="1"/>
      <c r="H536" s="1"/>
      <c r="L536" s="1"/>
    </row>
    <row r="537" spans="6:12">
      <c r="G537" s="1"/>
      <c r="H537" s="1"/>
      <c r="L537" s="1"/>
    </row>
    <row r="538" spans="6:12">
      <c r="F538" s="1"/>
      <c r="G538" s="1"/>
      <c r="H538" s="1"/>
      <c r="L538" s="1"/>
    </row>
    <row r="539" spans="6:12">
      <c r="G539" s="1"/>
      <c r="H539" s="1"/>
      <c r="L539" s="1"/>
    </row>
    <row r="540" spans="6:12">
      <c r="F540" s="1"/>
      <c r="G540" s="1"/>
      <c r="H540" s="1"/>
      <c r="L540" s="1"/>
    </row>
    <row r="541" spans="6:12">
      <c r="G541" s="1"/>
      <c r="H541" s="1"/>
      <c r="L541" s="1"/>
    </row>
    <row r="542" spans="6:12">
      <c r="F542" s="1"/>
      <c r="G542" s="1"/>
      <c r="H542" s="1"/>
      <c r="L542" s="1"/>
    </row>
    <row r="543" spans="6:12">
      <c r="G543" s="1"/>
      <c r="H543" s="1"/>
      <c r="L543" s="1"/>
    </row>
    <row r="544" spans="6:12">
      <c r="F544" s="1"/>
      <c r="G544" s="1"/>
      <c r="H544" s="1"/>
      <c r="L544" s="1"/>
    </row>
    <row r="545" spans="6:12">
      <c r="G545" s="1"/>
      <c r="H545" s="1"/>
      <c r="L545" s="1"/>
    </row>
    <row r="546" spans="6:12">
      <c r="F546" s="1"/>
      <c r="G546" s="1"/>
      <c r="H546" s="1"/>
      <c r="L546" s="1"/>
    </row>
    <row r="547" spans="6:12">
      <c r="G547" s="1"/>
      <c r="H547" s="1"/>
      <c r="L547" s="1"/>
    </row>
    <row r="548" spans="6:12">
      <c r="F548" s="1"/>
      <c r="G548" s="1"/>
      <c r="H548" s="1"/>
      <c r="L548" s="1"/>
    </row>
    <row r="549" spans="6:12">
      <c r="G549" s="1"/>
      <c r="H549" s="1"/>
      <c r="L549" s="1"/>
    </row>
    <row r="550" spans="6:12">
      <c r="F550" s="1"/>
      <c r="G550" s="1"/>
      <c r="H550" s="1"/>
      <c r="L550" s="1"/>
    </row>
    <row r="551" spans="6:12">
      <c r="G551" s="1"/>
      <c r="H551" s="1"/>
      <c r="L551" s="1"/>
    </row>
    <row r="552" spans="6:12">
      <c r="F552" s="1"/>
      <c r="G552" s="1"/>
      <c r="H552" s="1"/>
      <c r="L552" s="1"/>
    </row>
    <row r="553" spans="6:12">
      <c r="G553" s="1"/>
      <c r="H553" s="1"/>
      <c r="L553" s="1"/>
    </row>
    <row r="554" spans="6:12">
      <c r="F554" s="1"/>
      <c r="G554" s="1"/>
      <c r="H554" s="1"/>
      <c r="L554" s="1"/>
    </row>
    <row r="555" spans="6:12">
      <c r="G555" s="1"/>
      <c r="H555" s="1"/>
      <c r="L555" s="1"/>
    </row>
    <row r="556" spans="6:12">
      <c r="F556" s="1"/>
      <c r="G556" s="1"/>
      <c r="H556" s="1"/>
      <c r="L556" s="1"/>
    </row>
    <row r="557" spans="6:12">
      <c r="G557" s="1"/>
      <c r="H557" s="1"/>
      <c r="L557" s="1"/>
    </row>
    <row r="558" spans="6:12">
      <c r="F558" s="1"/>
      <c r="G558" s="1"/>
      <c r="H558" s="1"/>
      <c r="L558" s="1"/>
    </row>
    <row r="559" spans="6:12">
      <c r="G559" s="1"/>
      <c r="H559" s="1"/>
      <c r="L559" s="1"/>
    </row>
    <row r="560" spans="6:12">
      <c r="F560" s="1"/>
      <c r="G560" s="1"/>
      <c r="H560" s="1"/>
      <c r="L560" s="1"/>
    </row>
    <row r="561" spans="6:12">
      <c r="G561" s="1"/>
      <c r="H561" s="1"/>
      <c r="L561" s="1"/>
    </row>
    <row r="562" spans="6:12">
      <c r="F562" s="1"/>
      <c r="G562" s="1"/>
      <c r="H562" s="1"/>
      <c r="L562" s="1"/>
    </row>
    <row r="563" spans="6:12">
      <c r="G563" s="1"/>
      <c r="H563" s="1"/>
      <c r="L563" s="1"/>
    </row>
    <row r="564" spans="6:12">
      <c r="F564" s="1"/>
      <c r="G564" s="1"/>
      <c r="H564" s="1"/>
      <c r="L564" s="1"/>
    </row>
    <row r="565" spans="6:12">
      <c r="G565" s="1"/>
      <c r="H565" s="1"/>
      <c r="L565" s="1"/>
    </row>
    <row r="566" spans="6:12">
      <c r="F566" s="1"/>
      <c r="G566" s="1"/>
      <c r="H566" s="1"/>
      <c r="L566" s="1"/>
    </row>
    <row r="567" spans="6:12">
      <c r="G567" s="1"/>
      <c r="H567" s="1"/>
      <c r="L567" s="1"/>
    </row>
    <row r="568" spans="6:12">
      <c r="F568" s="1"/>
      <c r="G568" s="1"/>
      <c r="H568" s="1"/>
      <c r="L568" s="1"/>
    </row>
    <row r="569" spans="6:12">
      <c r="G569" s="1"/>
      <c r="H569" s="1"/>
      <c r="L569" s="1"/>
    </row>
    <row r="570" spans="6:12">
      <c r="F570" s="1"/>
      <c r="G570" s="1"/>
      <c r="H570" s="1"/>
      <c r="L570" s="1"/>
    </row>
    <row r="571" spans="6:12">
      <c r="G571" s="1"/>
      <c r="H571" s="1"/>
      <c r="L571" s="1"/>
    </row>
    <row r="572" spans="6:12">
      <c r="F572" s="1"/>
      <c r="G572" s="1"/>
      <c r="H572" s="1"/>
      <c r="L572" s="1"/>
    </row>
    <row r="573" spans="6:12">
      <c r="G573" s="1"/>
      <c r="H573" s="1"/>
      <c r="L573" s="1"/>
    </row>
    <row r="574" spans="6:12">
      <c r="F574" s="1"/>
      <c r="G574" s="1"/>
      <c r="H574" s="1"/>
      <c r="L574" s="1"/>
    </row>
    <row r="575" spans="6:12">
      <c r="G575" s="1"/>
      <c r="H575" s="1"/>
      <c r="L575" s="1"/>
    </row>
    <row r="576" spans="6:12">
      <c r="F576" s="1"/>
      <c r="G576" s="1"/>
      <c r="H576" s="1"/>
      <c r="L576" s="1"/>
    </row>
    <row r="577" spans="6:12">
      <c r="G577" s="1"/>
      <c r="H577" s="1"/>
      <c r="L577" s="1"/>
    </row>
    <row r="578" spans="6:12">
      <c r="F578" s="1"/>
      <c r="G578" s="1"/>
      <c r="H578" s="1"/>
      <c r="L578" s="1"/>
    </row>
    <row r="579" spans="6:12">
      <c r="G579" s="1"/>
      <c r="H579" s="1"/>
      <c r="L579" s="1"/>
    </row>
    <row r="580" spans="6:12">
      <c r="F580" s="1"/>
      <c r="G580" s="1"/>
      <c r="H580" s="1"/>
      <c r="L580" s="1"/>
    </row>
    <row r="581" spans="6:12">
      <c r="G581" s="1"/>
      <c r="H581" s="1"/>
      <c r="L581" s="1"/>
    </row>
    <row r="582" spans="6:12">
      <c r="F582" s="1"/>
      <c r="G582" s="1"/>
      <c r="H582" s="1"/>
      <c r="L582" s="1"/>
    </row>
    <row r="583" spans="6:12">
      <c r="G583" s="1"/>
      <c r="H583" s="1"/>
      <c r="L583" s="1"/>
    </row>
    <row r="584" spans="6:12">
      <c r="F584" s="1"/>
      <c r="G584" s="1"/>
      <c r="H584" s="1"/>
      <c r="L584" s="1"/>
    </row>
    <row r="585" spans="6:12">
      <c r="G585" s="1"/>
      <c r="H585" s="1"/>
      <c r="L585" s="1"/>
    </row>
    <row r="586" spans="6:12">
      <c r="F586" s="1"/>
      <c r="G586" s="1"/>
      <c r="H586" s="1"/>
      <c r="L586" s="1"/>
    </row>
    <row r="587" spans="6:12">
      <c r="G587" s="1"/>
      <c r="H587" s="1"/>
      <c r="L587" s="1"/>
    </row>
    <row r="588" spans="6:12">
      <c r="F588" s="1"/>
      <c r="G588" s="1"/>
      <c r="H588" s="1"/>
      <c r="L588" s="1"/>
    </row>
    <row r="589" spans="6:12">
      <c r="G589" s="1"/>
      <c r="H589" s="1"/>
      <c r="L589" s="1"/>
    </row>
    <row r="590" spans="6:12">
      <c r="F590" s="1"/>
      <c r="G590" s="1"/>
      <c r="H590" s="1"/>
      <c r="L590" s="1"/>
    </row>
    <row r="591" spans="6:12">
      <c r="G591" s="1"/>
      <c r="H591" s="1"/>
      <c r="L591" s="1"/>
    </row>
    <row r="592" spans="6:12">
      <c r="F592" s="1"/>
      <c r="G592" s="1"/>
      <c r="H592" s="1"/>
      <c r="L592" s="1"/>
    </row>
    <row r="593" spans="6:12">
      <c r="G593" s="1"/>
      <c r="H593" s="1"/>
      <c r="L593" s="1"/>
    </row>
    <row r="594" spans="6:12">
      <c r="F594" s="1"/>
      <c r="G594" s="1"/>
      <c r="H594" s="1"/>
      <c r="L594" s="1"/>
    </row>
    <row r="595" spans="6:12">
      <c r="G595" s="1"/>
      <c r="H595" s="1"/>
      <c r="L595" s="1"/>
    </row>
    <row r="596" spans="6:12">
      <c r="F596" s="1"/>
      <c r="G596" s="1"/>
      <c r="H596" s="1"/>
      <c r="L596" s="1"/>
    </row>
    <row r="597" spans="6:12">
      <c r="G597" s="1"/>
      <c r="H597" s="1"/>
      <c r="L597" s="1"/>
    </row>
    <row r="598" spans="6:12">
      <c r="F598" s="1"/>
      <c r="G598" s="1"/>
      <c r="H598" s="1"/>
      <c r="L598" s="1"/>
    </row>
    <row r="599" spans="6:12">
      <c r="G599" s="1"/>
      <c r="H599" s="1"/>
      <c r="L599" s="1"/>
    </row>
    <row r="600" spans="6:12">
      <c r="F600" s="1"/>
      <c r="G600" s="1"/>
      <c r="H600" s="1"/>
      <c r="L600" s="1"/>
    </row>
    <row r="601" spans="6:12">
      <c r="G601" s="1"/>
      <c r="H601" s="1"/>
      <c r="L601" s="1"/>
    </row>
    <row r="602" spans="6:12">
      <c r="F602" s="1"/>
      <c r="G602" s="1"/>
      <c r="H602" s="1"/>
      <c r="L602" s="1"/>
    </row>
    <row r="603" spans="6:12">
      <c r="G603" s="1"/>
      <c r="H603" s="1"/>
      <c r="L603" s="1"/>
    </row>
    <row r="604" spans="6:12">
      <c r="F604" s="1"/>
      <c r="G604" s="1"/>
      <c r="H604" s="1"/>
      <c r="L604" s="1"/>
    </row>
    <row r="605" spans="6:12">
      <c r="G605" s="1"/>
      <c r="H605" s="1"/>
      <c r="L605" s="1"/>
    </row>
    <row r="606" spans="6:12">
      <c r="F606" s="1"/>
      <c r="G606" s="1"/>
      <c r="H606" s="1"/>
      <c r="L606" s="1"/>
    </row>
    <row r="607" spans="6:12">
      <c r="G607" s="1"/>
      <c r="H607" s="1"/>
      <c r="L607" s="1"/>
    </row>
    <row r="608" spans="6:12">
      <c r="F608" s="1"/>
      <c r="G608" s="1"/>
      <c r="H608" s="1"/>
      <c r="L608" s="1"/>
    </row>
    <row r="609" spans="6:12">
      <c r="G609" s="1"/>
      <c r="H609" s="1"/>
      <c r="L609" s="1"/>
    </row>
    <row r="610" spans="6:12">
      <c r="F610" s="1"/>
      <c r="G610" s="1"/>
      <c r="H610" s="1"/>
      <c r="L610" s="1"/>
    </row>
    <row r="611" spans="6:12">
      <c r="G611" s="1"/>
      <c r="H611" s="1"/>
      <c r="L611" s="1"/>
    </row>
    <row r="612" spans="6:12">
      <c r="F612" s="1"/>
      <c r="G612" s="1"/>
      <c r="H612" s="1"/>
      <c r="L612" s="1"/>
    </row>
    <row r="613" spans="6:12">
      <c r="G613" s="1"/>
      <c r="H613" s="1"/>
      <c r="L613" s="1"/>
    </row>
    <row r="614" spans="6:12">
      <c r="F614" s="1"/>
      <c r="G614" s="1"/>
      <c r="H614" s="1"/>
      <c r="L614" s="1"/>
    </row>
    <row r="615" spans="6:12">
      <c r="G615" s="1"/>
      <c r="H615" s="1"/>
      <c r="L615" s="1"/>
    </row>
    <row r="616" spans="6:12">
      <c r="F616" s="1"/>
      <c r="G616" s="1"/>
      <c r="H616" s="1"/>
      <c r="L616" s="1"/>
    </row>
    <row r="617" spans="6:12">
      <c r="G617" s="1"/>
      <c r="H617" s="1"/>
      <c r="L617" s="1"/>
    </row>
    <row r="618" spans="6:12">
      <c r="F618" s="1"/>
      <c r="G618" s="1"/>
      <c r="H618" s="1"/>
      <c r="L618" s="1"/>
    </row>
    <row r="619" spans="6:12">
      <c r="G619" s="1"/>
      <c r="H619" s="1"/>
      <c r="L619" s="1"/>
    </row>
    <row r="620" spans="6:12">
      <c r="F620" s="1"/>
      <c r="G620" s="1"/>
      <c r="H620" s="1"/>
      <c r="L620" s="1"/>
    </row>
    <row r="621" spans="6:12">
      <c r="G621" s="1"/>
      <c r="H621" s="1"/>
      <c r="L621" s="1"/>
    </row>
    <row r="622" spans="6:12">
      <c r="F622" s="1"/>
      <c r="G622" s="1"/>
      <c r="H622" s="1"/>
      <c r="L622" s="1"/>
    </row>
    <row r="623" spans="6:12">
      <c r="G623" s="1"/>
      <c r="H623" s="1"/>
      <c r="L623" s="1"/>
    </row>
    <row r="624" spans="6:12">
      <c r="F624" s="1"/>
      <c r="G624" s="1"/>
      <c r="H624" s="1"/>
      <c r="L624" s="1"/>
    </row>
    <row r="625" spans="6:12">
      <c r="G625" s="1"/>
      <c r="H625" s="1"/>
      <c r="L625" s="1"/>
    </row>
    <row r="626" spans="6:12">
      <c r="F626" s="1"/>
      <c r="G626" s="1"/>
      <c r="H626" s="1"/>
      <c r="L626" s="1"/>
    </row>
    <row r="627" spans="6:12">
      <c r="G627" s="1"/>
      <c r="H627" s="1"/>
      <c r="L627" s="1"/>
    </row>
    <row r="628" spans="6:12">
      <c r="F628" s="1"/>
      <c r="G628" s="1"/>
      <c r="H628" s="1"/>
      <c r="L628" s="1"/>
    </row>
    <row r="629" spans="6:12">
      <c r="G629" s="1"/>
      <c r="H629" s="1"/>
      <c r="L629" s="1"/>
    </row>
    <row r="630" spans="6:12">
      <c r="F630" s="1"/>
      <c r="G630" s="1"/>
      <c r="H630" s="1"/>
      <c r="L630" s="1"/>
    </row>
    <row r="631" spans="6:12">
      <c r="G631" s="1"/>
      <c r="H631" s="1"/>
      <c r="L631" s="1"/>
    </row>
    <row r="632" spans="6:12">
      <c r="F632" s="1"/>
      <c r="G632" s="1"/>
      <c r="H632" s="1"/>
    </row>
    <row r="633" spans="6:12">
      <c r="G633" s="1"/>
      <c r="H633" s="1"/>
    </row>
    <row r="634" spans="6:12">
      <c r="F634" s="1"/>
      <c r="G634" s="1"/>
      <c r="H634" s="1"/>
    </row>
    <row r="635" spans="6:12">
      <c r="G635" s="1"/>
      <c r="H635" s="1"/>
    </row>
    <row r="636" spans="6:12">
      <c r="F636" s="1"/>
      <c r="G636" s="1"/>
      <c r="H636" s="1"/>
    </row>
    <row r="637" spans="6:12">
      <c r="G637" s="1"/>
      <c r="H637" s="1"/>
    </row>
    <row r="638" spans="6:12">
      <c r="F638" s="1"/>
      <c r="G638" s="1"/>
      <c r="H638" s="1"/>
    </row>
    <row r="639" spans="6:12">
      <c r="G639" s="1"/>
      <c r="H639" s="1"/>
    </row>
    <row r="640" spans="6:12">
      <c r="F640" s="1"/>
      <c r="G640" s="1"/>
      <c r="H640" s="1"/>
    </row>
    <row r="641" spans="6:8">
      <c r="G641" s="1"/>
      <c r="H641" s="1"/>
    </row>
    <row r="642" spans="6:8">
      <c r="F642" s="1"/>
      <c r="G642" s="1"/>
      <c r="H642" s="1"/>
    </row>
    <row r="643" spans="6:8">
      <c r="G643" s="1"/>
      <c r="H643" s="1"/>
    </row>
    <row r="644" spans="6:8">
      <c r="F644" s="1"/>
      <c r="G644" s="1"/>
      <c r="H644" s="1"/>
    </row>
    <row r="645" spans="6:8">
      <c r="G645" s="1"/>
      <c r="H645" s="1"/>
    </row>
    <row r="646" spans="6:8">
      <c r="F646" s="1"/>
      <c r="G646" s="1"/>
      <c r="H646" s="1"/>
    </row>
    <row r="647" spans="6:8">
      <c r="G647" s="1"/>
      <c r="H647" s="1"/>
    </row>
    <row r="648" spans="6:8">
      <c r="F648" s="1"/>
      <c r="G648" s="1"/>
      <c r="H648" s="1"/>
    </row>
    <row r="649" spans="6:8">
      <c r="G649" s="1"/>
      <c r="H649" s="1"/>
    </row>
    <row r="650" spans="6:8">
      <c r="F650" s="1"/>
      <c r="G650" s="1"/>
      <c r="H650" s="1"/>
    </row>
    <row r="651" spans="6:8">
      <c r="G651" s="1"/>
      <c r="H651" s="1"/>
    </row>
    <row r="652" spans="6:8">
      <c r="F652" s="1"/>
      <c r="G652" s="1"/>
      <c r="H652" s="1"/>
    </row>
    <row r="653" spans="6:8">
      <c r="G653" s="1"/>
      <c r="H653" s="1"/>
    </row>
    <row r="654" spans="6:8">
      <c r="F654" s="1"/>
      <c r="G654" s="1"/>
      <c r="H654" s="1"/>
    </row>
    <row r="655" spans="6:8">
      <c r="G655" s="1"/>
      <c r="H655" s="1"/>
    </row>
    <row r="656" spans="6:8">
      <c r="F656" s="1"/>
      <c r="G656" s="1"/>
      <c r="H656" s="1"/>
    </row>
    <row r="657" spans="6:8">
      <c r="G657" s="1"/>
      <c r="H657" s="1"/>
    </row>
    <row r="658" spans="6:8">
      <c r="F658" s="1"/>
      <c r="G658" s="1"/>
      <c r="H658" s="1"/>
    </row>
    <row r="659" spans="6:8">
      <c r="G659" s="1"/>
      <c r="H659" s="1"/>
    </row>
    <row r="660" spans="6:8">
      <c r="F660" s="1"/>
      <c r="G660" s="1"/>
      <c r="H660" s="1"/>
    </row>
    <row r="661" spans="6:8">
      <c r="G661" s="1"/>
      <c r="H661" s="1"/>
    </row>
    <row r="662" spans="6:8">
      <c r="F662" s="1"/>
      <c r="G662" s="1"/>
      <c r="H662" s="1"/>
    </row>
    <row r="663" spans="6:8">
      <c r="G663" s="1"/>
      <c r="H663" s="1"/>
    </row>
    <row r="664" spans="6:8">
      <c r="F664" s="1"/>
      <c r="G664" s="1"/>
      <c r="H664" s="1"/>
    </row>
    <row r="665" spans="6:8">
      <c r="G665" s="1"/>
      <c r="H665" s="1"/>
    </row>
    <row r="666" spans="6:8">
      <c r="F666" s="1"/>
      <c r="G666" s="1"/>
      <c r="H666" s="1"/>
    </row>
    <row r="667" spans="6:8">
      <c r="G667" s="1"/>
      <c r="H667" s="1"/>
    </row>
    <row r="668" spans="6:8">
      <c r="F668" s="1"/>
      <c r="G668" s="1"/>
      <c r="H668" s="1"/>
    </row>
    <row r="669" spans="6:8">
      <c r="G669" s="1"/>
      <c r="H669" s="1"/>
    </row>
    <row r="670" spans="6:8">
      <c r="F670" s="1"/>
      <c r="G670" s="1"/>
      <c r="H670" s="1"/>
    </row>
    <row r="671" spans="6:8">
      <c r="G671" s="1"/>
      <c r="H671" s="1"/>
    </row>
    <row r="672" spans="6:8">
      <c r="F672" s="1"/>
      <c r="G672" s="1"/>
      <c r="H672" s="1"/>
    </row>
    <row r="673" spans="6:8">
      <c r="G673" s="1"/>
      <c r="H673" s="1"/>
    </row>
    <row r="674" spans="6:8">
      <c r="F674" s="1"/>
      <c r="G674" s="1"/>
      <c r="H674" s="1"/>
    </row>
    <row r="675" spans="6:8">
      <c r="G675" s="1"/>
      <c r="H675" s="1"/>
    </row>
    <row r="676" spans="6:8">
      <c r="F676" s="1"/>
      <c r="G676" s="1"/>
      <c r="H676" s="1"/>
    </row>
    <row r="677" spans="6:8">
      <c r="G677" s="1"/>
      <c r="H677" s="1"/>
    </row>
    <row r="678" spans="6:8">
      <c r="F678" s="1"/>
      <c r="G678" s="1"/>
      <c r="H678" s="1"/>
    </row>
    <row r="679" spans="6:8">
      <c r="G679" s="1"/>
      <c r="H679" s="1"/>
    </row>
    <row r="680" spans="6:8">
      <c r="F680" s="1"/>
      <c r="G680" s="1"/>
      <c r="H680" s="1"/>
    </row>
    <row r="681" spans="6:8">
      <c r="G681" s="1"/>
      <c r="H681" s="1"/>
    </row>
    <row r="682" spans="6:8">
      <c r="F682" s="1"/>
      <c r="G682" s="1"/>
      <c r="H682" s="1"/>
    </row>
    <row r="683" spans="6:8">
      <c r="G683" s="1"/>
      <c r="H683" s="1"/>
    </row>
    <row r="684" spans="6:8">
      <c r="F684" s="1"/>
      <c r="G684" s="1"/>
      <c r="H684" s="1"/>
    </row>
    <row r="685" spans="6:8">
      <c r="G685" s="1"/>
      <c r="H685" s="1"/>
    </row>
    <row r="686" spans="6:8">
      <c r="F686" s="1"/>
      <c r="G686" s="1"/>
      <c r="H686" s="1"/>
    </row>
    <row r="687" spans="6:8">
      <c r="G687" s="1"/>
      <c r="H687" s="1"/>
    </row>
    <row r="688" spans="6:8">
      <c r="F688" s="1"/>
      <c r="G688" s="1"/>
      <c r="H688" s="1"/>
    </row>
    <row r="689" spans="6:8">
      <c r="G689" s="1"/>
      <c r="H689" s="1"/>
    </row>
    <row r="690" spans="6:8">
      <c r="F690" s="1"/>
      <c r="G690" s="1"/>
      <c r="H690" s="1"/>
    </row>
    <row r="691" spans="6:8">
      <c r="G691" s="1"/>
      <c r="H691" s="1"/>
    </row>
    <row r="692" spans="6:8">
      <c r="F692" s="1"/>
      <c r="G692" s="1"/>
      <c r="H692" s="1"/>
    </row>
    <row r="693" spans="6:8">
      <c r="G693" s="1"/>
      <c r="H693" s="1"/>
    </row>
    <row r="694" spans="6:8">
      <c r="F694" s="1"/>
      <c r="G694" s="1"/>
      <c r="H694" s="1"/>
    </row>
    <row r="695" spans="6:8">
      <c r="G695" s="1"/>
      <c r="H695" s="1"/>
    </row>
    <row r="696" spans="6:8">
      <c r="F696" s="1"/>
      <c r="G696" s="1"/>
      <c r="H696" s="1"/>
    </row>
    <row r="697" spans="6:8">
      <c r="G697" s="1"/>
      <c r="H697" s="1"/>
    </row>
    <row r="698" spans="6:8">
      <c r="F698" s="1"/>
      <c r="G698" s="1"/>
      <c r="H698" s="1"/>
    </row>
    <row r="699" spans="6:8">
      <c r="G699" s="1"/>
      <c r="H699" s="1"/>
    </row>
    <row r="700" spans="6:8">
      <c r="F700" s="1"/>
      <c r="G700" s="1"/>
      <c r="H700" s="1"/>
    </row>
    <row r="701" spans="6:8">
      <c r="G701" s="1"/>
      <c r="H701" s="1"/>
    </row>
    <row r="702" spans="6:8">
      <c r="F702" s="1"/>
      <c r="G702" s="1"/>
      <c r="H702" s="1"/>
    </row>
    <row r="703" spans="6:8">
      <c r="G703" s="1"/>
      <c r="H703" s="1"/>
    </row>
    <row r="704" spans="6:8">
      <c r="F704" s="1"/>
      <c r="G704" s="1"/>
      <c r="H704" s="1"/>
    </row>
    <row r="705" spans="6:8">
      <c r="G705" s="1"/>
      <c r="H705" s="1"/>
    </row>
    <row r="706" spans="6:8">
      <c r="F706" s="1"/>
      <c r="G706" s="1"/>
      <c r="H706" s="1"/>
    </row>
    <row r="707" spans="6:8">
      <c r="G707" s="1"/>
      <c r="H707" s="1"/>
    </row>
    <row r="708" spans="6:8">
      <c r="F708" s="1"/>
      <c r="G708" s="1"/>
      <c r="H708" s="1"/>
    </row>
    <row r="709" spans="6:8">
      <c r="G709" s="1"/>
      <c r="H709" s="1"/>
    </row>
    <row r="710" spans="6:8">
      <c r="F710" s="1"/>
      <c r="G710" s="1"/>
      <c r="H710" s="1"/>
    </row>
    <row r="711" spans="6:8">
      <c r="G711" s="1"/>
      <c r="H711" s="1"/>
    </row>
    <row r="712" spans="6:8">
      <c r="F712" s="1"/>
      <c r="G712" s="1"/>
      <c r="H712" s="1"/>
    </row>
    <row r="713" spans="6:8">
      <c r="G713" s="1"/>
      <c r="H713" s="1"/>
    </row>
    <row r="714" spans="6:8">
      <c r="F714" s="1"/>
      <c r="G714" s="1"/>
      <c r="H714" s="1"/>
    </row>
    <row r="715" spans="6:8">
      <c r="G715" s="1"/>
      <c r="H715" s="1"/>
    </row>
    <row r="716" spans="6:8">
      <c r="F716" s="1"/>
      <c r="G716" s="1"/>
      <c r="H716" s="1"/>
    </row>
    <row r="717" spans="6:8">
      <c r="G717" s="1"/>
      <c r="H717" s="1"/>
    </row>
    <row r="718" spans="6:8">
      <c r="F718" s="1"/>
      <c r="G718" s="1"/>
      <c r="H718" s="1"/>
    </row>
    <row r="719" spans="6:8">
      <c r="G719" s="1"/>
      <c r="H719" s="1"/>
    </row>
    <row r="720" spans="6:8">
      <c r="F720" s="1"/>
      <c r="G720" s="1"/>
      <c r="H720" s="1"/>
    </row>
    <row r="721" spans="6:8">
      <c r="G721" s="1"/>
      <c r="H721" s="1"/>
    </row>
    <row r="722" spans="6:8">
      <c r="F722" s="1"/>
      <c r="G722" s="1"/>
      <c r="H722" s="1"/>
    </row>
    <row r="723" spans="6:8">
      <c r="G723" s="1"/>
      <c r="H723" s="1"/>
    </row>
    <row r="724" spans="6:8">
      <c r="F724" s="1"/>
      <c r="G724" s="1"/>
      <c r="H724" s="1"/>
    </row>
    <row r="725" spans="6:8">
      <c r="G725" s="1"/>
      <c r="H725" s="1"/>
    </row>
    <row r="726" spans="6:8">
      <c r="F726" s="1"/>
      <c r="G726" s="1"/>
      <c r="H726" s="1"/>
    </row>
    <row r="727" spans="6:8">
      <c r="G727" s="1"/>
      <c r="H727" s="1"/>
    </row>
    <row r="728" spans="6:8">
      <c r="F728" s="1"/>
      <c r="G728" s="1"/>
      <c r="H728" s="1"/>
    </row>
    <row r="729" spans="6:8">
      <c r="G729" s="1"/>
      <c r="H729" s="1"/>
    </row>
    <row r="730" spans="6:8">
      <c r="F730" s="1"/>
      <c r="G730" s="1"/>
      <c r="H730" s="1"/>
    </row>
    <row r="731" spans="6:8">
      <c r="G731" s="1"/>
      <c r="H731" s="1"/>
    </row>
    <row r="732" spans="6:8">
      <c r="F732" s="1"/>
      <c r="G732" s="1"/>
      <c r="H732" s="1"/>
    </row>
    <row r="733" spans="6:8">
      <c r="G733" s="1"/>
      <c r="H733" s="1"/>
    </row>
    <row r="734" spans="6:8">
      <c r="F734" s="1"/>
      <c r="G734" s="1"/>
      <c r="H734" s="1"/>
    </row>
    <row r="735" spans="6:8">
      <c r="G735" s="1"/>
      <c r="H735" s="1"/>
    </row>
    <row r="736" spans="6:8">
      <c r="F736" s="1"/>
      <c r="G736" s="1"/>
      <c r="H736" s="1"/>
    </row>
    <row r="737" spans="6:8">
      <c r="G737" s="1"/>
      <c r="H737" s="1"/>
    </row>
    <row r="738" spans="6:8">
      <c r="F738" s="1"/>
      <c r="G738" s="1"/>
      <c r="H738" s="1"/>
    </row>
    <row r="739" spans="6:8">
      <c r="G739" s="1"/>
      <c r="H739" s="1"/>
    </row>
    <row r="740" spans="6:8">
      <c r="F740" s="1"/>
      <c r="G740" s="1"/>
      <c r="H740" s="1"/>
    </row>
    <row r="741" spans="6:8">
      <c r="G741" s="1"/>
      <c r="H741" s="1"/>
    </row>
    <row r="742" spans="6:8">
      <c r="F742" s="1"/>
      <c r="G742" s="1"/>
      <c r="H742" s="1"/>
    </row>
    <row r="743" spans="6:8">
      <c r="G743" s="1"/>
      <c r="H743" s="1"/>
    </row>
    <row r="744" spans="6:8">
      <c r="F744" s="1"/>
      <c r="G744" s="1"/>
      <c r="H744" s="1"/>
    </row>
    <row r="745" spans="6:8">
      <c r="G745" s="1"/>
      <c r="H745" s="1"/>
    </row>
    <row r="746" spans="6:8">
      <c r="F746" s="1"/>
      <c r="G746" s="1"/>
      <c r="H746" s="1"/>
    </row>
    <row r="747" spans="6:8">
      <c r="G747" s="1"/>
      <c r="H747" s="1"/>
    </row>
    <row r="748" spans="6:8">
      <c r="F748" s="1"/>
      <c r="G748" s="1"/>
      <c r="H748" s="1"/>
    </row>
    <row r="749" spans="6:8">
      <c r="G749" s="1"/>
      <c r="H749" s="1"/>
    </row>
    <row r="750" spans="6:8">
      <c r="F750" s="1"/>
      <c r="G750" s="1"/>
      <c r="H750" s="1"/>
    </row>
    <row r="751" spans="6:8">
      <c r="G751" s="1"/>
      <c r="H751" s="1"/>
    </row>
    <row r="752" spans="6:8">
      <c r="F752" s="1"/>
      <c r="G752" s="1"/>
      <c r="H752" s="1"/>
    </row>
    <row r="753" spans="6:8">
      <c r="G753" s="1"/>
      <c r="H753" s="1"/>
    </row>
    <row r="754" spans="6:8">
      <c r="F754" s="1"/>
      <c r="G754" s="1"/>
      <c r="H754" s="1"/>
    </row>
    <row r="755" spans="6:8">
      <c r="G755" s="1"/>
      <c r="H755" s="1"/>
    </row>
    <row r="756" spans="6:8">
      <c r="F756" s="1"/>
      <c r="G756" s="1"/>
      <c r="H756" s="1"/>
    </row>
    <row r="757" spans="6:8">
      <c r="G757" s="1"/>
      <c r="H757" s="1"/>
    </row>
    <row r="758" spans="6:8">
      <c r="F758" s="1"/>
      <c r="G758" s="1"/>
      <c r="H758" s="1"/>
    </row>
    <row r="759" spans="6:8">
      <c r="G759" s="1"/>
      <c r="H759" s="1"/>
    </row>
    <row r="760" spans="6:8">
      <c r="F760" s="1"/>
      <c r="G760" s="1"/>
      <c r="H760" s="1"/>
    </row>
    <row r="761" spans="6:8">
      <c r="G761" s="1"/>
      <c r="H761" s="1"/>
    </row>
    <row r="762" spans="6:8">
      <c r="F762" s="1"/>
      <c r="G762" s="1"/>
      <c r="H762" s="1"/>
    </row>
    <row r="763" spans="6:8">
      <c r="G763" s="1"/>
      <c r="H763" s="1"/>
    </row>
    <row r="764" spans="6:8">
      <c r="F764" s="1"/>
      <c r="G764" s="1"/>
      <c r="H764" s="1"/>
    </row>
    <row r="765" spans="6:8">
      <c r="G765" s="1"/>
      <c r="H765" s="1"/>
    </row>
    <row r="766" spans="6:8">
      <c r="F766" s="1"/>
      <c r="G766" s="1"/>
      <c r="H766" s="1"/>
    </row>
    <row r="767" spans="6:8">
      <c r="G767" s="1"/>
      <c r="H767" s="1"/>
    </row>
    <row r="768" spans="6:8">
      <c r="F768" s="1"/>
      <c r="G768" s="1"/>
      <c r="H768" s="1"/>
    </row>
    <row r="769" spans="6:8">
      <c r="G769" s="1"/>
      <c r="H769" s="1"/>
    </row>
    <row r="770" spans="6:8">
      <c r="F770" s="1"/>
      <c r="G770" s="1"/>
      <c r="H770" s="1"/>
    </row>
    <row r="771" spans="6:8">
      <c r="G771" s="1"/>
      <c r="H771" s="1"/>
    </row>
    <row r="772" spans="6:8">
      <c r="F772" s="1"/>
      <c r="G772" s="1"/>
      <c r="H772" s="1"/>
    </row>
    <row r="773" spans="6:8">
      <c r="G773" s="1"/>
      <c r="H773" s="1"/>
    </row>
    <row r="774" spans="6:8">
      <c r="F774" s="1"/>
      <c r="G774" s="1"/>
      <c r="H774" s="1"/>
    </row>
    <row r="775" spans="6:8">
      <c r="G775" s="1"/>
      <c r="H775" s="1"/>
    </row>
    <row r="776" spans="6:8">
      <c r="F776" s="1"/>
      <c r="G776" s="1"/>
      <c r="H776" s="1"/>
    </row>
    <row r="777" spans="6:8">
      <c r="G777" s="1"/>
      <c r="H777" s="1"/>
    </row>
    <row r="778" spans="6:8">
      <c r="F778" s="1"/>
      <c r="G778" s="1"/>
      <c r="H778" s="1"/>
    </row>
    <row r="779" spans="6:8">
      <c r="G779" s="1"/>
      <c r="H779" s="1"/>
    </row>
    <row r="780" spans="6:8">
      <c r="F780" s="1"/>
      <c r="G780" s="1"/>
      <c r="H780" s="1"/>
    </row>
    <row r="781" spans="6:8">
      <c r="G781" s="1"/>
      <c r="H781" s="1"/>
    </row>
    <row r="782" spans="6:8">
      <c r="F782" s="1"/>
      <c r="G782" s="1"/>
      <c r="H782" s="1"/>
    </row>
    <row r="783" spans="6:8">
      <c r="G783" s="1"/>
      <c r="H783" s="1"/>
    </row>
    <row r="784" spans="6:8">
      <c r="F784" s="1"/>
      <c r="G784" s="1"/>
      <c r="H784" s="1"/>
    </row>
    <row r="785" spans="6:8">
      <c r="G785" s="1"/>
      <c r="H785" s="1"/>
    </row>
    <row r="786" spans="6:8">
      <c r="F786" s="1"/>
      <c r="G786" s="1"/>
      <c r="H786" s="1"/>
    </row>
    <row r="787" spans="6:8">
      <c r="G787" s="1"/>
      <c r="H787" s="1"/>
    </row>
    <row r="788" spans="6:8">
      <c r="F788" s="1"/>
      <c r="G788" s="1"/>
      <c r="H788" s="1"/>
    </row>
    <row r="789" spans="6:8">
      <c r="G789" s="1"/>
      <c r="H789" s="1"/>
    </row>
    <row r="790" spans="6:8">
      <c r="F790" s="1"/>
      <c r="G790" s="1"/>
      <c r="H790" s="1"/>
    </row>
    <row r="791" spans="6:8">
      <c r="G791" s="1"/>
      <c r="H791" s="1"/>
    </row>
    <row r="792" spans="6:8">
      <c r="F792" s="1"/>
      <c r="G792" s="1"/>
      <c r="H792" s="1"/>
    </row>
    <row r="793" spans="6:8">
      <c r="G793" s="1"/>
      <c r="H793" s="1"/>
    </row>
    <row r="794" spans="6:8">
      <c r="F794" s="1"/>
      <c r="G794" s="1"/>
      <c r="H794" s="1"/>
    </row>
    <row r="795" spans="6:8">
      <c r="G795" s="1"/>
      <c r="H795" s="1"/>
    </row>
    <row r="796" spans="6:8">
      <c r="F796" s="1"/>
      <c r="G796" s="1"/>
      <c r="H796" s="1"/>
    </row>
    <row r="797" spans="6:8">
      <c r="G797" s="1"/>
      <c r="H797" s="1"/>
    </row>
    <row r="798" spans="6:8">
      <c r="F798" s="1"/>
      <c r="G798" s="1"/>
      <c r="H798" s="1"/>
    </row>
    <row r="799" spans="6:8">
      <c r="G799" s="1"/>
      <c r="H799" s="1"/>
    </row>
    <row r="800" spans="6:8">
      <c r="F800" s="1"/>
      <c r="G800" s="1"/>
      <c r="H800" s="1"/>
    </row>
    <row r="801" spans="6:8">
      <c r="G801" s="1"/>
      <c r="H801" s="1"/>
    </row>
    <row r="802" spans="6:8">
      <c r="F802" s="1"/>
      <c r="G802" s="1"/>
      <c r="H802" s="1"/>
    </row>
    <row r="803" spans="6:8">
      <c r="G803" s="1"/>
      <c r="H803" s="1"/>
    </row>
    <row r="804" spans="6:8">
      <c r="F804" s="1"/>
      <c r="G804" s="1"/>
      <c r="H804" s="1"/>
    </row>
    <row r="805" spans="6:8">
      <c r="G805" s="1"/>
      <c r="H805" s="1"/>
    </row>
    <row r="806" spans="6:8">
      <c r="F806" s="1"/>
      <c r="G806" s="1"/>
      <c r="H806" s="1"/>
    </row>
    <row r="807" spans="6:8">
      <c r="G807" s="1"/>
      <c r="H807" s="1"/>
    </row>
    <row r="808" spans="6:8">
      <c r="F808" s="1"/>
      <c r="G808" s="1"/>
      <c r="H808" s="1"/>
    </row>
    <row r="809" spans="6:8">
      <c r="G809" s="1"/>
      <c r="H809" s="1"/>
    </row>
    <row r="810" spans="6:8">
      <c r="F810" s="1"/>
      <c r="G810" s="1"/>
      <c r="H810" s="1"/>
    </row>
    <row r="811" spans="6:8">
      <c r="G811" s="1"/>
      <c r="H811" s="1"/>
    </row>
    <row r="812" spans="6:8">
      <c r="F812" s="1"/>
      <c r="G812" s="1"/>
      <c r="H812" s="1"/>
    </row>
    <row r="813" spans="6:8">
      <c r="G813" s="1"/>
      <c r="H813" s="1"/>
    </row>
    <row r="814" spans="6:8">
      <c r="F814" s="1"/>
      <c r="G814" s="1"/>
      <c r="H814" s="1"/>
    </row>
    <row r="815" spans="6:8">
      <c r="G815" s="1"/>
      <c r="H815" s="1"/>
    </row>
    <row r="816" spans="6:8">
      <c r="F816" s="1"/>
      <c r="G816" s="1"/>
      <c r="H816" s="1"/>
    </row>
    <row r="817" spans="6:8">
      <c r="G817" s="1"/>
      <c r="H817" s="1"/>
    </row>
    <row r="818" spans="6:8">
      <c r="F818" s="1"/>
      <c r="G818" s="1"/>
      <c r="H818" s="1"/>
    </row>
    <row r="819" spans="6:8">
      <c r="G819" s="1"/>
      <c r="H819" s="1"/>
    </row>
    <row r="820" spans="6:8">
      <c r="F820" s="1"/>
      <c r="G820" s="1"/>
      <c r="H820" s="1"/>
    </row>
    <row r="821" spans="6:8">
      <c r="G821" s="1"/>
      <c r="H821" s="1"/>
    </row>
    <row r="822" spans="6:8">
      <c r="F822" s="1"/>
      <c r="G822" s="1"/>
      <c r="H822" s="1"/>
    </row>
    <row r="823" spans="6:8">
      <c r="G823" s="1"/>
      <c r="H823" s="1"/>
    </row>
    <row r="824" spans="6:8">
      <c r="F824" s="1"/>
      <c r="G824" s="1"/>
      <c r="H824" s="1"/>
    </row>
    <row r="825" spans="6:8">
      <c r="G825" s="1"/>
      <c r="H825" s="1"/>
    </row>
    <row r="826" spans="6:8">
      <c r="F826" s="1"/>
      <c r="G826" s="1"/>
      <c r="H826" s="1"/>
    </row>
    <row r="827" spans="6:8">
      <c r="G827" s="1"/>
      <c r="H827" s="1"/>
    </row>
    <row r="828" spans="6:8">
      <c r="F828" s="1"/>
      <c r="G828" s="1"/>
      <c r="H828" s="1"/>
    </row>
    <row r="829" spans="6:8">
      <c r="G829" s="1"/>
      <c r="H829" s="1"/>
    </row>
    <row r="830" spans="6:8">
      <c r="F830" s="1"/>
      <c r="G830" s="1"/>
      <c r="H830" s="1"/>
    </row>
    <row r="831" spans="6:8">
      <c r="G831" s="1"/>
      <c r="H831" s="1"/>
    </row>
    <row r="832" spans="6:8">
      <c r="F832" s="1"/>
      <c r="G832" s="1"/>
      <c r="H832" s="1"/>
    </row>
    <row r="833" spans="6:8">
      <c r="G833" s="1"/>
      <c r="H833" s="1"/>
    </row>
    <row r="834" spans="6:8">
      <c r="F834" s="1"/>
      <c r="G834" s="1"/>
      <c r="H834" s="1"/>
    </row>
    <row r="835" spans="6:8">
      <c r="G835" s="1"/>
      <c r="H835" s="1"/>
    </row>
    <row r="836" spans="6:8">
      <c r="F836" s="1"/>
      <c r="G836" s="1"/>
      <c r="H836" s="1"/>
    </row>
    <row r="837" spans="6:8">
      <c r="G837" s="1"/>
      <c r="H837" s="1"/>
    </row>
    <row r="838" spans="6:8">
      <c r="F838" s="1"/>
      <c r="G838" s="1"/>
      <c r="H838" s="1"/>
    </row>
    <row r="839" spans="6:8">
      <c r="G839" s="1"/>
      <c r="H839" s="1"/>
    </row>
    <row r="840" spans="6:8">
      <c r="F840" s="1"/>
      <c r="G840" s="1"/>
      <c r="H840" s="1"/>
    </row>
    <row r="841" spans="6:8">
      <c r="G841" s="1"/>
      <c r="H841" s="1"/>
    </row>
    <row r="842" spans="6:8">
      <c r="F842" s="1"/>
      <c r="G842" s="1"/>
      <c r="H842" s="1"/>
    </row>
    <row r="843" spans="6:8">
      <c r="G843" s="1"/>
      <c r="H843" s="1"/>
    </row>
    <row r="844" spans="6:8">
      <c r="F844" s="1"/>
      <c r="G844" s="1"/>
      <c r="H844" s="1"/>
    </row>
    <row r="845" spans="6:8">
      <c r="G845" s="1"/>
      <c r="H845" s="1"/>
    </row>
    <row r="846" spans="6:8">
      <c r="F846" s="1"/>
      <c r="G846" s="1"/>
      <c r="H846" s="1"/>
    </row>
    <row r="847" spans="6:8">
      <c r="G847" s="1"/>
      <c r="H847" s="1"/>
    </row>
    <row r="848" spans="6:8">
      <c r="F848" s="1"/>
      <c r="G848" s="1"/>
      <c r="H848" s="1"/>
    </row>
    <row r="849" spans="6:8">
      <c r="G849" s="1"/>
      <c r="H849" s="1"/>
    </row>
    <row r="850" spans="6:8">
      <c r="F850" s="1"/>
      <c r="G850" s="1"/>
      <c r="H850" s="1"/>
    </row>
    <row r="851" spans="6:8">
      <c r="G851" s="1"/>
      <c r="H851" s="1"/>
    </row>
    <row r="852" spans="6:8">
      <c r="F852" s="1"/>
      <c r="G852" s="1"/>
      <c r="H852" s="1"/>
    </row>
    <row r="853" spans="6:8">
      <c r="G853" s="1"/>
      <c r="H853" s="1"/>
    </row>
    <row r="854" spans="6:8">
      <c r="F854" s="1"/>
      <c r="G854" s="1"/>
      <c r="H854" s="1"/>
    </row>
    <row r="855" spans="6:8">
      <c r="G855" s="1"/>
      <c r="H855" s="1"/>
    </row>
    <row r="856" spans="6:8">
      <c r="F856" s="1"/>
      <c r="G856" s="1"/>
      <c r="H856" s="1"/>
    </row>
    <row r="857" spans="6:8">
      <c r="G857" s="1"/>
      <c r="H857" s="1"/>
    </row>
    <row r="858" spans="6:8">
      <c r="F858" s="1"/>
      <c r="G858" s="1"/>
      <c r="H858" s="1"/>
    </row>
    <row r="859" spans="6:8">
      <c r="G859" s="1"/>
      <c r="H859" s="1"/>
    </row>
    <row r="860" spans="6:8">
      <c r="F860" s="1"/>
      <c r="G860" s="1"/>
      <c r="H860" s="1"/>
    </row>
    <row r="861" spans="6:8">
      <c r="G861" s="1"/>
      <c r="H861" s="1"/>
    </row>
    <row r="862" spans="6:8">
      <c r="F862" s="1"/>
      <c r="G862" s="1"/>
      <c r="H862" s="1"/>
    </row>
    <row r="863" spans="6:8">
      <c r="G863" s="1"/>
      <c r="H863" s="1"/>
    </row>
    <row r="864" spans="6:8">
      <c r="F864" s="1"/>
      <c r="G864" s="1"/>
      <c r="H864" s="1"/>
    </row>
    <row r="865" spans="6:8">
      <c r="G865" s="1"/>
      <c r="H865" s="1"/>
    </row>
    <row r="866" spans="6:8">
      <c r="F866" s="1"/>
      <c r="G866" s="1"/>
      <c r="H866" s="1"/>
    </row>
    <row r="867" spans="6:8">
      <c r="G867" s="1"/>
      <c r="H867" s="1"/>
    </row>
    <row r="868" spans="6:8">
      <c r="F868" s="1"/>
      <c r="G868" s="1"/>
      <c r="H868" s="1"/>
    </row>
    <row r="869" spans="6:8">
      <c r="G869" s="1"/>
      <c r="H869" s="1"/>
    </row>
    <row r="870" spans="6:8">
      <c r="F870" s="1"/>
      <c r="G870" s="1"/>
      <c r="H870" s="1"/>
    </row>
    <row r="871" spans="6:8">
      <c r="G871" s="1"/>
      <c r="H871" s="1"/>
    </row>
    <row r="872" spans="6:8">
      <c r="F872" s="1"/>
      <c r="G872" s="1"/>
      <c r="H872" s="1"/>
    </row>
    <row r="873" spans="6:8">
      <c r="G873" s="1"/>
      <c r="H873" s="1"/>
    </row>
    <row r="874" spans="6:8">
      <c r="F874" s="1"/>
      <c r="G874" s="1"/>
      <c r="H874" s="1"/>
    </row>
    <row r="875" spans="6:8">
      <c r="G875" s="1"/>
      <c r="H875" s="1"/>
    </row>
    <row r="876" spans="6:8">
      <c r="F876" s="1"/>
      <c r="G876" s="1"/>
      <c r="H876" s="1"/>
    </row>
    <row r="877" spans="6:8">
      <c r="G877" s="1"/>
      <c r="H877" s="1"/>
    </row>
    <row r="878" spans="6:8">
      <c r="F878" s="1"/>
      <c r="G878" s="1"/>
      <c r="H878" s="1"/>
    </row>
    <row r="879" spans="6:8">
      <c r="G879" s="1"/>
      <c r="H879" s="1"/>
    </row>
    <row r="880" spans="6:8">
      <c r="F880" s="1"/>
      <c r="G880" s="1"/>
      <c r="H880" s="1"/>
    </row>
    <row r="881" spans="6:8">
      <c r="G881" s="1"/>
      <c r="H881" s="1"/>
    </row>
    <row r="882" spans="6:8">
      <c r="F882" s="1"/>
      <c r="G882" s="1"/>
      <c r="H882" s="1"/>
    </row>
    <row r="883" spans="6:8">
      <c r="G883" s="1"/>
      <c r="H883" s="1"/>
    </row>
    <row r="884" spans="6:8">
      <c r="F884" s="1"/>
      <c r="G884" s="1"/>
      <c r="H884" s="1"/>
    </row>
    <row r="885" spans="6:8">
      <c r="G885" s="1"/>
      <c r="H885" s="1"/>
    </row>
    <row r="886" spans="6:8">
      <c r="F886" s="1"/>
      <c r="G886" s="1"/>
      <c r="H886" s="1"/>
    </row>
    <row r="887" spans="6:8">
      <c r="G887" s="1"/>
      <c r="H887" s="1"/>
    </row>
    <row r="888" spans="6:8">
      <c r="F888" s="1"/>
      <c r="G888" s="1"/>
      <c r="H888" s="1"/>
    </row>
    <row r="889" spans="6:8">
      <c r="G889" s="1"/>
      <c r="H889" s="1"/>
    </row>
    <row r="890" spans="6:8">
      <c r="F890" s="1"/>
      <c r="G890" s="1"/>
      <c r="H890" s="1"/>
    </row>
    <row r="891" spans="6:8">
      <c r="G891" s="1"/>
      <c r="H891" s="1"/>
    </row>
    <row r="892" spans="6:8">
      <c r="F892" s="1"/>
      <c r="G892" s="1"/>
      <c r="H892" s="1"/>
    </row>
    <row r="893" spans="6:8">
      <c r="G893" s="1"/>
      <c r="H893" s="1"/>
    </row>
    <row r="894" spans="6:8">
      <c r="F894" s="1"/>
      <c r="G894" s="1"/>
      <c r="H894" s="1"/>
    </row>
    <row r="895" spans="6:8">
      <c r="G895" s="1"/>
      <c r="H895" s="1"/>
    </row>
    <row r="896" spans="6:8">
      <c r="F896" s="1"/>
      <c r="G896" s="1"/>
      <c r="H896" s="1"/>
    </row>
    <row r="897" spans="6:8">
      <c r="G897" s="1"/>
      <c r="H897" s="1"/>
    </row>
    <row r="898" spans="6:8">
      <c r="F898" s="1"/>
      <c r="G898" s="1"/>
      <c r="H898" s="1"/>
    </row>
    <row r="899" spans="6:8">
      <c r="G899" s="1"/>
      <c r="H899" s="1"/>
    </row>
    <row r="900" spans="6:8">
      <c r="F900" s="1"/>
      <c r="G900" s="1"/>
      <c r="H900" s="1"/>
    </row>
    <row r="901" spans="6:8">
      <c r="G901" s="1"/>
      <c r="H901" s="1"/>
    </row>
    <row r="902" spans="6:8">
      <c r="F902" s="1"/>
      <c r="G902" s="1"/>
      <c r="H902" s="1"/>
    </row>
    <row r="903" spans="6:8">
      <c r="G903" s="1"/>
      <c r="H903" s="1"/>
    </row>
    <row r="904" spans="6:8">
      <c r="F904" s="1"/>
      <c r="G904" s="1"/>
      <c r="H904" s="1"/>
    </row>
    <row r="905" spans="6:8">
      <c r="G905" s="1"/>
      <c r="H905" s="1"/>
    </row>
    <row r="906" spans="6:8">
      <c r="F906" s="1"/>
      <c r="G906" s="1"/>
      <c r="H906" s="1"/>
    </row>
    <row r="907" spans="6:8">
      <c r="G907" s="1"/>
      <c r="H907" s="1"/>
    </row>
    <row r="908" spans="6:8">
      <c r="F908" s="1"/>
      <c r="G908" s="1"/>
      <c r="H908" s="1"/>
    </row>
    <row r="909" spans="6:8">
      <c r="G909" s="1"/>
      <c r="H909" s="1"/>
    </row>
    <row r="910" spans="6:8">
      <c r="F910" s="1"/>
      <c r="G910" s="1"/>
      <c r="H910" s="1"/>
    </row>
    <row r="911" spans="6:8">
      <c r="G911" s="1"/>
      <c r="H911" s="1"/>
    </row>
    <row r="912" spans="6:8">
      <c r="F912" s="1"/>
      <c r="G912" s="1"/>
      <c r="H912" s="1"/>
    </row>
    <row r="913" spans="6:8">
      <c r="G913" s="1"/>
      <c r="H913" s="1"/>
    </row>
    <row r="914" spans="6:8">
      <c r="F914" s="1"/>
      <c r="G914" s="1"/>
      <c r="H914" s="1"/>
    </row>
    <row r="915" spans="6:8">
      <c r="G915" s="1"/>
      <c r="H915" s="1"/>
    </row>
    <row r="916" spans="6:8">
      <c r="F916" s="1"/>
      <c r="G916" s="1"/>
      <c r="H916" s="1"/>
    </row>
    <row r="917" spans="6:8">
      <c r="G917" s="1"/>
      <c r="H917" s="1"/>
    </row>
    <row r="918" spans="6:8">
      <c r="F918" s="1"/>
      <c r="G918" s="1"/>
      <c r="H918" s="1"/>
    </row>
    <row r="919" spans="6:8">
      <c r="G919" s="1"/>
      <c r="H919" s="1"/>
    </row>
    <row r="920" spans="6:8">
      <c r="F920" s="1"/>
      <c r="G920" s="1"/>
      <c r="H920" s="1"/>
    </row>
    <row r="921" spans="6:8">
      <c r="G921" s="1"/>
      <c r="H921" s="1"/>
    </row>
    <row r="922" spans="6:8">
      <c r="F922" s="1"/>
      <c r="G922" s="1"/>
      <c r="H922" s="1"/>
    </row>
    <row r="923" spans="6:8">
      <c r="G923" s="1"/>
      <c r="H923" s="1"/>
    </row>
    <row r="924" spans="6:8">
      <c r="F924" s="1"/>
      <c r="G924" s="1"/>
      <c r="H924" s="1"/>
    </row>
    <row r="925" spans="6:8">
      <c r="G925" s="1"/>
      <c r="H925" s="1"/>
    </row>
    <row r="926" spans="6:8">
      <c r="F926" s="1"/>
      <c r="G926" s="1"/>
      <c r="H926" s="1"/>
    </row>
    <row r="927" spans="6:8">
      <c r="G927" s="1"/>
      <c r="H927" s="1"/>
    </row>
    <row r="928" spans="6:8">
      <c r="F928" s="1"/>
      <c r="G928" s="1"/>
      <c r="H928" s="1"/>
    </row>
    <row r="929" spans="6:8">
      <c r="G929" s="1"/>
      <c r="H929" s="1"/>
    </row>
    <row r="930" spans="6:8">
      <c r="F930" s="1"/>
      <c r="G930" s="1"/>
      <c r="H930" s="1"/>
    </row>
    <row r="931" spans="6:8">
      <c r="G931" s="1"/>
      <c r="H931" s="1"/>
    </row>
    <row r="932" spans="6:8">
      <c r="F932" s="1"/>
      <c r="G932" s="1"/>
      <c r="H932" s="1"/>
    </row>
    <row r="933" spans="6:8">
      <c r="G933" s="1"/>
      <c r="H933" s="1"/>
    </row>
    <row r="934" spans="6:8">
      <c r="F934" s="1"/>
      <c r="G934" s="1"/>
      <c r="H934" s="1"/>
    </row>
    <row r="935" spans="6:8">
      <c r="G935" s="1"/>
      <c r="H935" s="1"/>
    </row>
    <row r="936" spans="6:8">
      <c r="F936" s="1"/>
      <c r="G936" s="1"/>
      <c r="H936" s="1"/>
    </row>
    <row r="937" spans="6:8">
      <c r="G937" s="1"/>
      <c r="H937" s="1"/>
    </row>
    <row r="938" spans="6:8">
      <c r="F938" s="1"/>
      <c r="G938" s="1"/>
      <c r="H938" s="1"/>
    </row>
    <row r="939" spans="6:8">
      <c r="G939" s="1"/>
      <c r="H939" s="1"/>
    </row>
    <row r="940" spans="6:8">
      <c r="F940" s="1"/>
      <c r="G940" s="1"/>
      <c r="H940" s="1"/>
    </row>
    <row r="941" spans="6:8">
      <c r="G941" s="1"/>
      <c r="H941" s="1"/>
    </row>
    <row r="942" spans="6:8">
      <c r="F942" s="1"/>
      <c r="G942" s="1"/>
      <c r="H942" s="1"/>
    </row>
    <row r="943" spans="6:8">
      <c r="G943" s="1"/>
      <c r="H943" s="1"/>
    </row>
    <row r="944" spans="6:8">
      <c r="F944" s="1"/>
      <c r="G944" s="1"/>
      <c r="H944" s="1"/>
    </row>
    <row r="945" spans="6:8">
      <c r="G945" s="1"/>
      <c r="H945" s="1"/>
    </row>
    <row r="946" spans="6:8">
      <c r="F946" s="1"/>
      <c r="G946" s="1"/>
      <c r="H946" s="1"/>
    </row>
    <row r="947" spans="6:8">
      <c r="G947" s="1"/>
      <c r="H947" s="1"/>
    </row>
    <row r="948" spans="6:8">
      <c r="F948" s="1"/>
      <c r="G948" s="1"/>
      <c r="H948" s="1"/>
    </row>
    <row r="949" spans="6:8">
      <c r="G949" s="1"/>
      <c r="H949" s="1"/>
    </row>
    <row r="950" spans="6:8">
      <c r="F950" s="1"/>
      <c r="G950" s="1"/>
      <c r="H950" s="1"/>
    </row>
    <row r="951" spans="6:8">
      <c r="G951" s="1"/>
      <c r="H951" s="1"/>
    </row>
    <row r="952" spans="6:8">
      <c r="F952" s="1"/>
      <c r="G952" s="1"/>
      <c r="H952" s="1"/>
    </row>
    <row r="953" spans="6:8">
      <c r="G953" s="1"/>
      <c r="H953" s="1"/>
    </row>
    <row r="954" spans="6:8">
      <c r="F954" s="1"/>
      <c r="G954" s="1"/>
      <c r="H954" s="1"/>
    </row>
    <row r="955" spans="6:8">
      <c r="G955" s="1"/>
      <c r="H955" s="1"/>
    </row>
    <row r="956" spans="6:8">
      <c r="F956" s="1"/>
      <c r="G956" s="1"/>
      <c r="H956" s="1"/>
    </row>
    <row r="957" spans="6:8">
      <c r="G957" s="1"/>
      <c r="H957" s="1"/>
    </row>
    <row r="958" spans="6:8">
      <c r="F958" s="1"/>
      <c r="G958" s="1"/>
      <c r="H958" s="1"/>
    </row>
    <row r="959" spans="6:8">
      <c r="G959" s="1"/>
      <c r="H959" s="1"/>
    </row>
    <row r="960" spans="6:8">
      <c r="F960" s="1"/>
      <c r="G960" s="1"/>
      <c r="H960" s="1"/>
    </row>
    <row r="961" spans="6:8">
      <c r="G961" s="1"/>
      <c r="H961" s="1"/>
    </row>
    <row r="962" spans="6:8">
      <c r="F962" s="1"/>
      <c r="G962" s="1"/>
      <c r="H962" s="1"/>
    </row>
    <row r="963" spans="6:8">
      <c r="G963" s="1"/>
      <c r="H963" s="1"/>
    </row>
    <row r="964" spans="6:8">
      <c r="F964" s="1"/>
      <c r="G964" s="1"/>
      <c r="H964" s="1"/>
    </row>
    <row r="965" spans="6:8">
      <c r="G965" s="1"/>
      <c r="H965" s="1"/>
    </row>
    <row r="966" spans="6:8">
      <c r="F966" s="1"/>
      <c r="G966" s="1"/>
      <c r="H966" s="1"/>
    </row>
    <row r="967" spans="6:8">
      <c r="G967" s="1"/>
      <c r="H967" s="1"/>
    </row>
    <row r="968" spans="6:8">
      <c r="F968" s="1"/>
      <c r="G968" s="1"/>
      <c r="H968" s="1"/>
    </row>
    <row r="969" spans="6:8">
      <c r="G969" s="1"/>
      <c r="H969" s="1"/>
    </row>
    <row r="970" spans="6:8">
      <c r="F970" s="1"/>
      <c r="G970" s="1"/>
      <c r="H970" s="1"/>
    </row>
    <row r="971" spans="6:8">
      <c r="G971" s="1"/>
      <c r="H971" s="1"/>
    </row>
    <row r="972" spans="6:8">
      <c r="F972" s="1"/>
      <c r="G972" s="1"/>
      <c r="H972" s="1"/>
    </row>
    <row r="973" spans="6:8">
      <c r="G973" s="1"/>
      <c r="H973" s="1"/>
    </row>
    <row r="974" spans="6:8">
      <c r="F974" s="1"/>
      <c r="G974" s="1"/>
      <c r="H974" s="1"/>
    </row>
    <row r="975" spans="6:8">
      <c r="G975" s="1"/>
      <c r="H975" s="1"/>
    </row>
    <row r="976" spans="6:8">
      <c r="F976" s="1"/>
      <c r="G976" s="1"/>
      <c r="H976" s="1"/>
    </row>
    <row r="977" spans="6:8">
      <c r="G977" s="1"/>
      <c r="H977" s="1"/>
    </row>
    <row r="978" spans="6:8">
      <c r="F978" s="1"/>
      <c r="G978" s="1"/>
      <c r="H978" s="1"/>
    </row>
    <row r="979" spans="6:8">
      <c r="G979" s="1"/>
      <c r="H979" s="1"/>
    </row>
    <row r="980" spans="6:8">
      <c r="F980" s="1"/>
      <c r="G980" s="1"/>
      <c r="H980" s="1"/>
    </row>
    <row r="981" spans="6:8">
      <c r="G981" s="1"/>
      <c r="H981" s="1"/>
    </row>
    <row r="982" spans="6:8">
      <c r="F982" s="1"/>
      <c r="G982" s="1"/>
      <c r="H982" s="1"/>
    </row>
    <row r="983" spans="6:8">
      <c r="G983" s="1"/>
      <c r="H983" s="1"/>
    </row>
    <row r="984" spans="6:8">
      <c r="F984" s="1"/>
      <c r="G984" s="1"/>
      <c r="H984" s="1"/>
    </row>
    <row r="985" spans="6:8">
      <c r="G985" s="1"/>
      <c r="H985" s="1"/>
    </row>
    <row r="986" spans="6:8">
      <c r="F986" s="1"/>
      <c r="G986" s="1"/>
      <c r="H986" s="1"/>
    </row>
    <row r="987" spans="6:8">
      <c r="G987" s="1"/>
      <c r="H987" s="1"/>
    </row>
    <row r="988" spans="6:8">
      <c r="F988" s="1"/>
      <c r="G988" s="1"/>
      <c r="H988" s="1"/>
    </row>
    <row r="989" spans="6:8">
      <c r="G989" s="1"/>
      <c r="H989" s="1"/>
    </row>
    <row r="990" spans="6:8">
      <c r="F990" s="1"/>
      <c r="G990" s="1"/>
      <c r="H990" s="1"/>
    </row>
    <row r="991" spans="6:8">
      <c r="G991" s="1"/>
      <c r="H991" s="1"/>
    </row>
    <row r="992" spans="6:8">
      <c r="F992" s="1"/>
      <c r="G992" s="1"/>
      <c r="H992" s="1"/>
    </row>
    <row r="993" spans="6:8">
      <c r="G993" s="1"/>
      <c r="H993" s="1"/>
    </row>
    <row r="994" spans="6:8">
      <c r="F994" s="1"/>
      <c r="G994" s="1"/>
      <c r="H994" s="1"/>
    </row>
    <row r="995" spans="6:8">
      <c r="G995" s="1"/>
      <c r="H995" s="1"/>
    </row>
    <row r="996" spans="6:8">
      <c r="F996" s="1"/>
      <c r="G996" s="1"/>
      <c r="H996" s="1"/>
    </row>
    <row r="997" spans="6:8">
      <c r="G997" s="1"/>
      <c r="H997" s="1"/>
    </row>
    <row r="998" spans="6:8">
      <c r="F998" s="1"/>
      <c r="G998" s="1"/>
      <c r="H998" s="1"/>
    </row>
    <row r="999" spans="6:8">
      <c r="G999" s="1"/>
      <c r="H999" s="1"/>
    </row>
    <row r="1000" spans="6:8">
      <c r="F1000" s="1"/>
      <c r="G1000" s="1"/>
      <c r="H1000" s="1"/>
    </row>
    <row r="1001" spans="6:8">
      <c r="G1001" s="1"/>
      <c r="H1001" s="1"/>
    </row>
    <row r="1002" spans="6:8">
      <c r="F1002" s="1"/>
      <c r="G1002" s="1"/>
      <c r="H1002" s="1"/>
    </row>
    <row r="1003" spans="6:8">
      <c r="G1003" s="1"/>
      <c r="H1003" s="1"/>
    </row>
    <row r="1004" spans="6:8">
      <c r="F1004" s="1"/>
      <c r="G1004" s="1"/>
      <c r="H1004" s="1"/>
    </row>
    <row r="1005" spans="6:8">
      <c r="G1005" s="1"/>
      <c r="H1005" s="1"/>
    </row>
    <row r="1006" spans="6:8">
      <c r="F1006" s="1"/>
      <c r="G1006" s="1"/>
      <c r="H1006" s="1"/>
    </row>
    <row r="1007" spans="6:8">
      <c r="G1007" s="1"/>
      <c r="H1007" s="1"/>
    </row>
    <row r="1008" spans="6:8">
      <c r="F1008" s="1"/>
      <c r="G1008" s="1"/>
      <c r="H1008" s="1"/>
    </row>
    <row r="1009" spans="6:8">
      <c r="G1009" s="1"/>
      <c r="H1009" s="1"/>
    </row>
    <row r="1010" spans="6:8">
      <c r="F1010" s="1"/>
      <c r="G1010" s="1"/>
      <c r="H1010" s="1"/>
    </row>
    <row r="1011" spans="6:8">
      <c r="G1011" s="1"/>
      <c r="H1011" s="1"/>
    </row>
    <row r="1012" spans="6:8">
      <c r="F1012" s="1"/>
      <c r="G1012" s="1"/>
      <c r="H1012" s="1"/>
    </row>
    <row r="1013" spans="6:8">
      <c r="G1013" s="1"/>
      <c r="H1013" s="1"/>
    </row>
    <row r="1014" spans="6:8">
      <c r="F1014" s="1"/>
      <c r="G1014" s="1"/>
      <c r="H1014" s="1"/>
    </row>
    <row r="1015" spans="6:8">
      <c r="G1015" s="1"/>
      <c r="H1015" s="1"/>
    </row>
    <row r="1016" spans="6:8">
      <c r="F1016" s="1"/>
      <c r="G1016" s="1"/>
      <c r="H1016" s="1"/>
    </row>
    <row r="1017" spans="6:8">
      <c r="G1017" s="1"/>
      <c r="H1017" s="1"/>
    </row>
    <row r="1018" spans="6:8">
      <c r="F1018" s="1"/>
      <c r="G1018" s="1"/>
      <c r="H1018" s="1"/>
    </row>
    <row r="1019" spans="6:8">
      <c r="G1019" s="1"/>
      <c r="H1019" s="1"/>
    </row>
    <row r="1020" spans="6:8">
      <c r="F1020" s="1"/>
      <c r="G1020" s="1"/>
      <c r="H1020" s="1"/>
    </row>
    <row r="1021" spans="6:8">
      <c r="G1021" s="1"/>
      <c r="H1021" s="1"/>
    </row>
    <row r="1022" spans="6:8">
      <c r="F1022" s="1"/>
      <c r="G1022" s="1"/>
      <c r="H1022" s="1"/>
    </row>
    <row r="1023" spans="6:8">
      <c r="G1023" s="1"/>
      <c r="H1023" s="1"/>
    </row>
    <row r="1024" spans="6:8">
      <c r="F1024" s="1"/>
      <c r="G1024" s="1"/>
      <c r="H1024" s="1"/>
    </row>
    <row r="1025" spans="7:8">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22</vt:i4>
      </vt:variant>
    </vt:vector>
  </HeadingPairs>
  <TitlesOfParts>
    <vt:vector size="29" baseType="lpstr">
      <vt:lpstr>DATOS GENERALES</vt:lpstr>
      <vt:lpstr>CAPTURA DP</vt:lpstr>
      <vt:lpstr>CAPTURA LISTADO</vt:lpstr>
      <vt:lpstr>CARTA-COTIZACION</vt:lpstr>
      <vt:lpstr>CARTA COTIZACION</vt:lpstr>
      <vt:lpstr>DATOS</vt:lpstr>
      <vt:lpstr>RESUMEN</vt:lpstr>
      <vt:lpstr>a</vt:lpstr>
      <vt:lpstr>'CARTA COTIZACION'!Área_de_impresión</vt:lpstr>
      <vt:lpstr>'CARTA-COTIZACION'!Área_de_impresión</vt:lpstr>
      <vt:lpstr>b</vt:lpstr>
      <vt:lpstr>d</vt:lpstr>
      <vt:lpstr>e</vt:lpstr>
      <vt:lpstr>g</vt:lpstr>
      <vt:lpstr>H</vt:lpstr>
      <vt:lpstr>IVA</vt:lpstr>
      <vt:lpstr>M</vt:lpstr>
      <vt:lpstr>MATERNIDAD</vt:lpstr>
      <vt:lpstr>max</vt:lpstr>
      <vt:lpstr>Nueva</vt:lpstr>
      <vt:lpstr>p</vt:lpstr>
      <vt:lpstr>pcosto</vt:lpstr>
      <vt:lpstr>PRIMA_N</vt:lpstr>
      <vt:lpstr>suma</vt:lpstr>
      <vt:lpstr>'CARTA COTIZACION'!Títulos_a_imprimir</vt:lpstr>
      <vt:lpstr>'CARTA-COTIZACION'!Títulos_a_imprimir</vt:lpstr>
      <vt:lpstr>ve</vt:lpstr>
      <vt:lpstr>vo</vt:lpstr>
      <vt:lpstr>vp</vt:lpstr>
    </vt:vector>
  </TitlesOfParts>
  <Manager>Act. Carlos Colin Moreno</Manager>
  <Company>Seguros Atlas, S.A.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ADMIN</cp:lastModifiedBy>
  <cp:lastPrinted>2024-07-02T16:05:18Z</cp:lastPrinted>
  <dcterms:created xsi:type="dcterms:W3CDTF">2002-02-17T01:33:09Z</dcterms:created>
  <dcterms:modified xsi:type="dcterms:W3CDTF">2024-07-05T22:24:39Z</dcterms:modified>
</cp:coreProperties>
</file>