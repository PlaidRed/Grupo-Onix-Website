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bookViews>
    <workbookView xWindow="0" yWindow="0" windowWidth="19180" windowHeight="6700" tabRatio="671" firstSheet="2" activeTab="2"/>
  </bookViews>
  <sheets>
    <sheet name="Tarifa" sheetId="38" state="veryHidden" r:id="rId1"/>
    <sheet name="Algoritmo Calculo FADH" sheetId="40" state="veryHidden" r:id="rId2"/>
    <sheet name="Cotizador" sheetId="37" r:id="rId3"/>
    <sheet name="Cotizacion" sheetId="44" state="veryHidden" r:id="rId4"/>
    <sheet name="MunicipiosJalisco" sheetId="45" state="hidden" r:id="rId5"/>
  </sheets>
  <externalReferences>
    <externalReference r:id="rId6"/>
    <externalReference r:id="rId7"/>
    <externalReference r:id="rId8"/>
  </externalReferences>
  <definedNames>
    <definedName name="Alto" localSheetId="1">#REF!</definedName>
    <definedName name="Alto" localSheetId="2">#REF!</definedName>
    <definedName name="Alto">#REF!</definedName>
    <definedName name="_xlnm.Print_Area" localSheetId="2">Cotizador!$B$2:$N$39</definedName>
    <definedName name="COASEGURO" localSheetId="1">#REF!</definedName>
    <definedName name="COASEGURO" localSheetId="2">#REF!</definedName>
    <definedName name="COASEGURO">#REF!</definedName>
    <definedName name="DEDUCIBLE" localSheetId="1">#REF!</definedName>
    <definedName name="DEDUCIBLE" localSheetId="2">#REF!</definedName>
    <definedName name="DEDUCIBLE">#REF!</definedName>
    <definedName name="EDAD" localSheetId="1">#REF!</definedName>
    <definedName name="EDAD" localSheetId="2">Cotizador!#REF!</definedName>
    <definedName name="EDAD">#REF!</definedName>
    <definedName name="ESTADO" localSheetId="1">[1]Tablas!$Q$5:$Q$36</definedName>
    <definedName name="ESTADO" localSheetId="2">#REF!</definedName>
    <definedName name="ESTADO">[2]Tablas!$Q$5:$Q$36</definedName>
    <definedName name="Estandar" localSheetId="1">#REF!</definedName>
    <definedName name="Estandar" localSheetId="2">#REF!</definedName>
    <definedName name="Estandar">#REF!</definedName>
    <definedName name="FAYUDADIARIA" localSheetId="1">#REF!</definedName>
    <definedName name="FAYUDADIARIA" localSheetId="2">#REF!</definedName>
    <definedName name="FAYUDADIARIA">#REF!</definedName>
    <definedName name="FCOBEXT" localSheetId="1">#REF!</definedName>
    <definedName name="FCOBEXT" localSheetId="2">#REF!</definedName>
    <definedName name="FCOBEXT">#REF!</definedName>
    <definedName name="FCONTINUIDAD" localSheetId="1">#REF!</definedName>
    <definedName name="FCONTINUIDAD" localSheetId="2">#REF!</definedName>
    <definedName name="FCONTINUIDAD">#REF!</definedName>
    <definedName name="FCS" localSheetId="1">#REF!</definedName>
    <definedName name="FCS" localSheetId="2">#REF!</definedName>
    <definedName name="FCS">#REF!</definedName>
    <definedName name="FDCE" localSheetId="1">#REF!</definedName>
    <definedName name="FDCE" localSheetId="2">#REF!</definedName>
    <definedName name="FDCE">#REF!</definedName>
    <definedName name="FDED" localSheetId="1">#REF!</definedName>
    <definedName name="FDED" localSheetId="2">#REF!</definedName>
    <definedName name="FDED">#REF!</definedName>
    <definedName name="FELIMINADEDYCS" localSheetId="1">#REF!</definedName>
    <definedName name="FELIMINADEDYCS" localSheetId="2">#REF!</definedName>
    <definedName name="FELIMINADEDYCS">#REF!</definedName>
    <definedName name="FEME" localSheetId="1">#REF!</definedName>
    <definedName name="FEME" localSheetId="2">#REF!</definedName>
    <definedName name="FEME">#REF!</definedName>
    <definedName name="FENFGVESEXT" localSheetId="1">#REF!</definedName>
    <definedName name="FENFGVESEXT" localSheetId="2">#REF!</definedName>
    <definedName name="FENFGVESEXT">#REF!</definedName>
    <definedName name="FGASTOEXT" localSheetId="1">#REF!</definedName>
    <definedName name="FGASTOEXT" localSheetId="2">#REF!</definedName>
    <definedName name="FGASTOEXT">#REF!</definedName>
    <definedName name="FGFD1" localSheetId="1">#REF!</definedName>
    <definedName name="FGFD1" localSheetId="2">Cotizador!#REF!</definedName>
    <definedName name="FGFD1">#REF!</definedName>
    <definedName name="FGFD2" localSheetId="1">#REF!</definedName>
    <definedName name="FGFD2" localSheetId="2">Cotizador!#REF!</definedName>
    <definedName name="FGFD2">#REF!</definedName>
    <definedName name="FGFD3" localSheetId="1">#REF!</definedName>
    <definedName name="FGFD3" localSheetId="2">Cotizador!#REF!</definedName>
    <definedName name="FGFD3">#REF!</definedName>
    <definedName name="FGFD4" localSheetId="1">#REF!</definedName>
    <definedName name="FGFD4" localSheetId="2">Cotizador!#REF!</definedName>
    <definedName name="FGFD4">#REF!</definedName>
    <definedName name="FGFD5" localSheetId="1">#REF!</definedName>
    <definedName name="FGFD5" localSheetId="2">Cotizador!#REF!</definedName>
    <definedName name="FGFD5">#REF!</definedName>
    <definedName name="FGFTITULAR" localSheetId="1">#REF!</definedName>
    <definedName name="FGFTITULAR" localSheetId="2">Cotizador!#REF!</definedName>
    <definedName name="FGFTITULAR">#REF!</definedName>
    <definedName name="FNH" localSheetId="1">#REF!</definedName>
    <definedName name="FNH" localSheetId="2">#REF!</definedName>
    <definedName name="FNH">#REF!</definedName>
    <definedName name="FR" localSheetId="1">#REF!</definedName>
    <definedName name="FR" localSheetId="2">#REF!</definedName>
    <definedName name="FR">#REF!</definedName>
    <definedName name="FRC" localSheetId="1">#REF!</definedName>
    <definedName name="FRC" localSheetId="2">#REF!</definedName>
    <definedName name="FRC">#REF!</definedName>
    <definedName name="FROD1" localSheetId="1">#REF!</definedName>
    <definedName name="FROD1" localSheetId="2">Cotizador!#REF!</definedName>
    <definedName name="FROD1">#REF!</definedName>
    <definedName name="FROD2" localSheetId="1">#REF!</definedName>
    <definedName name="FROD2" localSheetId="2">Cotizador!#REF!</definedName>
    <definedName name="FROD2">#REF!</definedName>
    <definedName name="FROD3" localSheetId="1">#REF!</definedName>
    <definedName name="FROD3" localSheetId="2">Cotizador!#REF!</definedName>
    <definedName name="FROD3">#REF!</definedName>
    <definedName name="FROD4" localSheetId="1">#REF!</definedName>
    <definedName name="FROD4" localSheetId="2">Cotizador!#REF!</definedName>
    <definedName name="FROD4">#REF!</definedName>
    <definedName name="FROD5" localSheetId="1">#REF!</definedName>
    <definedName name="FROD5" localSheetId="2">Cotizador!#REF!</definedName>
    <definedName name="FROD5">#REF!</definedName>
    <definedName name="FROTITULAR" localSheetId="1">#REF!</definedName>
    <definedName name="FROTITULAR" localSheetId="2">Cotizador!#REF!</definedName>
    <definedName name="FROTITULAR">#REF!</definedName>
    <definedName name="FSA" localSheetId="1">#REF!</definedName>
    <definedName name="FSA" localSheetId="2">#REF!</definedName>
    <definedName name="FSA">#REF!</definedName>
    <definedName name="FTABHM" localSheetId="1">#REF!</definedName>
    <definedName name="FTABHM" localSheetId="2">#REF!</definedName>
    <definedName name="FTABHM">#REF!</definedName>
    <definedName name="GASADMON" localSheetId="1">#REF!</definedName>
    <definedName name="GASADMON" localSheetId="2">#REF!</definedName>
    <definedName name="GASADMON">#REF!</definedName>
    <definedName name="GASADQUI" localSheetId="1">#REF!</definedName>
    <definedName name="GASADQUI" localSheetId="2">#REF!</definedName>
    <definedName name="GASADQUI">#REF!</definedName>
    <definedName name="HM" localSheetId="1">#REF!</definedName>
    <definedName name="HM" localSheetId="2">#REF!</definedName>
    <definedName name="HM">#REF!</definedName>
    <definedName name="HONMED" localSheetId="1">#REF!</definedName>
    <definedName name="HONMED" localSheetId="2">#REF!</definedName>
    <definedName name="HONMED">#REF!</definedName>
    <definedName name="INFLACION2008" localSheetId="1">#REF!</definedName>
    <definedName name="INFLACION2008" localSheetId="2">#REF!</definedName>
    <definedName name="INFLACION2008">#REF!</definedName>
    <definedName name="INFLACION2009" localSheetId="1">#REF!</definedName>
    <definedName name="INFLACION2009" localSheetId="2">#REF!</definedName>
    <definedName name="INFLACION2009">#REF!</definedName>
    <definedName name="INFLACION2010" localSheetId="1">#REF!</definedName>
    <definedName name="INFLACION2010" localSheetId="2">#REF!</definedName>
    <definedName name="INFLACION2010">#REF!</definedName>
    <definedName name="INFLACION2011" localSheetId="1">#REF!</definedName>
    <definedName name="INFLACION2011" localSheetId="2">#REF!</definedName>
    <definedName name="INFLACION2011">#REF!</definedName>
    <definedName name="MARGENDESVIACION" localSheetId="1">#REF!</definedName>
    <definedName name="MARGENDESVIACION" localSheetId="2">#REF!</definedName>
    <definedName name="MARGENDESVIACION">#REF!</definedName>
    <definedName name="Medio" localSheetId="1">#REF!</definedName>
    <definedName name="Medio" localSheetId="2">#REF!</definedName>
    <definedName name="Medio">#REF!</definedName>
    <definedName name="Mr" localSheetId="1">#REF!</definedName>
    <definedName name="Mr" localSheetId="2">#REF!</definedName>
    <definedName name="Mr">#REF!</definedName>
    <definedName name="NH" localSheetId="1">#REF!</definedName>
    <definedName name="NH" localSheetId="2">#REF!</definedName>
    <definedName name="NH">#REF!</definedName>
    <definedName name="PCATD1" localSheetId="1">#REF!</definedName>
    <definedName name="PCATD1" localSheetId="2">Cotizador!#REF!</definedName>
    <definedName name="PCATD1">#REF!</definedName>
    <definedName name="PCATD2" localSheetId="1">#REF!</definedName>
    <definedName name="PCATD2" localSheetId="2">Cotizador!#REF!</definedName>
    <definedName name="PCATD2">#REF!</definedName>
    <definedName name="PCATD3" localSheetId="1">#REF!</definedName>
    <definedName name="PCATD3" localSheetId="2">Cotizador!#REF!</definedName>
    <definedName name="PCATD3">#REF!</definedName>
    <definedName name="PCATD4" localSheetId="1">#REF!</definedName>
    <definedName name="PCATD4" localSheetId="2">Cotizador!#REF!</definedName>
    <definedName name="PCATD4">#REF!</definedName>
    <definedName name="PCATD5" localSheetId="1">#REF!</definedName>
    <definedName name="PCATD5" localSheetId="2">Cotizador!#REF!</definedName>
    <definedName name="PCATD5">#REF!</definedName>
    <definedName name="PCATTITULAR" localSheetId="1">#REF!</definedName>
    <definedName name="PCATTITULAR" localSheetId="2">Cotizador!#REF!</definedName>
    <definedName name="PCATTITULAR">#REF!</definedName>
    <definedName name="PP" localSheetId="1">#REF!</definedName>
    <definedName name="PP" localSheetId="2">#REF!</definedName>
    <definedName name="PP">#REF!</definedName>
    <definedName name="q">Cotizador!$1:$1048576</definedName>
    <definedName name="Recargo">[3]Tablas!$I$4</definedName>
    <definedName name="recargo_cesión">[3]Tablas!$L$5</definedName>
    <definedName name="RO" localSheetId="1">#REF!</definedName>
    <definedName name="RO" localSheetId="2">#REF!</definedName>
    <definedName name="RO">#REF!</definedName>
    <definedName name="SA" localSheetId="1">#REF!</definedName>
    <definedName name="SA" localSheetId="2">#REF!</definedName>
    <definedName name="SA">#REF!</definedName>
    <definedName name="TC" localSheetId="1">#REF!</definedName>
    <definedName name="TC" localSheetId="2">#REF!</definedName>
    <definedName name="TC">#REF!</definedName>
    <definedName name="UTILIDAD" localSheetId="1">#REF!</definedName>
    <definedName name="UTILIDAD" localSheetId="2">#REF!</definedName>
    <definedName name="UTILIDAD">#REF!</definedName>
    <definedName name="ZONA_COBEXT" localSheetId="1">#REF!</definedName>
    <definedName name="ZONA_COBEXT" localSheetId="2">#REF!</definedName>
    <definedName name="ZONA_COBEXT">#REF!</definedName>
    <definedName name="ZONA_EME" localSheetId="1">#REF!</definedName>
    <definedName name="ZONA_EME" localSheetId="2">#REF!</definedName>
    <definedName name="ZONA_EME">#REF!</definedName>
  </definedNames>
  <calcPr calcId="162913"/>
</workbook>
</file>

<file path=xl/calcChain.xml><?xml version="1.0" encoding="utf-8"?>
<calcChain xmlns="http://schemas.openxmlformats.org/spreadsheetml/2006/main">
  <c r="O7" i="44" l="1"/>
  <c r="O8" i="44" s="1"/>
  <c r="O9" i="44" l="1"/>
  <c r="K50" i="37" l="1"/>
  <c r="K59" i="37"/>
  <c r="D11" i="44" l="1"/>
  <c r="BM26" i="38" l="1"/>
  <c r="CA1" i="38" s="1"/>
  <c r="CA2" i="38" s="1"/>
  <c r="BM17" i="38"/>
  <c r="CU1" i="38" s="1"/>
  <c r="L61" i="44" l="1"/>
  <c r="L60" i="44"/>
  <c r="K61" i="44" l="1"/>
  <c r="K60" i="44"/>
  <c r="F61" i="44"/>
  <c r="F60" i="44"/>
  <c r="B61" i="44"/>
  <c r="B60" i="44"/>
  <c r="M5" i="37" l="1"/>
  <c r="L59" i="44" l="1"/>
  <c r="L58" i="44"/>
  <c r="L57" i="44"/>
  <c r="L56" i="44"/>
  <c r="L55" i="44"/>
  <c r="L54" i="44"/>
  <c r="CU2" i="38" l="1"/>
  <c r="D65" i="44" l="1"/>
  <c r="D66" i="44" s="1"/>
  <c r="M26" i="44"/>
  <c r="M27" i="44" s="1"/>
  <c r="M25" i="44"/>
  <c r="M24" i="44"/>
  <c r="D25" i="44"/>
  <c r="D24" i="44"/>
  <c r="D19" i="44"/>
  <c r="D18" i="44"/>
  <c r="E15" i="44"/>
  <c r="K54" i="44"/>
  <c r="K59" i="44"/>
  <c r="K58" i="44"/>
  <c r="K57" i="44"/>
  <c r="K56" i="44"/>
  <c r="K55" i="44"/>
  <c r="B54" i="44"/>
  <c r="F59" i="44"/>
  <c r="F58" i="44"/>
  <c r="F57" i="44"/>
  <c r="F56" i="44"/>
  <c r="F55" i="44"/>
  <c r="F54" i="44"/>
  <c r="B59" i="44"/>
  <c r="B58" i="44"/>
  <c r="B57" i="44"/>
  <c r="B56" i="44"/>
  <c r="B55" i="44"/>
  <c r="N166" i="44"/>
  <c r="L75" i="44" l="1"/>
  <c r="BM4" i="38"/>
  <c r="DY2" i="38" l="1"/>
  <c r="DE2" i="38"/>
  <c r="G69" i="38"/>
  <c r="G70" i="38" s="1"/>
  <c r="G71" i="38" s="1"/>
  <c r="G72" i="38" s="1"/>
  <c r="G73" i="38" s="1"/>
  <c r="G74" i="38" s="1"/>
  <c r="G75" i="38" s="1"/>
  <c r="G76" i="38" s="1"/>
  <c r="G77" i="38" s="1"/>
  <c r="G78" i="38" s="1"/>
  <c r="G79" i="38" s="1"/>
  <c r="G80" i="38" s="1"/>
  <c r="G81" i="38" s="1"/>
  <c r="G82" i="38" s="1"/>
  <c r="G83" i="38" s="1"/>
  <c r="G84" i="38" s="1"/>
  <c r="G85" i="38" s="1"/>
  <c r="G86" i="38" s="1"/>
  <c r="G87" i="38" s="1"/>
  <c r="G88" i="38" s="1"/>
  <c r="G89" i="38" s="1"/>
  <c r="G90" i="38" s="1"/>
  <c r="G91" i="38" s="1"/>
  <c r="G92" i="38" s="1"/>
  <c r="G93" i="38" s="1"/>
  <c r="G94" i="38" s="1"/>
  <c r="G95" i="38" s="1"/>
  <c r="G96" i="38" s="1"/>
  <c r="G97" i="38" s="1"/>
  <c r="G98" i="38" s="1"/>
  <c r="G99" i="38" s="1"/>
  <c r="G100" i="38" s="1"/>
  <c r="G101" i="38" s="1"/>
  <c r="G102" i="38" s="1"/>
  <c r="G103" i="38" s="1"/>
  <c r="G104" i="38" s="1"/>
  <c r="BM19" i="38"/>
  <c r="CY1" i="38" s="1"/>
  <c r="BM20" i="38"/>
  <c r="DA1" i="38" s="1"/>
  <c r="BM21" i="38"/>
  <c r="BM22" i="38"/>
  <c r="BM23" i="38"/>
  <c r="DG1" i="38" s="1"/>
  <c r="BM24" i="38"/>
  <c r="BM25" i="38"/>
  <c r="BM18" i="38"/>
  <c r="DS1" i="38" s="1"/>
  <c r="BM16" i="38"/>
  <c r="CW1" i="38" l="1"/>
  <c r="DC1" i="38"/>
  <c r="DI1" i="38"/>
  <c r="DK1" i="38"/>
  <c r="BM13" i="38"/>
  <c r="CM1" i="38" s="1"/>
  <c r="BM14" i="38"/>
  <c r="CO1" i="38" s="1"/>
  <c r="BM15" i="38"/>
  <c r="CQ1" i="38" s="1"/>
  <c r="CS1" i="38"/>
  <c r="BM12" i="38"/>
  <c r="CK1" i="38" s="1"/>
  <c r="DE1" i="38" l="1"/>
  <c r="DY1" i="38"/>
  <c r="E35" i="40"/>
  <c r="D32" i="40"/>
  <c r="D33" i="40" s="1"/>
  <c r="E31" i="40"/>
  <c r="E32" i="40" s="1"/>
  <c r="E33" i="40" s="1"/>
  <c r="E34" i="40" s="1"/>
  <c r="D28" i="40"/>
  <c r="D29" i="40" s="1"/>
  <c r="D30" i="40" s="1"/>
  <c r="E27" i="40"/>
  <c r="D25" i="40"/>
  <c r="D26" i="40" s="1"/>
  <c r="E24" i="40"/>
  <c r="D23" i="40"/>
  <c r="E22" i="40"/>
  <c r="E21" i="40"/>
  <c r="E20" i="40"/>
  <c r="E19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23" i="40" l="1"/>
  <c r="E28" i="40"/>
  <c r="E29" i="40" s="1"/>
  <c r="E30" i="40" s="1"/>
  <c r="D34" i="40"/>
  <c r="D36" i="40"/>
  <c r="J4" i="40" s="1"/>
  <c r="L4" i="40" s="1"/>
  <c r="N4" i="40" s="1"/>
  <c r="E25" i="40"/>
  <c r="E26" i="40" s="1"/>
  <c r="E36" i="40" l="1"/>
  <c r="AS43" i="38" l="1"/>
  <c r="AS44" i="38"/>
  <c r="AS45" i="38"/>
  <c r="AS49" i="38"/>
  <c r="AS50" i="38"/>
  <c r="AS46" i="38"/>
  <c r="AS47" i="38"/>
  <c r="AS48" i="38"/>
  <c r="AS51" i="38"/>
  <c r="AS56" i="38"/>
  <c r="AS53" i="38"/>
  <c r="AS54" i="38"/>
  <c r="AS55" i="38"/>
  <c r="AS57" i="38"/>
  <c r="AS52" i="38"/>
  <c r="AS58" i="38"/>
  <c r="AS59" i="38"/>
  <c r="AS60" i="38"/>
  <c r="AS61" i="38"/>
  <c r="AS62" i="38"/>
  <c r="AS63" i="38"/>
  <c r="AS64" i="38"/>
  <c r="AS65" i="38"/>
  <c r="AS66" i="38"/>
  <c r="AS67" i="38"/>
  <c r="AS68" i="38"/>
  <c r="AS69" i="38"/>
  <c r="AS70" i="38"/>
  <c r="AS71" i="38"/>
  <c r="AS72" i="38"/>
  <c r="AS73" i="38"/>
  <c r="AS74" i="38"/>
  <c r="AS42" i="38"/>
  <c r="AS36" i="38"/>
  <c r="AS5" i="38"/>
  <c r="AS6" i="38"/>
  <c r="AS7" i="38"/>
  <c r="AS11" i="38"/>
  <c r="AS12" i="38"/>
  <c r="AS8" i="38"/>
  <c r="AS9" i="38"/>
  <c r="AS10" i="38"/>
  <c r="AS13" i="38"/>
  <c r="AS18" i="38"/>
  <c r="AS15" i="38"/>
  <c r="AS16" i="38"/>
  <c r="AS17" i="38"/>
  <c r="AS19" i="38"/>
  <c r="AS14" i="38"/>
  <c r="AS20" i="38"/>
  <c r="AS21" i="38"/>
  <c r="AS22" i="38"/>
  <c r="AS23" i="38"/>
  <c r="AS24" i="38"/>
  <c r="AS25" i="38"/>
  <c r="AS26" i="38"/>
  <c r="AS27" i="38"/>
  <c r="AS28" i="38"/>
  <c r="AS29" i="38"/>
  <c r="AS30" i="38"/>
  <c r="AS31" i="38"/>
  <c r="AS32" i="38"/>
  <c r="AS33" i="38"/>
  <c r="AS34" i="38"/>
  <c r="AS35" i="38"/>
  <c r="AS4" i="38"/>
  <c r="M68" i="38"/>
  <c r="C69" i="38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DS2" i="38" l="1"/>
  <c r="CW2" i="38"/>
  <c r="BM9" i="38"/>
  <c r="BN9" i="38" s="1"/>
  <c r="BM8" i="38"/>
  <c r="BM7" i="38"/>
  <c r="BN7" i="38" s="1"/>
  <c r="BM6" i="38"/>
  <c r="BN6" i="38" s="1"/>
  <c r="BM5" i="38"/>
  <c r="BN5" i="38" s="1"/>
  <c r="BN8" i="38" l="1"/>
  <c r="CS2" i="38"/>
  <c r="Y33" i="38"/>
  <c r="Y34" i="38"/>
  <c r="Y35" i="38"/>
  <c r="Y36" i="38"/>
  <c r="Y5" i="38"/>
  <c r="Y6" i="38"/>
  <c r="Y7" i="38"/>
  <c r="Y11" i="38"/>
  <c r="Y12" i="38"/>
  <c r="Y8" i="38"/>
  <c r="Y9" i="38"/>
  <c r="Y10" i="38"/>
  <c r="Y13" i="38"/>
  <c r="Y18" i="38"/>
  <c r="Y15" i="38"/>
  <c r="Y16" i="38"/>
  <c r="Y17" i="38"/>
  <c r="Y19" i="38"/>
  <c r="Y14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4" i="38"/>
  <c r="L7" i="38"/>
  <c r="BN4" i="38" l="1"/>
  <c r="CL6" i="38" s="1"/>
  <c r="DY66" i="38"/>
  <c r="DY71" i="38"/>
  <c r="DY28" i="38"/>
  <c r="DX7" i="38"/>
  <c r="DY37" i="38"/>
  <c r="DX15" i="38"/>
  <c r="DX20" i="38"/>
  <c r="DY51" i="38"/>
  <c r="DX26" i="38"/>
  <c r="DX72" i="38"/>
  <c r="DX55" i="38"/>
  <c r="DX37" i="38"/>
  <c r="DX66" i="38"/>
  <c r="DY65" i="38"/>
  <c r="DX53" i="38"/>
  <c r="DY47" i="38"/>
  <c r="DX25" i="38"/>
  <c r="DY68" i="38"/>
  <c r="DX24" i="38"/>
  <c r="DY38" i="38"/>
  <c r="DA78" i="38"/>
  <c r="DY8" i="38"/>
  <c r="DY23" i="38"/>
  <c r="DX48" i="38"/>
  <c r="DX47" i="38"/>
  <c r="DY62" i="38"/>
  <c r="DX12" i="38"/>
  <c r="DX29" i="38"/>
  <c r="DY10" i="38"/>
  <c r="DY43" i="38"/>
  <c r="DY75" i="38"/>
  <c r="DI78" i="38"/>
  <c r="DY33" i="38"/>
  <c r="DY56" i="38"/>
  <c r="DX39" i="38"/>
  <c r="DY30" i="38"/>
  <c r="DY41" i="38"/>
  <c r="DX51" i="38"/>
  <c r="DY77" i="38"/>
  <c r="DX77" i="38"/>
  <c r="CZ78" i="38"/>
  <c r="DX27" i="38"/>
  <c r="DY57" i="38"/>
  <c r="DX8" i="38"/>
  <c r="DX61" i="38"/>
  <c r="DY22" i="38"/>
  <c r="DY40" i="38"/>
  <c r="DY29" i="38"/>
  <c r="DX50" i="38"/>
  <c r="DY48" i="38"/>
  <c r="DY9" i="38"/>
  <c r="DX76" i="38"/>
  <c r="DY14" i="38"/>
  <c r="DY32" i="38"/>
  <c r="DY27" i="38"/>
  <c r="DY17" i="38"/>
  <c r="DX74" i="38"/>
  <c r="DY60" i="38"/>
  <c r="DY69" i="38"/>
  <c r="DY15" i="38"/>
  <c r="DX31" i="38"/>
  <c r="DX45" i="38"/>
  <c r="DX64" i="38"/>
  <c r="DX42" i="38"/>
  <c r="DY20" i="38"/>
  <c r="DY45" i="38"/>
  <c r="DY70" i="38"/>
  <c r="DY79" i="38"/>
  <c r="DX28" i="38"/>
  <c r="DX78" i="38"/>
  <c r="DY35" i="38"/>
  <c r="DX49" i="38"/>
  <c r="DY26" i="38"/>
  <c r="DY44" i="38"/>
  <c r="DX19" i="38"/>
  <c r="DY74" i="38"/>
  <c r="DX14" i="38"/>
  <c r="DX36" i="38"/>
  <c r="CZ71" i="38"/>
  <c r="DA71" i="38"/>
  <c r="CZ72" i="38"/>
  <c r="DA74" i="38"/>
  <c r="CZ73" i="38"/>
  <c r="DA75" i="38"/>
  <c r="CZ74" i="38"/>
  <c r="DA76" i="38"/>
  <c r="CZ75" i="38"/>
  <c r="CZ76" i="38"/>
  <c r="DA73" i="38"/>
  <c r="DA72" i="38"/>
  <c r="DH6" i="38"/>
  <c r="DK80" i="38"/>
  <c r="DK98" i="38"/>
  <c r="DJ77" i="38"/>
  <c r="DJ89" i="38"/>
  <c r="DJ101" i="38"/>
  <c r="DK101" i="38"/>
  <c r="DJ81" i="38"/>
  <c r="DJ93" i="38"/>
  <c r="DJ105" i="38"/>
  <c r="DK81" i="38"/>
  <c r="DK93" i="38"/>
  <c r="DK105" i="38"/>
  <c r="DJ88" i="38"/>
  <c r="DJ82" i="38"/>
  <c r="DJ103" i="38"/>
  <c r="DK82" i="38"/>
  <c r="DK94" i="38"/>
  <c r="DK106" i="38"/>
  <c r="DH75" i="38"/>
  <c r="DI73" i="38"/>
  <c r="DH74" i="38"/>
  <c r="CU88" i="38"/>
  <c r="CU98" i="38"/>
  <c r="CU73" i="38"/>
  <c r="CU84" i="38"/>
  <c r="CU95" i="38"/>
  <c r="CU82" i="38"/>
  <c r="CU101" i="38"/>
  <c r="CU79" i="38"/>
  <c r="CU102" i="38"/>
  <c r="DJ98" i="38"/>
  <c r="DK102" i="38"/>
  <c r="DK91" i="38"/>
  <c r="DI72" i="38"/>
  <c r="CU86" i="38"/>
  <c r="CU83" i="38"/>
  <c r="CU104" i="38"/>
  <c r="DK71" i="38"/>
  <c r="DK86" i="38"/>
  <c r="DK104" i="38"/>
  <c r="DJ80" i="38"/>
  <c r="DJ92" i="38"/>
  <c r="DJ104" i="38"/>
  <c r="DJ72" i="38"/>
  <c r="DJ84" i="38"/>
  <c r="DJ96" i="38"/>
  <c r="DK72" i="38"/>
  <c r="DK84" i="38"/>
  <c r="DK96" i="38"/>
  <c r="DJ76" i="38"/>
  <c r="DJ97" i="38"/>
  <c r="DJ91" i="38"/>
  <c r="DK73" i="38"/>
  <c r="DK85" i="38"/>
  <c r="DK97" i="38"/>
  <c r="DI71" i="38"/>
  <c r="DH73" i="38"/>
  <c r="DI76" i="38"/>
  <c r="CU100" i="38"/>
  <c r="CU75" i="38"/>
  <c r="CU85" i="38"/>
  <c r="CU96" i="38"/>
  <c r="CU106" i="38"/>
  <c r="CU94" i="38"/>
  <c r="CU80" i="38"/>
  <c r="CU103" i="38"/>
  <c r="CU77" i="38"/>
  <c r="DK95" i="38"/>
  <c r="DJ74" i="38"/>
  <c r="DK92" i="38"/>
  <c r="DJ90" i="38"/>
  <c r="DK78" i="38"/>
  <c r="DJ85" i="38"/>
  <c r="DJ100" i="38"/>
  <c r="DK103" i="38"/>
  <c r="DH71" i="38"/>
  <c r="CU99" i="38"/>
  <c r="CU91" i="38"/>
  <c r="CU90" i="38"/>
  <c r="DK74" i="38"/>
  <c r="DK89" i="38"/>
  <c r="DJ71" i="38"/>
  <c r="DJ83" i="38"/>
  <c r="DJ95" i="38"/>
  <c r="DK83" i="38"/>
  <c r="DJ75" i="38"/>
  <c r="DJ87" i="38"/>
  <c r="DJ99" i="38"/>
  <c r="DK75" i="38"/>
  <c r="DK87" i="38"/>
  <c r="DK99" i="38"/>
  <c r="DJ79" i="38"/>
  <c r="DJ106" i="38"/>
  <c r="DJ94" i="38"/>
  <c r="DK76" i="38"/>
  <c r="DK88" i="38"/>
  <c r="DK100" i="38"/>
  <c r="DI74" i="38"/>
  <c r="DH76" i="38"/>
  <c r="DI75" i="38"/>
  <c r="DH72" i="38"/>
  <c r="CU74" i="38"/>
  <c r="CU87" i="38"/>
  <c r="CU97" i="38"/>
  <c r="CU71" i="38"/>
  <c r="CU105" i="38"/>
  <c r="CU81" i="38"/>
  <c r="CU92" i="38"/>
  <c r="CU78" i="38"/>
  <c r="CU89" i="38"/>
  <c r="DK77" i="38"/>
  <c r="DJ86" i="38"/>
  <c r="DJ78" i="38"/>
  <c r="DJ102" i="38"/>
  <c r="DK90" i="38"/>
  <c r="DJ73" i="38"/>
  <c r="DK79" i="38"/>
  <c r="CU76" i="38"/>
  <c r="CU72" i="38"/>
  <c r="CU93" i="38"/>
  <c r="DY25" i="38"/>
  <c r="DX63" i="38"/>
  <c r="DX9" i="38"/>
  <c r="DY19" i="38"/>
  <c r="DX75" i="38"/>
  <c r="DX73" i="38"/>
  <c r="DY72" i="38"/>
  <c r="DY34" i="38"/>
  <c r="DX10" i="38"/>
  <c r="DY49" i="38"/>
  <c r="DX32" i="38"/>
  <c r="DX35" i="38"/>
  <c r="DX62" i="38"/>
  <c r="DX60" i="38"/>
  <c r="DY54" i="38"/>
  <c r="DX38" i="38"/>
  <c r="DY63" i="38"/>
  <c r="DY16" i="38"/>
  <c r="DY31" i="38"/>
  <c r="DY13" i="38"/>
  <c r="DY7" i="38"/>
  <c r="DX11" i="38"/>
  <c r="DY21" i="38"/>
  <c r="DX58" i="38"/>
  <c r="DX56" i="38"/>
  <c r="DY52" i="38"/>
  <c r="DX34" i="38"/>
  <c r="DY61" i="38"/>
  <c r="DY12" i="38"/>
  <c r="DX23" i="38"/>
  <c r="DX6" i="38"/>
  <c r="DX68" i="38"/>
  <c r="DY58" i="38"/>
  <c r="DX46" i="38"/>
  <c r="DY67" i="38"/>
  <c r="DY24" i="38"/>
  <c r="DY6" i="38"/>
  <c r="DH78" i="38"/>
  <c r="DH77" i="38"/>
  <c r="DY11" i="38"/>
  <c r="DX70" i="38"/>
  <c r="DX41" i="38"/>
  <c r="DX13" i="38"/>
  <c r="DX59" i="38"/>
  <c r="DX57" i="38"/>
  <c r="DY64" i="38"/>
  <c r="DY18" i="38"/>
  <c r="DY73" i="38"/>
  <c r="DY36" i="38"/>
  <c r="DX16" i="38"/>
  <c r="DX21" i="38"/>
  <c r="DX69" i="38"/>
  <c r="DY78" i="38"/>
  <c r="DY46" i="38"/>
  <c r="DX22" i="38"/>
  <c r="DY55" i="38"/>
  <c r="DX44" i="38"/>
  <c r="DX17" i="38"/>
  <c r="DX71" i="38"/>
  <c r="DY39" i="38"/>
  <c r="DX43" i="38"/>
  <c r="DX67" i="38"/>
  <c r="DX65" i="38"/>
  <c r="DY76" i="38"/>
  <c r="DY42" i="38"/>
  <c r="DX18" i="38"/>
  <c r="DY53" i="38"/>
  <c r="DX40" i="38"/>
  <c r="DX33" i="38"/>
  <c r="DX54" i="38"/>
  <c r="DX52" i="38"/>
  <c r="DY50" i="38"/>
  <c r="DX30" i="38"/>
  <c r="DY59" i="38"/>
  <c r="DI77" i="38"/>
  <c r="CZ77" i="38"/>
  <c r="DA77" i="38"/>
  <c r="CZ79" i="38"/>
  <c r="DH79" i="38"/>
  <c r="DA79" i="38"/>
  <c r="DI79" i="38"/>
  <c r="DX79" i="38"/>
  <c r="DF43" i="38"/>
  <c r="DF52" i="38"/>
  <c r="DG13" i="38"/>
  <c r="DG38" i="38"/>
  <c r="DF61" i="38"/>
  <c r="DG55" i="38"/>
  <c r="DF64" i="38"/>
  <c r="DF79" i="38"/>
  <c r="DG26" i="38"/>
  <c r="DG60" i="38"/>
  <c r="DG56" i="38"/>
  <c r="DG18" i="38"/>
  <c r="DF55" i="38"/>
  <c r="DG64" i="38"/>
  <c r="DF27" i="38"/>
  <c r="DG32" i="38"/>
  <c r="DG53" i="38"/>
  <c r="DG73" i="38"/>
  <c r="DG62" i="38"/>
  <c r="DF28" i="38"/>
  <c r="DG34" i="38"/>
  <c r="DF62" i="38"/>
  <c r="DF32" i="38"/>
  <c r="DF15" i="38"/>
  <c r="DF45" i="38"/>
  <c r="DG24" i="38"/>
  <c r="DG77" i="38"/>
  <c r="DG20" i="38"/>
  <c r="DG33" i="38"/>
  <c r="DG40" i="38"/>
  <c r="DG49" i="38"/>
  <c r="DF51" i="38"/>
  <c r="DG37" i="38"/>
  <c r="DG19" i="38"/>
  <c r="DG22" i="38"/>
  <c r="DG10" i="38"/>
  <c r="DF59" i="38"/>
  <c r="DF54" i="38"/>
  <c r="DF47" i="38"/>
  <c r="DF35" i="38"/>
  <c r="DF58" i="38"/>
  <c r="DF11" i="38"/>
  <c r="DG43" i="38"/>
  <c r="DG54" i="38"/>
  <c r="DF10" i="38"/>
  <c r="DG59" i="38"/>
  <c r="DF41" i="38"/>
  <c r="DF18" i="38"/>
  <c r="DG23" i="38"/>
  <c r="DF22" i="38"/>
  <c r="DG46" i="38"/>
  <c r="DG74" i="38"/>
  <c r="DG72" i="38"/>
  <c r="DF73" i="38"/>
  <c r="DF71" i="38"/>
  <c r="DG27" i="38"/>
  <c r="DF16" i="38"/>
  <c r="DG21" i="38"/>
  <c r="DF31" i="38"/>
  <c r="DG42" i="38"/>
  <c r="DF8" i="38"/>
  <c r="DG45" i="38"/>
  <c r="DG8" i="38"/>
  <c r="DF50" i="38"/>
  <c r="DG14" i="38"/>
  <c r="DF65" i="38"/>
  <c r="DG66" i="38"/>
  <c r="DG36" i="38"/>
  <c r="DF38" i="38"/>
  <c r="DF57" i="38"/>
  <c r="DG63" i="38"/>
  <c r="DG11" i="38"/>
  <c r="DF26" i="38"/>
  <c r="DF37" i="38"/>
  <c r="DG67" i="38"/>
  <c r="DG68" i="38"/>
  <c r="DG44" i="38"/>
  <c r="DF33" i="38"/>
  <c r="DG57" i="38"/>
  <c r="DG78" i="38"/>
  <c r="DF78" i="38"/>
  <c r="DF56" i="38"/>
  <c r="DF9" i="38"/>
  <c r="DG15" i="38"/>
  <c r="DF14" i="38"/>
  <c r="DG28" i="38"/>
  <c r="DF36" i="38"/>
  <c r="DF66" i="38"/>
  <c r="DG7" i="38"/>
  <c r="DG17" i="38"/>
  <c r="DF39" i="38"/>
  <c r="DG25" i="38"/>
  <c r="DG41" i="38"/>
  <c r="DF42" i="38"/>
  <c r="DF30" i="38"/>
  <c r="DG35" i="38"/>
  <c r="DG70" i="38"/>
  <c r="DF34" i="38"/>
  <c r="DG58" i="38"/>
  <c r="DG16" i="38"/>
  <c r="DF70" i="38"/>
  <c r="DF23" i="38"/>
  <c r="DF46" i="38"/>
  <c r="DG31" i="38"/>
  <c r="DF68" i="38"/>
  <c r="DF6" i="38"/>
  <c r="DG76" i="38"/>
  <c r="DF74" i="38"/>
  <c r="DF75" i="38"/>
  <c r="DF77" i="38"/>
  <c r="DG39" i="38"/>
  <c r="DG29" i="38"/>
  <c r="DF24" i="38"/>
  <c r="DG61" i="38"/>
  <c r="DF63" i="38"/>
  <c r="DF20" i="38"/>
  <c r="DG9" i="38"/>
  <c r="DG30" i="38"/>
  <c r="DF19" i="38"/>
  <c r="DF21" i="38"/>
  <c r="DF44" i="38"/>
  <c r="DG50" i="38"/>
  <c r="DF40" i="38"/>
  <c r="DF60" i="38"/>
  <c r="DF7" i="38"/>
  <c r="DF67" i="38"/>
  <c r="DG48" i="38"/>
  <c r="DF48" i="38"/>
  <c r="DF25" i="38"/>
  <c r="DF29" i="38"/>
  <c r="DG12" i="38"/>
  <c r="DG65" i="38"/>
  <c r="DF12" i="38"/>
  <c r="DG69" i="38"/>
  <c r="DF49" i="38"/>
  <c r="DF53" i="38"/>
  <c r="DG47" i="38"/>
  <c r="DF69" i="38"/>
  <c r="DF13" i="38"/>
  <c r="DF17" i="38"/>
  <c r="DG51" i="38"/>
  <c r="DG52" i="38"/>
  <c r="DG6" i="38"/>
  <c r="DG75" i="38"/>
  <c r="DF76" i="38"/>
  <c r="DG71" i="38"/>
  <c r="DG79" i="38"/>
  <c r="DF72" i="38"/>
  <c r="DE12" i="38"/>
  <c r="EA12" i="38" s="1"/>
  <c r="DE20" i="38"/>
  <c r="EA20" i="38" s="1"/>
  <c r="DE28" i="38"/>
  <c r="EA28" i="38" s="1"/>
  <c r="DD9" i="38"/>
  <c r="DZ9" i="38" s="1"/>
  <c r="DD17" i="38"/>
  <c r="DZ17" i="38" s="1"/>
  <c r="DD25" i="38"/>
  <c r="DZ25" i="38" s="1"/>
  <c r="DD33" i="38"/>
  <c r="DZ33" i="38" s="1"/>
  <c r="DD41" i="38"/>
  <c r="DZ41" i="38" s="1"/>
  <c r="DD49" i="38"/>
  <c r="DZ49" i="38" s="1"/>
  <c r="DD57" i="38"/>
  <c r="DZ57" i="38" s="1"/>
  <c r="DD65" i="38"/>
  <c r="DZ65" i="38" s="1"/>
  <c r="DD73" i="38"/>
  <c r="DZ73" i="38" s="1"/>
  <c r="DE11" i="38"/>
  <c r="EA11" i="38" s="1"/>
  <c r="DE19" i="38"/>
  <c r="EA19" i="38" s="1"/>
  <c r="DE27" i="38"/>
  <c r="EA27" i="38" s="1"/>
  <c r="DE35" i="38"/>
  <c r="EA35" i="38" s="1"/>
  <c r="DE43" i="38"/>
  <c r="EA43" i="38" s="1"/>
  <c r="DE51" i="38"/>
  <c r="EA51" i="38" s="1"/>
  <c r="DE59" i="38"/>
  <c r="EA59" i="38" s="1"/>
  <c r="DE67" i="38"/>
  <c r="EA67" i="38" s="1"/>
  <c r="DD14" i="38"/>
  <c r="DZ14" i="38" s="1"/>
  <c r="DD60" i="38"/>
  <c r="DZ60" i="38" s="1"/>
  <c r="DD6" i="38"/>
  <c r="DZ6" i="38" s="1"/>
  <c r="DD32" i="38"/>
  <c r="DZ32" i="38" s="1"/>
  <c r="DE48" i="38"/>
  <c r="EA48" i="38" s="1"/>
  <c r="DE64" i="38"/>
  <c r="EA64" i="38" s="1"/>
  <c r="DE78" i="38"/>
  <c r="EA78" i="38" s="1"/>
  <c r="DD18" i="38"/>
  <c r="DZ18" i="38" s="1"/>
  <c r="DD42" i="38"/>
  <c r="DZ42" i="38" s="1"/>
  <c r="DD58" i="38"/>
  <c r="DZ58" i="38" s="1"/>
  <c r="DD74" i="38"/>
  <c r="DZ74" i="38" s="1"/>
  <c r="DD36" i="38"/>
  <c r="DZ36" i="38" s="1"/>
  <c r="DE75" i="38"/>
  <c r="EA75" i="38" s="1"/>
  <c r="DD28" i="38"/>
  <c r="DZ28" i="38" s="1"/>
  <c r="DE46" i="38"/>
  <c r="EA46" i="38" s="1"/>
  <c r="DE62" i="38"/>
  <c r="EA62" i="38" s="1"/>
  <c r="DE77" i="38"/>
  <c r="EA77" i="38" s="1"/>
  <c r="DD30" i="38"/>
  <c r="DZ30" i="38" s="1"/>
  <c r="DD62" i="38"/>
  <c r="DZ62" i="38" s="1"/>
  <c r="DD44" i="38"/>
  <c r="DZ44" i="38" s="1"/>
  <c r="DE50" i="38"/>
  <c r="EA50" i="38" s="1"/>
  <c r="DD15" i="38"/>
  <c r="DZ15" i="38" s="1"/>
  <c r="DD47" i="38"/>
  <c r="DZ47" i="38" s="1"/>
  <c r="DD63" i="38"/>
  <c r="DZ63" i="38" s="1"/>
  <c r="DE9" i="38"/>
  <c r="EA9" i="38" s="1"/>
  <c r="DE33" i="38"/>
  <c r="EA33" i="38" s="1"/>
  <c r="DE49" i="38"/>
  <c r="EA49" i="38" s="1"/>
  <c r="DE73" i="38"/>
  <c r="EA73" i="38" s="1"/>
  <c r="DD24" i="38"/>
  <c r="DZ24" i="38" s="1"/>
  <c r="DE60" i="38"/>
  <c r="EA60" i="38" s="1"/>
  <c r="DD54" i="38"/>
  <c r="DZ54" i="38" s="1"/>
  <c r="DD70" i="38"/>
  <c r="DZ70" i="38" s="1"/>
  <c r="DD20" i="38"/>
  <c r="DZ20" i="38" s="1"/>
  <c r="DE74" i="38"/>
  <c r="EA74" i="38" s="1"/>
  <c r="DE14" i="38"/>
  <c r="EA14" i="38" s="1"/>
  <c r="DE22" i="38"/>
  <c r="EA22" i="38" s="1"/>
  <c r="DE30" i="38"/>
  <c r="EA30" i="38" s="1"/>
  <c r="DD11" i="38"/>
  <c r="DZ11" i="38" s="1"/>
  <c r="DD19" i="38"/>
  <c r="DZ19" i="38" s="1"/>
  <c r="DD27" i="38"/>
  <c r="DZ27" i="38" s="1"/>
  <c r="DD35" i="38"/>
  <c r="DZ35" i="38" s="1"/>
  <c r="DD43" i="38"/>
  <c r="DZ43" i="38" s="1"/>
  <c r="DD51" i="38"/>
  <c r="DZ51" i="38" s="1"/>
  <c r="DD59" i="38"/>
  <c r="DZ59" i="38" s="1"/>
  <c r="DD67" i="38"/>
  <c r="DZ67" i="38" s="1"/>
  <c r="DD75" i="38"/>
  <c r="DZ75" i="38" s="1"/>
  <c r="DE6" i="38"/>
  <c r="EA6" i="38" s="1"/>
  <c r="DE13" i="38"/>
  <c r="EA13" i="38" s="1"/>
  <c r="DE21" i="38"/>
  <c r="EA21" i="38" s="1"/>
  <c r="DE29" i="38"/>
  <c r="EA29" i="38" s="1"/>
  <c r="DE37" i="38"/>
  <c r="EA37" i="38" s="1"/>
  <c r="DE45" i="38"/>
  <c r="EA45" i="38" s="1"/>
  <c r="DE53" i="38"/>
  <c r="EA53" i="38" s="1"/>
  <c r="DE61" i="38"/>
  <c r="EA61" i="38" s="1"/>
  <c r="DE69" i="38"/>
  <c r="EA69" i="38" s="1"/>
  <c r="DD22" i="38"/>
  <c r="DZ22" i="38" s="1"/>
  <c r="DD78" i="38"/>
  <c r="DZ78" i="38" s="1"/>
  <c r="DD8" i="38"/>
  <c r="DZ8" i="38" s="1"/>
  <c r="DE36" i="38"/>
  <c r="EA36" i="38" s="1"/>
  <c r="DE52" i="38"/>
  <c r="EA52" i="38" s="1"/>
  <c r="DE68" i="38"/>
  <c r="EA68" i="38" s="1"/>
  <c r="DD26" i="38"/>
  <c r="DZ26" i="38" s="1"/>
  <c r="DD46" i="38"/>
  <c r="DZ46" i="38" s="1"/>
  <c r="DE76" i="38"/>
  <c r="EA76" i="38" s="1"/>
  <c r="DE34" i="38"/>
  <c r="EA34" i="38" s="1"/>
  <c r="DE66" i="38"/>
  <c r="EA66" i="38" s="1"/>
  <c r="DD52" i="38"/>
  <c r="DZ52" i="38" s="1"/>
  <c r="DD7" i="38"/>
  <c r="DZ7" i="38" s="1"/>
  <c r="DD31" i="38"/>
  <c r="DZ31" i="38" s="1"/>
  <c r="DD71" i="38"/>
  <c r="DZ71" i="38" s="1"/>
  <c r="DE25" i="38"/>
  <c r="EA25" i="38" s="1"/>
  <c r="DE57" i="38"/>
  <c r="EA57" i="38" s="1"/>
  <c r="DD48" i="38"/>
  <c r="DZ48" i="38" s="1"/>
  <c r="DE44" i="38"/>
  <c r="EA44" i="38" s="1"/>
  <c r="DD38" i="38"/>
  <c r="DZ38" i="38" s="1"/>
  <c r="DD68" i="38"/>
  <c r="DZ68" i="38" s="1"/>
  <c r="DE42" i="38"/>
  <c r="EA42" i="38" s="1"/>
  <c r="DD72" i="38"/>
  <c r="DZ72" i="38" s="1"/>
  <c r="DE8" i="38"/>
  <c r="EA8" i="38" s="1"/>
  <c r="DE16" i="38"/>
  <c r="EA16" i="38" s="1"/>
  <c r="DE24" i="38"/>
  <c r="EA24" i="38" s="1"/>
  <c r="DE32" i="38"/>
  <c r="EA32" i="38" s="1"/>
  <c r="DD13" i="38"/>
  <c r="DZ13" i="38" s="1"/>
  <c r="DD21" i="38"/>
  <c r="DZ21" i="38" s="1"/>
  <c r="DD29" i="38"/>
  <c r="DZ29" i="38" s="1"/>
  <c r="DD37" i="38"/>
  <c r="DZ37" i="38" s="1"/>
  <c r="DD45" i="38"/>
  <c r="DZ45" i="38" s="1"/>
  <c r="DD53" i="38"/>
  <c r="DZ53" i="38" s="1"/>
  <c r="DD61" i="38"/>
  <c r="DZ61" i="38" s="1"/>
  <c r="DD69" i="38"/>
  <c r="DZ69" i="38" s="1"/>
  <c r="DD77" i="38"/>
  <c r="DZ77" i="38" s="1"/>
  <c r="DE7" i="38"/>
  <c r="EA7" i="38" s="1"/>
  <c r="DE15" i="38"/>
  <c r="EA15" i="38" s="1"/>
  <c r="DE23" i="38"/>
  <c r="EA23" i="38" s="1"/>
  <c r="DE31" i="38"/>
  <c r="EA31" i="38" s="1"/>
  <c r="DE39" i="38"/>
  <c r="EA39" i="38" s="1"/>
  <c r="DE47" i="38"/>
  <c r="EA47" i="38" s="1"/>
  <c r="DE55" i="38"/>
  <c r="EA55" i="38" s="1"/>
  <c r="DE63" i="38"/>
  <c r="EA63" i="38" s="1"/>
  <c r="DE71" i="38"/>
  <c r="EA71" i="38" s="1"/>
  <c r="DD40" i="38"/>
  <c r="DZ40" i="38" s="1"/>
  <c r="DD16" i="38"/>
  <c r="DZ16" i="38" s="1"/>
  <c r="DE40" i="38"/>
  <c r="EA40" i="38" s="1"/>
  <c r="DE56" i="38"/>
  <c r="EA56" i="38" s="1"/>
  <c r="DE72" i="38"/>
  <c r="EA72" i="38" s="1"/>
  <c r="DD34" i="38"/>
  <c r="DZ34" i="38" s="1"/>
  <c r="DD50" i="38"/>
  <c r="DZ50" i="38" s="1"/>
  <c r="DD66" i="38"/>
  <c r="DZ66" i="38" s="1"/>
  <c r="DE79" i="38"/>
  <c r="EA79" i="38" s="1"/>
  <c r="DD56" i="38"/>
  <c r="DZ56" i="38" s="1"/>
  <c r="DD12" i="38"/>
  <c r="DZ12" i="38" s="1"/>
  <c r="DE38" i="38"/>
  <c r="EA38" i="38" s="1"/>
  <c r="DE54" i="38"/>
  <c r="EA54" i="38" s="1"/>
  <c r="DE70" i="38"/>
  <c r="EA70" i="38" s="1"/>
  <c r="DD64" i="38"/>
  <c r="DZ64" i="38" s="1"/>
  <c r="DE10" i="38"/>
  <c r="EA10" i="38" s="1"/>
  <c r="DE18" i="38"/>
  <c r="EA18" i="38" s="1"/>
  <c r="DE26" i="38"/>
  <c r="EA26" i="38" s="1"/>
  <c r="DD23" i="38"/>
  <c r="DZ23" i="38" s="1"/>
  <c r="DD39" i="38"/>
  <c r="DZ39" i="38" s="1"/>
  <c r="DD55" i="38"/>
  <c r="DZ55" i="38" s="1"/>
  <c r="DD79" i="38"/>
  <c r="DZ79" i="38" s="1"/>
  <c r="DE17" i="38"/>
  <c r="EA17" i="38" s="1"/>
  <c r="DE41" i="38"/>
  <c r="EA41" i="38" s="1"/>
  <c r="DE65" i="38"/>
  <c r="EA65" i="38" s="1"/>
  <c r="DD76" i="38"/>
  <c r="DZ76" i="38" s="1"/>
  <c r="DD10" i="38"/>
  <c r="DZ10" i="38" s="1"/>
  <c r="DE58" i="38"/>
  <c r="EA58" i="38" s="1"/>
  <c r="CY76" i="38"/>
  <c r="CY79" i="38"/>
  <c r="CX78" i="38"/>
  <c r="CX75" i="38"/>
  <c r="CY73" i="38"/>
  <c r="CX72" i="38"/>
  <c r="CY77" i="38"/>
  <c r="CY71" i="38"/>
  <c r="CX74" i="38"/>
  <c r="CX77" i="38"/>
  <c r="CY72" i="38"/>
  <c r="CX71" i="38"/>
  <c r="CY75" i="38"/>
  <c r="CX79" i="38"/>
  <c r="CX76" i="38"/>
  <c r="CY74" i="38"/>
  <c r="CY78" i="38"/>
  <c r="CX73" i="38"/>
  <c r="CV6" i="38"/>
  <c r="DR6" i="38" s="1"/>
  <c r="CS7" i="38"/>
  <c r="CS11" i="38"/>
  <c r="CS15" i="38"/>
  <c r="CS19" i="38"/>
  <c r="CS23" i="38"/>
  <c r="CS27" i="38"/>
  <c r="CS31" i="38"/>
  <c r="CS35" i="38"/>
  <c r="CS39" i="38"/>
  <c r="CS43" i="38"/>
  <c r="CS47" i="38"/>
  <c r="CS51" i="38"/>
  <c r="CS55" i="38"/>
  <c r="CS59" i="38"/>
  <c r="CS63" i="38"/>
  <c r="CS67" i="38"/>
  <c r="CS71" i="38"/>
  <c r="CS75" i="38"/>
  <c r="CS79" i="38"/>
  <c r="CS6" i="38"/>
  <c r="CR10" i="38"/>
  <c r="CR14" i="38"/>
  <c r="CR18" i="38"/>
  <c r="CR22" i="38"/>
  <c r="CR26" i="38"/>
  <c r="CR30" i="38"/>
  <c r="CR34" i="38"/>
  <c r="CR38" i="38"/>
  <c r="CR42" i="38"/>
  <c r="CR46" i="38"/>
  <c r="CR50" i="38"/>
  <c r="CR54" i="38"/>
  <c r="CR58" i="38"/>
  <c r="CR62" i="38"/>
  <c r="CR66" i="38"/>
  <c r="CR70" i="38"/>
  <c r="CR74" i="38"/>
  <c r="CS10" i="38"/>
  <c r="CS14" i="38"/>
  <c r="CS18" i="38"/>
  <c r="CS22" i="38"/>
  <c r="CS26" i="38"/>
  <c r="CS30" i="38"/>
  <c r="CS34" i="38"/>
  <c r="CS38" i="38"/>
  <c r="CS42" i="38"/>
  <c r="CS46" i="38"/>
  <c r="CS50" i="38"/>
  <c r="CS54" i="38"/>
  <c r="CS58" i="38"/>
  <c r="CS62" i="38"/>
  <c r="CS66" i="38"/>
  <c r="CS70" i="38"/>
  <c r="CS74" i="38"/>
  <c r="CS78" i="38"/>
  <c r="CR9" i="38"/>
  <c r="CR13" i="38"/>
  <c r="CR17" i="38"/>
  <c r="CR21" i="38"/>
  <c r="CR25" i="38"/>
  <c r="CR33" i="38"/>
  <c r="CR41" i="38"/>
  <c r="CR49" i="38"/>
  <c r="CR57" i="38"/>
  <c r="CR65" i="38"/>
  <c r="CR73" i="38"/>
  <c r="CR78" i="38"/>
  <c r="CS9" i="38"/>
  <c r="CS13" i="38"/>
  <c r="CS17" i="38"/>
  <c r="CS21" i="38"/>
  <c r="CS25" i="38"/>
  <c r="CS29" i="38"/>
  <c r="CS33" i="38"/>
  <c r="CS37" i="38"/>
  <c r="CS41" i="38"/>
  <c r="CS45" i="38"/>
  <c r="CS49" i="38"/>
  <c r="CS53" i="38"/>
  <c r="CS57" i="38"/>
  <c r="CS61" i="38"/>
  <c r="CS65" i="38"/>
  <c r="CS69" i="38"/>
  <c r="CS73" i="38"/>
  <c r="CS77" i="38"/>
  <c r="CR8" i="38"/>
  <c r="CR12" i="38"/>
  <c r="CR16" i="38"/>
  <c r="CR20" i="38"/>
  <c r="CR24" i="38"/>
  <c r="CR28" i="38"/>
  <c r="CR32" i="38"/>
  <c r="CR36" i="38"/>
  <c r="CR40" i="38"/>
  <c r="CR44" i="38"/>
  <c r="CR48" i="38"/>
  <c r="CR52" i="38"/>
  <c r="CR56" i="38"/>
  <c r="CR60" i="38"/>
  <c r="CR64" i="38"/>
  <c r="CR68" i="38"/>
  <c r="CR72" i="38"/>
  <c r="CS8" i="38"/>
  <c r="CS12" i="38"/>
  <c r="CS16" i="38"/>
  <c r="CS20" i="38"/>
  <c r="CS24" i="38"/>
  <c r="CS28" i="38"/>
  <c r="CS32" i="38"/>
  <c r="CS36" i="38"/>
  <c r="CS40" i="38"/>
  <c r="CS44" i="38"/>
  <c r="CS48" i="38"/>
  <c r="CS52" i="38"/>
  <c r="CS56" i="38"/>
  <c r="CS60" i="38"/>
  <c r="CS64" i="38"/>
  <c r="CS68" i="38"/>
  <c r="CS72" i="38"/>
  <c r="CS76" i="38"/>
  <c r="CS80" i="38"/>
  <c r="CR7" i="38"/>
  <c r="CR11" i="38"/>
  <c r="CR15" i="38"/>
  <c r="CR19" i="38"/>
  <c r="CR23" i="38"/>
  <c r="CR29" i="38"/>
  <c r="CR37" i="38"/>
  <c r="CR45" i="38"/>
  <c r="CR53" i="38"/>
  <c r="CR61" i="38"/>
  <c r="CR69" i="38"/>
  <c r="CR76" i="38"/>
  <c r="CR27" i="38"/>
  <c r="CR35" i="38"/>
  <c r="CR43" i="38"/>
  <c r="CR51" i="38"/>
  <c r="CR59" i="38"/>
  <c r="CR67" i="38"/>
  <c r="CR75" i="38"/>
  <c r="CR79" i="38"/>
  <c r="CR31" i="38"/>
  <c r="CR39" i="38"/>
  <c r="CR47" i="38"/>
  <c r="CR55" i="38"/>
  <c r="CR63" i="38"/>
  <c r="CR71" i="38"/>
  <c r="CR77" i="38"/>
  <c r="CR6" i="38"/>
  <c r="CW12" i="38"/>
  <c r="DS12" i="38" s="1"/>
  <c r="CW20" i="38"/>
  <c r="DS20" i="38" s="1"/>
  <c r="CW28" i="38"/>
  <c r="DS28" i="38" s="1"/>
  <c r="CW36" i="38"/>
  <c r="DS36" i="38" s="1"/>
  <c r="CW44" i="38"/>
  <c r="DS44" i="38" s="1"/>
  <c r="CW52" i="38"/>
  <c r="DS52" i="38" s="1"/>
  <c r="CW60" i="38"/>
  <c r="DS60" i="38" s="1"/>
  <c r="CW68" i="38"/>
  <c r="DS68" i="38" s="1"/>
  <c r="CW76" i="38"/>
  <c r="DS76" i="38" s="1"/>
  <c r="CV8" i="38"/>
  <c r="DR8" i="38" s="1"/>
  <c r="CV16" i="38"/>
  <c r="DR16" i="38" s="1"/>
  <c r="CV24" i="38"/>
  <c r="DR24" i="38" s="1"/>
  <c r="CV32" i="38"/>
  <c r="DR32" i="38" s="1"/>
  <c r="CV40" i="38"/>
  <c r="DR40" i="38" s="1"/>
  <c r="CV48" i="38"/>
  <c r="DR48" i="38" s="1"/>
  <c r="CV56" i="38"/>
  <c r="DR56" i="38" s="1"/>
  <c r="CV64" i="38"/>
  <c r="DR64" i="38" s="1"/>
  <c r="CV72" i="38"/>
  <c r="DR72" i="38" s="1"/>
  <c r="CW9" i="38"/>
  <c r="DS9" i="38" s="1"/>
  <c r="CW17" i="38"/>
  <c r="DS17" i="38" s="1"/>
  <c r="CW25" i="38"/>
  <c r="DS25" i="38" s="1"/>
  <c r="CW33" i="38"/>
  <c r="DS33" i="38" s="1"/>
  <c r="CW41" i="38"/>
  <c r="DS41" i="38" s="1"/>
  <c r="CW49" i="38"/>
  <c r="DS49" i="38" s="1"/>
  <c r="CW57" i="38"/>
  <c r="DS57" i="38" s="1"/>
  <c r="CW65" i="38"/>
  <c r="DS65" i="38" s="1"/>
  <c r="CW73" i="38"/>
  <c r="DS73" i="38" s="1"/>
  <c r="CV13" i="38"/>
  <c r="DR13" i="38" s="1"/>
  <c r="CV21" i="38"/>
  <c r="DR21" i="38" s="1"/>
  <c r="CV29" i="38"/>
  <c r="DR29" i="38" s="1"/>
  <c r="CV37" i="38"/>
  <c r="DR37" i="38" s="1"/>
  <c r="CV51" i="38"/>
  <c r="DR51" i="38" s="1"/>
  <c r="CV67" i="38"/>
  <c r="DR67" i="38" s="1"/>
  <c r="CW10" i="38"/>
  <c r="DS10" i="38" s="1"/>
  <c r="CW18" i="38"/>
  <c r="DS18" i="38" s="1"/>
  <c r="CW26" i="38"/>
  <c r="DS26" i="38" s="1"/>
  <c r="CW34" i="38"/>
  <c r="DS34" i="38" s="1"/>
  <c r="CW42" i="38"/>
  <c r="DS42" i="38" s="1"/>
  <c r="CW50" i="38"/>
  <c r="DS50" i="38" s="1"/>
  <c r="CW58" i="38"/>
  <c r="DS58" i="38" s="1"/>
  <c r="CW66" i="38"/>
  <c r="DS66" i="38" s="1"/>
  <c r="CW74" i="38"/>
  <c r="DS74" i="38" s="1"/>
  <c r="CV14" i="38"/>
  <c r="DR14" i="38" s="1"/>
  <c r="CV22" i="38"/>
  <c r="DR22" i="38" s="1"/>
  <c r="CV30" i="38"/>
  <c r="DR30" i="38" s="1"/>
  <c r="CV38" i="38"/>
  <c r="DR38" i="38" s="1"/>
  <c r="CV46" i="38"/>
  <c r="DR46" i="38" s="1"/>
  <c r="CV54" i="38"/>
  <c r="DR54" i="38" s="1"/>
  <c r="CV62" i="38"/>
  <c r="DR62" i="38" s="1"/>
  <c r="CV70" i="38"/>
  <c r="DR70" i="38" s="1"/>
  <c r="CW7" i="38"/>
  <c r="DS7" i="38" s="1"/>
  <c r="CW15" i="38"/>
  <c r="DS15" i="38" s="1"/>
  <c r="CW23" i="38"/>
  <c r="DS23" i="38" s="1"/>
  <c r="CW31" i="38"/>
  <c r="DS31" i="38" s="1"/>
  <c r="CW39" i="38"/>
  <c r="DS39" i="38" s="1"/>
  <c r="CW47" i="38"/>
  <c r="DS47" i="38" s="1"/>
  <c r="CW55" i="38"/>
  <c r="DS55" i="38" s="1"/>
  <c r="CW63" i="38"/>
  <c r="DS63" i="38" s="1"/>
  <c r="CW71" i="38"/>
  <c r="DS71" i="38" s="1"/>
  <c r="CW79" i="38"/>
  <c r="DS79" i="38" s="1"/>
  <c r="CV11" i="38"/>
  <c r="DR11" i="38" s="1"/>
  <c r="CV19" i="38"/>
  <c r="DR19" i="38" s="1"/>
  <c r="CV27" i="38"/>
  <c r="DR27" i="38" s="1"/>
  <c r="CV35" i="38"/>
  <c r="DR35" i="38" s="1"/>
  <c r="CV47" i="38"/>
  <c r="DR47" i="38" s="1"/>
  <c r="CV78" i="38"/>
  <c r="DR78" i="38" s="1"/>
  <c r="CW8" i="38"/>
  <c r="DS8" i="38" s="1"/>
  <c r="CW16" i="38"/>
  <c r="DS16" i="38" s="1"/>
  <c r="CW24" i="38"/>
  <c r="DS24" i="38" s="1"/>
  <c r="CW32" i="38"/>
  <c r="DS32" i="38" s="1"/>
  <c r="CW40" i="38"/>
  <c r="DS40" i="38" s="1"/>
  <c r="CW48" i="38"/>
  <c r="DS48" i="38" s="1"/>
  <c r="CW56" i="38"/>
  <c r="DS56" i="38" s="1"/>
  <c r="CW64" i="38"/>
  <c r="DS64" i="38" s="1"/>
  <c r="CW72" i="38"/>
  <c r="DS72" i="38" s="1"/>
  <c r="CW80" i="38"/>
  <c r="DS80" i="38" s="1"/>
  <c r="CV12" i="38"/>
  <c r="DR12" i="38" s="1"/>
  <c r="CV20" i="38"/>
  <c r="DR20" i="38" s="1"/>
  <c r="CV28" i="38"/>
  <c r="DR28" i="38" s="1"/>
  <c r="CV36" i="38"/>
  <c r="DR36" i="38" s="1"/>
  <c r="CV44" i="38"/>
  <c r="DR44" i="38" s="1"/>
  <c r="CV52" i="38"/>
  <c r="DR52" i="38" s="1"/>
  <c r="CV60" i="38"/>
  <c r="DR60" i="38" s="1"/>
  <c r="CV68" i="38"/>
  <c r="DR68" i="38" s="1"/>
  <c r="CV76" i="38"/>
  <c r="DR76" i="38" s="1"/>
  <c r="CW13" i="38"/>
  <c r="DS13" i="38" s="1"/>
  <c r="CW21" i="38"/>
  <c r="DS21" i="38" s="1"/>
  <c r="CW29" i="38"/>
  <c r="DS29" i="38" s="1"/>
  <c r="CW37" i="38"/>
  <c r="DS37" i="38" s="1"/>
  <c r="CW45" i="38"/>
  <c r="DS45" i="38" s="1"/>
  <c r="CW53" i="38"/>
  <c r="DS53" i="38" s="1"/>
  <c r="CW61" i="38"/>
  <c r="DS61" i="38" s="1"/>
  <c r="CW69" i="38"/>
  <c r="DS69" i="38" s="1"/>
  <c r="CW77" i="38"/>
  <c r="DS77" i="38" s="1"/>
  <c r="CV9" i="38"/>
  <c r="DR9" i="38" s="1"/>
  <c r="CV17" i="38"/>
  <c r="DR17" i="38" s="1"/>
  <c r="CV25" i="38"/>
  <c r="DR25" i="38" s="1"/>
  <c r="CV33" i="38"/>
  <c r="DR33" i="38" s="1"/>
  <c r="CV43" i="38"/>
  <c r="DR43" i="38" s="1"/>
  <c r="CV59" i="38"/>
  <c r="DR59" i="38" s="1"/>
  <c r="CV75" i="38"/>
  <c r="DR75" i="38" s="1"/>
  <c r="CW14" i="38"/>
  <c r="DS14" i="38" s="1"/>
  <c r="CW22" i="38"/>
  <c r="DS22" i="38" s="1"/>
  <c r="CW30" i="38"/>
  <c r="DS30" i="38" s="1"/>
  <c r="CW38" i="38"/>
  <c r="DS38" i="38" s="1"/>
  <c r="CW46" i="38"/>
  <c r="DS46" i="38" s="1"/>
  <c r="CW54" i="38"/>
  <c r="DS54" i="38" s="1"/>
  <c r="CW62" i="38"/>
  <c r="DS62" i="38" s="1"/>
  <c r="CW70" i="38"/>
  <c r="DS70" i="38" s="1"/>
  <c r="CW78" i="38"/>
  <c r="DS78" i="38" s="1"/>
  <c r="CV10" i="38"/>
  <c r="DR10" i="38" s="1"/>
  <c r="CV18" i="38"/>
  <c r="DR18" i="38" s="1"/>
  <c r="CV26" i="38"/>
  <c r="DR26" i="38" s="1"/>
  <c r="CV34" i="38"/>
  <c r="DR34" i="38" s="1"/>
  <c r="CV42" i="38"/>
  <c r="DR42" i="38" s="1"/>
  <c r="CV50" i="38"/>
  <c r="DR50" i="38" s="1"/>
  <c r="CV58" i="38"/>
  <c r="DR58" i="38" s="1"/>
  <c r="CV66" i="38"/>
  <c r="DR66" i="38" s="1"/>
  <c r="CV74" i="38"/>
  <c r="DR74" i="38" s="1"/>
  <c r="CW11" i="38"/>
  <c r="DS11" i="38" s="1"/>
  <c r="CW19" i="38"/>
  <c r="DS19" i="38" s="1"/>
  <c r="CW27" i="38"/>
  <c r="DS27" i="38" s="1"/>
  <c r="CW35" i="38"/>
  <c r="DS35" i="38" s="1"/>
  <c r="CW43" i="38"/>
  <c r="DS43" i="38" s="1"/>
  <c r="CW51" i="38"/>
  <c r="DS51" i="38" s="1"/>
  <c r="CW59" i="38"/>
  <c r="DS59" i="38" s="1"/>
  <c r="CW67" i="38"/>
  <c r="DS67" i="38" s="1"/>
  <c r="CW75" i="38"/>
  <c r="DS75" i="38" s="1"/>
  <c r="CV7" i="38"/>
  <c r="DR7" i="38" s="1"/>
  <c r="CV15" i="38"/>
  <c r="DR15" i="38" s="1"/>
  <c r="CV23" i="38"/>
  <c r="DR23" i="38" s="1"/>
  <c r="CV31" i="38"/>
  <c r="DR31" i="38" s="1"/>
  <c r="CV39" i="38"/>
  <c r="DR39" i="38" s="1"/>
  <c r="CV63" i="38"/>
  <c r="DR63" i="38" s="1"/>
  <c r="CV69" i="38"/>
  <c r="DR69" i="38" s="1"/>
  <c r="CV53" i="38"/>
  <c r="DR53" i="38" s="1"/>
  <c r="CV55" i="38"/>
  <c r="DR55" i="38" s="1"/>
  <c r="CV79" i="38"/>
  <c r="DR79" i="38" s="1"/>
  <c r="CV65" i="38"/>
  <c r="DR65" i="38" s="1"/>
  <c r="CV49" i="38"/>
  <c r="DR49" i="38" s="1"/>
  <c r="CV77" i="38"/>
  <c r="DR77" i="38" s="1"/>
  <c r="CV61" i="38"/>
  <c r="DR61" i="38" s="1"/>
  <c r="CV45" i="38"/>
  <c r="DR45" i="38" s="1"/>
  <c r="CV71" i="38"/>
  <c r="DR71" i="38" s="1"/>
  <c r="CW6" i="38"/>
  <c r="DS6" i="38" s="1"/>
  <c r="CV73" i="38"/>
  <c r="DR73" i="38" s="1"/>
  <c r="CV57" i="38"/>
  <c r="DR57" i="38" s="1"/>
  <c r="CV41" i="38"/>
  <c r="DR41" i="38" s="1"/>
  <c r="CN71" i="38"/>
  <c r="CO79" i="38"/>
  <c r="CN79" i="38"/>
  <c r="CN74" i="38"/>
  <c r="CN73" i="38"/>
  <c r="CM80" i="38"/>
  <c r="CN77" i="38"/>
  <c r="CN72" i="38"/>
  <c r="CO78" i="38"/>
  <c r="CL79" i="38"/>
  <c r="CO77" i="38"/>
  <c r="CM78" i="38"/>
  <c r="CM75" i="38"/>
  <c r="CL76" i="38"/>
  <c r="CN78" i="38"/>
  <c r="CO71" i="38"/>
  <c r="CL72" i="38"/>
  <c r="CM77" i="38"/>
  <c r="CM74" i="38"/>
  <c r="CL71" i="38"/>
  <c r="CM72" i="38"/>
  <c r="CM73" i="38"/>
  <c r="CM79" i="38"/>
  <c r="CL75" i="38"/>
  <c r="CO75" i="38"/>
  <c r="CL74" i="38"/>
  <c r="CO72" i="38"/>
  <c r="CL73" i="38"/>
  <c r="CM76" i="38"/>
  <c r="CO73" i="38"/>
  <c r="CL78" i="38"/>
  <c r="CL77" i="38"/>
  <c r="CN76" i="38"/>
  <c r="CO76" i="38"/>
  <c r="CM71" i="38"/>
  <c r="CN75" i="38"/>
  <c r="CO80" i="38"/>
  <c r="CO74" i="38"/>
  <c r="CI97" i="38"/>
  <c r="CI81" i="38"/>
  <c r="CH76" i="38"/>
  <c r="CI84" i="38"/>
  <c r="CI94" i="38"/>
  <c r="CI79" i="38"/>
  <c r="CI78" i="38"/>
  <c r="CH83" i="38"/>
  <c r="CI100" i="38"/>
  <c r="CI73" i="38"/>
  <c r="CI92" i="38"/>
  <c r="CH82" i="38"/>
  <c r="CH98" i="38"/>
  <c r="CI95" i="38"/>
  <c r="DJ31" i="38"/>
  <c r="DA6" i="38"/>
  <c r="CZ6" i="38"/>
  <c r="CU21" i="38"/>
  <c r="DH7" i="38"/>
  <c r="DI14" i="38"/>
  <c r="DH30" i="38"/>
  <c r="DI50" i="38"/>
  <c r="DH53" i="38"/>
  <c r="DH50" i="38"/>
  <c r="DH34" i="38"/>
  <c r="DI22" i="38"/>
  <c r="DI11" i="38"/>
  <c r="DI51" i="38"/>
  <c r="DI46" i="38"/>
  <c r="DK42" i="38"/>
  <c r="DJ45" i="38"/>
  <c r="DJ58" i="38"/>
  <c r="DJ35" i="38"/>
  <c r="DJ48" i="38"/>
  <c r="DJ25" i="38"/>
  <c r="DK37" i="38"/>
  <c r="DJ40" i="38"/>
  <c r="DH13" i="38"/>
  <c r="DI26" i="38"/>
  <c r="DI30" i="38"/>
  <c r="DI68" i="38"/>
  <c r="DI35" i="38"/>
  <c r="DH56" i="38"/>
  <c r="DH58" i="38"/>
  <c r="DI40" i="38"/>
  <c r="DI59" i="38"/>
  <c r="DI69" i="38"/>
  <c r="DH35" i="38"/>
  <c r="DK54" i="38"/>
  <c r="DJ57" i="38"/>
  <c r="DJ70" i="38"/>
  <c r="DJ47" i="38"/>
  <c r="DJ60" i="38"/>
  <c r="DJ37" i="38"/>
  <c r="DK49" i="38"/>
  <c r="DJ52" i="38"/>
  <c r="DH19" i="38"/>
  <c r="DI38" i="38"/>
  <c r="DI7" i="38"/>
  <c r="DH27" i="38"/>
  <c r="DH42" i="38"/>
  <c r="DH62" i="38"/>
  <c r="DI23" i="38"/>
  <c r="DH17" i="38"/>
  <c r="DH54" i="38"/>
  <c r="DH28" i="38"/>
  <c r="DH59" i="38"/>
  <c r="DK66" i="38"/>
  <c r="DJ69" i="38"/>
  <c r="DK36" i="38"/>
  <c r="DJ59" i="38"/>
  <c r="DJ24" i="38"/>
  <c r="DJ49" i="38"/>
  <c r="DK61" i="38"/>
  <c r="DJ64" i="38"/>
  <c r="DH25" i="38"/>
  <c r="DI56" i="38"/>
  <c r="DI13" i="38"/>
  <c r="DH39" i="38"/>
  <c r="DI12" i="38"/>
  <c r="DH68" i="38"/>
  <c r="DH24" i="38"/>
  <c r="DI6" i="38"/>
  <c r="DI18" i="38"/>
  <c r="DH64" i="38"/>
  <c r="DI29" i="38"/>
  <c r="DJ32" i="38"/>
  <c r="DJ65" i="38"/>
  <c r="DJ38" i="38"/>
  <c r="DK24" i="38"/>
  <c r="DK48" i="38"/>
  <c r="DJ61" i="38"/>
  <c r="DJ27" i="38"/>
  <c r="DK27" i="38"/>
  <c r="DH31" i="38"/>
  <c r="DH21" i="38"/>
  <c r="DI19" i="38"/>
  <c r="DH57" i="38"/>
  <c r="DI60" i="38"/>
  <c r="DI32" i="38"/>
  <c r="DH66" i="38"/>
  <c r="DI47" i="38"/>
  <c r="DI66" i="38"/>
  <c r="DI34" i="38"/>
  <c r="DI65" i="38"/>
  <c r="DJ44" i="38"/>
  <c r="DK64" i="38"/>
  <c r="DJ41" i="38"/>
  <c r="DK60" i="38"/>
  <c r="DJ62" i="38"/>
  <c r="DJ26" i="38"/>
  <c r="DJ39" i="38"/>
  <c r="DJ29" i="38"/>
  <c r="DH37" i="38"/>
  <c r="DH52" i="38"/>
  <c r="DI25" i="38"/>
  <c r="DH69" i="38"/>
  <c r="DH8" i="38"/>
  <c r="DI62" i="38"/>
  <c r="DI42" i="38"/>
  <c r="DH12" i="38"/>
  <c r="DI9" i="38"/>
  <c r="DI58" i="38"/>
  <c r="DH36" i="38"/>
  <c r="DJ56" i="38"/>
  <c r="DK65" i="38"/>
  <c r="DK40" i="38"/>
  <c r="DK63" i="38"/>
  <c r="DK51" i="38"/>
  <c r="DJ50" i="38"/>
  <c r="DJ51" i="38"/>
  <c r="DJ42" i="38"/>
  <c r="DH43" i="38"/>
  <c r="DI10" i="38"/>
  <c r="DI31" i="38"/>
  <c r="DH10" i="38"/>
  <c r="DH14" i="38"/>
  <c r="DH15" i="38"/>
  <c r="DI8" i="38"/>
  <c r="DI36" i="38"/>
  <c r="DI15" i="38"/>
  <c r="DH11" i="38"/>
  <c r="DI24" i="38"/>
  <c r="DJ68" i="38"/>
  <c r="DK32" i="38"/>
  <c r="DK41" i="38"/>
  <c r="DJ54" i="38"/>
  <c r="DK52" i="38"/>
  <c r="DK39" i="38"/>
  <c r="DJ63" i="38"/>
  <c r="DH49" i="38"/>
  <c r="DI52" i="38"/>
  <c r="DI37" i="38"/>
  <c r="DH40" i="38"/>
  <c r="DH20" i="38"/>
  <c r="DH33" i="38"/>
  <c r="DI20" i="38"/>
  <c r="DH9" i="38"/>
  <c r="DI21" i="38"/>
  <c r="DH65" i="38"/>
  <c r="DH48" i="38"/>
  <c r="DK31" i="38"/>
  <c r="DK44" i="38"/>
  <c r="DJ43" i="38"/>
  <c r="DK34" i="38"/>
  <c r="DK29" i="38"/>
  <c r="DJ53" i="38"/>
  <c r="DK26" i="38"/>
  <c r="DH55" i="38"/>
  <c r="DH29" i="38"/>
  <c r="DI43" i="38"/>
  <c r="DH70" i="38"/>
  <c r="DH26" i="38"/>
  <c r="DH51" i="38"/>
  <c r="DI44" i="38"/>
  <c r="DH45" i="38"/>
  <c r="DI27" i="38"/>
  <c r="DI41" i="38"/>
  <c r="DI48" i="38"/>
  <c r="DK43" i="38"/>
  <c r="DK56" i="38"/>
  <c r="DK33" i="38"/>
  <c r="DK46" i="38"/>
  <c r="DJ67" i="38"/>
  <c r="DJ30" i="38"/>
  <c r="DK38" i="38"/>
  <c r="DH61" i="38"/>
  <c r="DH47" i="38"/>
  <c r="DI49" i="38"/>
  <c r="DI28" i="38"/>
  <c r="DH32" i="38"/>
  <c r="DH63" i="38"/>
  <c r="DI57" i="38"/>
  <c r="DI16" i="38"/>
  <c r="DI33" i="38"/>
  <c r="DH18" i="38"/>
  <c r="DK28" i="38"/>
  <c r="DK55" i="38"/>
  <c r="DK68" i="38"/>
  <c r="DK45" i="38"/>
  <c r="DK58" i="38"/>
  <c r="DK35" i="38"/>
  <c r="DK53" i="38"/>
  <c r="DK50" i="38"/>
  <c r="DH67" i="38"/>
  <c r="DI17" i="38"/>
  <c r="DI55" i="38"/>
  <c r="DI64" i="38"/>
  <c r="DH38" i="38"/>
  <c r="DI63" i="38"/>
  <c r="DH22" i="38"/>
  <c r="DI70" i="38"/>
  <c r="DI39" i="38"/>
  <c r="DH60" i="38"/>
  <c r="DJ66" i="38"/>
  <c r="DK67" i="38"/>
  <c r="DJ34" i="38"/>
  <c r="DK57" i="38"/>
  <c r="DK70" i="38"/>
  <c r="DK47" i="38"/>
  <c r="DJ55" i="38"/>
  <c r="DK62" i="38"/>
  <c r="DI67" i="38"/>
  <c r="DI53" i="38"/>
  <c r="DI61" i="38"/>
  <c r="DH23" i="38"/>
  <c r="DH44" i="38"/>
  <c r="DH16" i="38"/>
  <c r="DH46" i="38"/>
  <c r="DH41" i="38"/>
  <c r="DI45" i="38"/>
  <c r="DI54" i="38"/>
  <c r="DK30" i="38"/>
  <c r="DJ33" i="38"/>
  <c r="DJ46" i="38"/>
  <c r="DK69" i="38"/>
  <c r="DJ36" i="38"/>
  <c r="DK59" i="38"/>
  <c r="DK25" i="38"/>
  <c r="DJ28" i="38"/>
  <c r="DA18" i="38"/>
  <c r="CZ68" i="38"/>
  <c r="CZ50" i="38"/>
  <c r="DA56" i="38"/>
  <c r="DA45" i="38"/>
  <c r="DA34" i="38"/>
  <c r="DA35" i="38"/>
  <c r="DA24" i="38"/>
  <c r="DA26" i="38"/>
  <c r="CZ46" i="38"/>
  <c r="DA29" i="38"/>
  <c r="DA30" i="38"/>
  <c r="DA15" i="38"/>
  <c r="CZ62" i="38"/>
  <c r="DA68" i="38"/>
  <c r="DA57" i="38"/>
  <c r="DA46" i="38"/>
  <c r="DA47" i="38"/>
  <c r="DA36" i="38"/>
  <c r="DA38" i="38"/>
  <c r="DA16" i="38"/>
  <c r="DA41" i="38"/>
  <c r="DA42" i="38"/>
  <c r="CZ58" i="38"/>
  <c r="DA13" i="38"/>
  <c r="CZ15" i="38"/>
  <c r="DA69" i="38"/>
  <c r="DA58" i="38"/>
  <c r="DA59" i="38"/>
  <c r="DA48" i="38"/>
  <c r="DA50" i="38"/>
  <c r="DA28" i="38"/>
  <c r="DA53" i="38"/>
  <c r="DA54" i="38"/>
  <c r="DA7" i="38"/>
  <c r="DA37" i="38"/>
  <c r="CZ27" i="38"/>
  <c r="CZ16" i="38"/>
  <c r="DA60" i="38"/>
  <c r="DA62" i="38"/>
  <c r="DA40" i="38"/>
  <c r="DA65" i="38"/>
  <c r="DA66" i="38"/>
  <c r="DA19" i="38"/>
  <c r="DA61" i="38"/>
  <c r="CZ39" i="38"/>
  <c r="CZ28" i="38"/>
  <c r="CZ17" i="38"/>
  <c r="CZ18" i="38"/>
  <c r="CZ7" i="38"/>
  <c r="CZ9" i="38"/>
  <c r="DA52" i="38"/>
  <c r="CZ12" i="38"/>
  <c r="CZ13" i="38"/>
  <c r="DA31" i="38"/>
  <c r="CZ56" i="38"/>
  <c r="CZ51" i="38"/>
  <c r="CZ40" i="38"/>
  <c r="CZ29" i="38"/>
  <c r="CZ30" i="38"/>
  <c r="CZ19" i="38"/>
  <c r="CZ21" i="38"/>
  <c r="DA64" i="38"/>
  <c r="CZ24" i="38"/>
  <c r="CZ25" i="38"/>
  <c r="DA43" i="38"/>
  <c r="DA51" i="38"/>
  <c r="CZ63" i="38"/>
  <c r="CZ52" i="38"/>
  <c r="CZ41" i="38"/>
  <c r="CZ42" i="38"/>
  <c r="CZ31" i="38"/>
  <c r="CZ33" i="38"/>
  <c r="CZ11" i="38"/>
  <c r="CZ36" i="38"/>
  <c r="CZ37" i="38"/>
  <c r="DA55" i="38"/>
  <c r="CZ70" i="38"/>
  <c r="CZ44" i="38"/>
  <c r="CZ64" i="38"/>
  <c r="CZ53" i="38"/>
  <c r="CZ54" i="38"/>
  <c r="CZ43" i="38"/>
  <c r="CZ45" i="38"/>
  <c r="CZ23" i="38"/>
  <c r="CZ48" i="38"/>
  <c r="CZ49" i="38"/>
  <c r="DA67" i="38"/>
  <c r="DA8" i="38"/>
  <c r="DA39" i="38"/>
  <c r="CZ32" i="38"/>
  <c r="CZ65" i="38"/>
  <c r="CZ66" i="38"/>
  <c r="CZ55" i="38"/>
  <c r="CZ57" i="38"/>
  <c r="CZ35" i="38"/>
  <c r="CZ60" i="38"/>
  <c r="CZ61" i="38"/>
  <c r="CZ14" i="38"/>
  <c r="DA20" i="38"/>
  <c r="DA9" i="38"/>
  <c r="CZ10" i="38"/>
  <c r="CZ22" i="38"/>
  <c r="DA49" i="38"/>
  <c r="CZ67" i="38"/>
  <c r="CZ69" i="38"/>
  <c r="CZ47" i="38"/>
  <c r="DA25" i="38"/>
  <c r="CZ26" i="38"/>
  <c r="DA32" i="38"/>
  <c r="DA21" i="38"/>
  <c r="DA10" i="38"/>
  <c r="DA11" i="38"/>
  <c r="DA27" i="38"/>
  <c r="CZ20" i="38"/>
  <c r="DA63" i="38"/>
  <c r="CZ59" i="38"/>
  <c r="DA70" i="38"/>
  <c r="CZ8" i="38"/>
  <c r="CZ38" i="38"/>
  <c r="DA44" i="38"/>
  <c r="DA33" i="38"/>
  <c r="DA22" i="38"/>
  <c r="DA23" i="38"/>
  <c r="DA12" i="38"/>
  <c r="DA14" i="38"/>
  <c r="CZ34" i="38"/>
  <c r="DA17" i="38"/>
  <c r="CU31" i="38"/>
  <c r="CU39" i="38"/>
  <c r="CU66" i="38"/>
  <c r="CU58" i="38"/>
  <c r="CU32" i="38"/>
  <c r="CU70" i="38"/>
  <c r="CU33" i="38"/>
  <c r="CU63" i="38"/>
  <c r="CU55" i="38"/>
  <c r="CU35" i="38"/>
  <c r="CU23" i="38"/>
  <c r="CU40" i="38"/>
  <c r="CU67" i="38"/>
  <c r="CU47" i="38"/>
  <c r="CU24" i="38"/>
  <c r="CU41" i="38"/>
  <c r="CU44" i="38"/>
  <c r="CU59" i="38"/>
  <c r="CU37" i="38"/>
  <c r="CU27" i="38"/>
  <c r="CU68" i="38"/>
  <c r="CU48" i="38"/>
  <c r="CU49" i="38"/>
  <c r="CU45" i="38"/>
  <c r="CU60" i="38"/>
  <c r="CU42" i="38"/>
  <c r="CU29" i="38"/>
  <c r="CU54" i="38"/>
  <c r="CU51" i="38"/>
  <c r="CU26" i="38"/>
  <c r="CU36" i="38"/>
  <c r="CU53" i="38"/>
  <c r="CU50" i="38"/>
  <c r="CU22" i="38"/>
  <c r="CU46" i="38"/>
  <c r="CU43" i="38"/>
  <c r="CU61" i="38"/>
  <c r="CU28" i="38"/>
  <c r="CU57" i="38"/>
  <c r="CU52" i="38"/>
  <c r="CU38" i="38"/>
  <c r="CU30" i="38"/>
  <c r="CU69" i="38"/>
  <c r="CU64" i="38"/>
  <c r="CU34" i="38"/>
  <c r="CU62" i="38"/>
  <c r="CU65" i="38"/>
  <c r="CU25" i="38"/>
  <c r="CU56" i="38"/>
  <c r="CM53" i="38"/>
  <c r="CM59" i="38"/>
  <c r="CL28" i="38"/>
  <c r="CL62" i="38"/>
  <c r="CL23" i="38"/>
  <c r="CM12" i="38"/>
  <c r="CM24" i="38"/>
  <c r="CM50" i="38"/>
  <c r="CL32" i="38"/>
  <c r="CM40" i="38"/>
  <c r="CM70" i="38"/>
  <c r="CM41" i="38"/>
  <c r="CM29" i="38"/>
  <c r="CL34" i="38"/>
  <c r="CM7" i="38"/>
  <c r="CM42" i="38"/>
  <c r="CL63" i="38"/>
  <c r="CM35" i="38"/>
  <c r="CL29" i="38"/>
  <c r="CL57" i="38"/>
  <c r="CM21" i="38"/>
  <c r="CM33" i="38"/>
  <c r="CM64" i="38"/>
  <c r="CL41" i="38"/>
  <c r="CL17" i="38"/>
  <c r="CL52" i="38"/>
  <c r="CM58" i="38"/>
  <c r="CM31" i="38"/>
  <c r="CL45" i="38"/>
  <c r="CL48" i="38"/>
  <c r="CL27" i="38"/>
  <c r="CL9" i="38"/>
  <c r="CL8" i="38"/>
  <c r="CM18" i="38"/>
  <c r="CL13" i="38"/>
  <c r="CL30" i="38"/>
  <c r="CL61" i="38"/>
  <c r="CL25" i="38"/>
  <c r="CM52" i="38"/>
  <c r="CL66" i="38"/>
  <c r="CM25" i="38"/>
  <c r="CM14" i="38"/>
  <c r="CM19" i="38"/>
  <c r="CL40" i="38"/>
  <c r="CL22" i="38"/>
  <c r="CL42" i="38"/>
  <c r="CL50" i="38"/>
  <c r="CM61" i="38"/>
  <c r="CY8" i="38"/>
  <c r="CY12" i="38"/>
  <c r="CY16" i="38"/>
  <c r="CY20" i="38"/>
  <c r="CY24" i="38"/>
  <c r="CY28" i="38"/>
  <c r="CY32" i="38"/>
  <c r="CY36" i="38"/>
  <c r="CY40" i="38"/>
  <c r="CY44" i="38"/>
  <c r="CY48" i="38"/>
  <c r="CY52" i="38"/>
  <c r="CY56" i="38"/>
  <c r="CY60" i="38"/>
  <c r="CY64" i="38"/>
  <c r="CY68" i="38"/>
  <c r="CX9" i="38"/>
  <c r="CX13" i="38"/>
  <c r="CX17" i="38"/>
  <c r="CX21" i="38"/>
  <c r="CX25" i="38"/>
  <c r="CX29" i="38"/>
  <c r="CX33" i="38"/>
  <c r="CX37" i="38"/>
  <c r="CX41" i="38"/>
  <c r="CX45" i="38"/>
  <c r="CX49" i="38"/>
  <c r="CX53" i="38"/>
  <c r="CX57" i="38"/>
  <c r="CX61" i="38"/>
  <c r="CX65" i="38"/>
  <c r="CX69" i="38"/>
  <c r="CY10" i="38"/>
  <c r="CY18" i="38"/>
  <c r="CY26" i="38"/>
  <c r="CX7" i="38"/>
  <c r="CY9" i="38"/>
  <c r="CY13" i="38"/>
  <c r="CY17" i="38"/>
  <c r="CY21" i="38"/>
  <c r="CY25" i="38"/>
  <c r="CY29" i="38"/>
  <c r="CY33" i="38"/>
  <c r="CY37" i="38"/>
  <c r="CY41" i="38"/>
  <c r="CY45" i="38"/>
  <c r="CY49" i="38"/>
  <c r="CY53" i="38"/>
  <c r="CY57" i="38"/>
  <c r="CY61" i="38"/>
  <c r="CY65" i="38"/>
  <c r="CY69" i="38"/>
  <c r="CX10" i="38"/>
  <c r="CX14" i="38"/>
  <c r="CX18" i="38"/>
  <c r="CX22" i="38"/>
  <c r="CX26" i="38"/>
  <c r="CX30" i="38"/>
  <c r="CX34" i="38"/>
  <c r="CX38" i="38"/>
  <c r="CX42" i="38"/>
  <c r="CX46" i="38"/>
  <c r="CX50" i="38"/>
  <c r="CX54" i="38"/>
  <c r="CX58" i="38"/>
  <c r="CX62" i="38"/>
  <c r="CX66" i="38"/>
  <c r="CX70" i="38"/>
  <c r="CY14" i="38"/>
  <c r="CY22" i="38"/>
  <c r="CY7" i="38"/>
  <c r="CY23" i="38"/>
  <c r="CY34" i="38"/>
  <c r="CY42" i="38"/>
  <c r="CY50" i="38"/>
  <c r="CY58" i="38"/>
  <c r="CX11" i="38"/>
  <c r="CX19" i="38"/>
  <c r="CX27" i="38"/>
  <c r="CX51" i="38"/>
  <c r="CY11" i="38"/>
  <c r="CY35" i="38"/>
  <c r="CY51" i="38"/>
  <c r="CY67" i="38"/>
  <c r="CX20" i="38"/>
  <c r="CX36" i="38"/>
  <c r="CX52" i="38"/>
  <c r="CX68" i="38"/>
  <c r="CY30" i="38"/>
  <c r="CY46" i="38"/>
  <c r="CY70" i="38"/>
  <c r="CX23" i="38"/>
  <c r="CX39" i="38"/>
  <c r="CX55" i="38"/>
  <c r="CY6" i="38"/>
  <c r="CY19" i="38"/>
  <c r="CY31" i="38"/>
  <c r="CY39" i="38"/>
  <c r="CY47" i="38"/>
  <c r="CY55" i="38"/>
  <c r="CY63" i="38"/>
  <c r="CX8" i="38"/>
  <c r="CX16" i="38"/>
  <c r="CX24" i="38"/>
  <c r="CX32" i="38"/>
  <c r="CX40" i="38"/>
  <c r="CX48" i="38"/>
  <c r="CX56" i="38"/>
  <c r="CX64" i="38"/>
  <c r="CY66" i="38"/>
  <c r="CX35" i="38"/>
  <c r="CX43" i="38"/>
  <c r="CX59" i="38"/>
  <c r="CX67" i="38"/>
  <c r="CY27" i="38"/>
  <c r="CY43" i="38"/>
  <c r="CY59" i="38"/>
  <c r="CX12" i="38"/>
  <c r="CX28" i="38"/>
  <c r="CX44" i="38"/>
  <c r="CX60" i="38"/>
  <c r="CY15" i="38"/>
  <c r="CY38" i="38"/>
  <c r="CY54" i="38"/>
  <c r="CY62" i="38"/>
  <c r="CX15" i="38"/>
  <c r="CX31" i="38"/>
  <c r="CX47" i="38"/>
  <c r="CX63" i="38"/>
  <c r="CM51" i="38"/>
  <c r="CL55" i="38"/>
  <c r="CM57" i="38"/>
  <c r="CM47" i="38"/>
  <c r="CL44" i="38"/>
  <c r="CL16" i="38"/>
  <c r="CL56" i="38"/>
  <c r="CM68" i="38"/>
  <c r="CM23" i="38"/>
  <c r="CL49" i="38"/>
  <c r="CL39" i="38"/>
  <c r="CM6" i="38"/>
  <c r="CM8" i="38"/>
  <c r="CM10" i="38"/>
  <c r="CL51" i="38"/>
  <c r="CM20" i="38"/>
  <c r="CL70" i="38"/>
  <c r="CM66" i="38"/>
  <c r="CL7" i="38"/>
  <c r="CL19" i="38"/>
  <c r="CL69" i="38"/>
  <c r="CL12" i="38"/>
  <c r="CM49" i="38"/>
  <c r="CM17" i="38"/>
  <c r="CM36" i="38"/>
  <c r="CL24" i="38"/>
  <c r="CM56" i="38"/>
  <c r="CL21" i="38"/>
  <c r="CM34" i="38"/>
  <c r="CL31" i="38"/>
  <c r="CL68" i="38"/>
  <c r="CM48" i="38"/>
  <c r="CM26" i="38"/>
  <c r="CL37" i="38"/>
  <c r="CL15" i="38"/>
  <c r="CM55" i="38"/>
  <c r="CL14" i="38"/>
  <c r="CM62" i="38"/>
  <c r="CL10" i="38"/>
  <c r="CM60" i="38"/>
  <c r="CL33" i="38"/>
  <c r="CL65" i="38"/>
  <c r="CM13" i="38"/>
  <c r="CM15" i="38"/>
  <c r="CL54" i="38"/>
  <c r="CL58" i="38"/>
  <c r="CM11" i="38"/>
  <c r="CL64" i="38"/>
  <c r="CM22" i="38"/>
  <c r="CL11" i="38"/>
  <c r="CM67" i="38"/>
  <c r="CM28" i="38"/>
  <c r="CM43" i="38"/>
  <c r="CM45" i="38"/>
  <c r="CL43" i="38"/>
  <c r="CM38" i="38"/>
  <c r="CL35" i="38"/>
  <c r="CM44" i="38"/>
  <c r="CL20" i="38"/>
  <c r="CL53" i="38"/>
  <c r="CL36" i="38"/>
  <c r="CM37" i="38"/>
  <c r="CM46" i="38"/>
  <c r="CM65" i="38"/>
  <c r="CM63" i="38"/>
  <c r="CM69" i="38"/>
  <c r="CL38" i="38"/>
  <c r="CM39" i="38"/>
  <c r="CM16" i="38"/>
  <c r="CL18" i="38"/>
  <c r="CM30" i="38"/>
  <c r="CM32" i="38"/>
  <c r="CM27" i="38"/>
  <c r="CL46" i="38"/>
  <c r="CL60" i="38"/>
  <c r="CL67" i="38"/>
  <c r="CL26" i="38"/>
  <c r="CM9" i="38"/>
  <c r="CL59" i="38"/>
  <c r="CM54" i="38"/>
  <c r="CL47" i="38"/>
  <c r="CH91" i="38" l="1"/>
  <c r="BZ91" i="38" s="1"/>
  <c r="CH74" i="38"/>
  <c r="BZ74" i="38" s="1"/>
  <c r="CH93" i="38"/>
  <c r="BZ93" i="38" s="1"/>
  <c r="CH84" i="38"/>
  <c r="BZ84" i="38" s="1"/>
  <c r="CH103" i="38"/>
  <c r="BZ103" i="38" s="1"/>
  <c r="CI72" i="38"/>
  <c r="CA72" i="38" s="1"/>
  <c r="CH102" i="38"/>
  <c r="BZ102" i="38" s="1"/>
  <c r="CH75" i="38"/>
  <c r="BZ75" i="38" s="1"/>
  <c r="CI96" i="38"/>
  <c r="CA96" i="38" s="1"/>
  <c r="CI99" i="38"/>
  <c r="CA99" i="38" s="1"/>
  <c r="CI103" i="38"/>
  <c r="CA103" i="38" s="1"/>
  <c r="CI86" i="38"/>
  <c r="CA86" i="38" s="1"/>
  <c r="CH78" i="38"/>
  <c r="BZ78" i="38" s="1"/>
  <c r="CI75" i="38"/>
  <c r="CA75" i="38" s="1"/>
  <c r="CH101" i="38"/>
  <c r="BZ101" i="38" s="1"/>
  <c r="CI88" i="38"/>
  <c r="CA88" i="38" s="1"/>
  <c r="CI101" i="38"/>
  <c r="CQ101" i="38" s="1"/>
  <c r="CI77" i="38"/>
  <c r="CA77" i="38" s="1"/>
  <c r="CI76" i="38"/>
  <c r="CA76" i="38" s="1"/>
  <c r="CI105" i="38"/>
  <c r="CA105" i="38" s="1"/>
  <c r="CH92" i="38"/>
  <c r="BZ92" i="38" s="1"/>
  <c r="CH95" i="38"/>
  <c r="BZ95" i="38" s="1"/>
  <c r="CH6" i="38"/>
  <c r="BZ6" i="38" s="1"/>
  <c r="CH20" i="38"/>
  <c r="BZ20" i="38" s="1"/>
  <c r="CI80" i="38"/>
  <c r="CA80" i="38" s="1"/>
  <c r="CH106" i="38"/>
  <c r="BZ106" i="38" s="1"/>
  <c r="CI71" i="38"/>
  <c r="CA71" i="38" s="1"/>
  <c r="CH90" i="38"/>
  <c r="BZ90" i="38" s="1"/>
  <c r="CI104" i="38"/>
  <c r="CA104" i="38" s="1"/>
  <c r="CI102" i="38"/>
  <c r="CA102" i="38" s="1"/>
  <c r="CI87" i="38"/>
  <c r="CA87" i="38" s="1"/>
  <c r="CI91" i="38"/>
  <c r="CA91" i="38" s="1"/>
  <c r="CH96" i="38"/>
  <c r="BZ96" i="38" s="1"/>
  <c r="CH104" i="38"/>
  <c r="BZ104" i="38" s="1"/>
  <c r="CH79" i="38"/>
  <c r="BZ79" i="38" s="1"/>
  <c r="CI98" i="38"/>
  <c r="CA98" i="38" s="1"/>
  <c r="CH72" i="38"/>
  <c r="BZ72" i="38" s="1"/>
  <c r="CH99" i="38"/>
  <c r="BZ99" i="38" s="1"/>
  <c r="CI106" i="38"/>
  <c r="CA106" i="38" s="1"/>
  <c r="CH105" i="38"/>
  <c r="BZ105" i="38" s="1"/>
  <c r="CH77" i="38"/>
  <c r="BZ77" i="38" s="1"/>
  <c r="CI89" i="38"/>
  <c r="CA89" i="38" s="1"/>
  <c r="CH7" i="38"/>
  <c r="BZ7" i="38" s="1"/>
  <c r="CH71" i="38"/>
  <c r="BZ71" i="38" s="1"/>
  <c r="CH80" i="38"/>
  <c r="BZ80" i="38" s="1"/>
  <c r="CH94" i="38"/>
  <c r="BZ94" i="38" s="1"/>
  <c r="CH86" i="38"/>
  <c r="BZ86" i="38" s="1"/>
  <c r="CI90" i="38"/>
  <c r="CA90" i="38" s="1"/>
  <c r="CI85" i="38"/>
  <c r="CA85" i="38" s="1"/>
  <c r="CI83" i="38"/>
  <c r="CA83" i="38" s="1"/>
  <c r="CH89" i="38"/>
  <c r="BZ89" i="38" s="1"/>
  <c r="CI82" i="38"/>
  <c r="CA82" i="38" s="1"/>
  <c r="CH88" i="38"/>
  <c r="BZ88" i="38" s="1"/>
  <c r="CH100" i="38"/>
  <c r="BZ100" i="38" s="1"/>
  <c r="CH81" i="38"/>
  <c r="BZ81" i="38" s="1"/>
  <c r="CI93" i="38"/>
  <c r="CA93" i="38" s="1"/>
  <c r="CH97" i="38"/>
  <c r="BZ97" i="38" s="1"/>
  <c r="CH85" i="38"/>
  <c r="BZ85" i="38" s="1"/>
  <c r="CH73" i="38"/>
  <c r="BZ73" i="38" s="1"/>
  <c r="CI74" i="38"/>
  <c r="CA74" i="38" s="1"/>
  <c r="CH87" i="38"/>
  <c r="BZ87" i="38" s="1"/>
  <c r="DE80" i="38"/>
  <c r="EA80" i="38" s="1"/>
  <c r="EC28" i="38"/>
  <c r="DD80" i="38"/>
  <c r="DZ80" i="38" s="1"/>
  <c r="DF80" i="38"/>
  <c r="CY80" i="38"/>
  <c r="CR80" i="38"/>
  <c r="BZ82" i="38"/>
  <c r="CA78" i="38"/>
  <c r="BZ76" i="38"/>
  <c r="CJ6" i="38"/>
  <c r="CA95" i="38"/>
  <c r="CA73" i="38"/>
  <c r="BZ83" i="38"/>
  <c r="CA79" i="38"/>
  <c r="CA94" i="38"/>
  <c r="CA81" i="38"/>
  <c r="BZ98" i="38"/>
  <c r="CA92" i="38"/>
  <c r="CA100" i="38"/>
  <c r="CA84" i="38"/>
  <c r="CA97" i="38"/>
  <c r="EC44" i="38"/>
  <c r="EB74" i="38"/>
  <c r="DG80" i="38"/>
  <c r="EB8" i="38"/>
  <c r="CL80" i="38"/>
  <c r="CN80" i="38"/>
  <c r="CV80" i="38"/>
  <c r="DR80" i="38" s="1"/>
  <c r="CX80" i="38"/>
  <c r="EC36" i="38"/>
  <c r="EC6" i="38"/>
  <c r="EB42" i="38"/>
  <c r="EC12" i="38"/>
  <c r="EB40" i="38"/>
  <c r="EC76" i="38"/>
  <c r="EB58" i="38"/>
  <c r="EC52" i="38"/>
  <c r="EC20" i="38"/>
  <c r="EB46" i="38"/>
  <c r="EB54" i="38"/>
  <c r="EB79" i="38"/>
  <c r="DA80" i="38"/>
  <c r="DI80" i="38"/>
  <c r="DY80" i="38"/>
  <c r="CZ80" i="38"/>
  <c r="DH80" i="38"/>
  <c r="DX80" i="38"/>
  <c r="DU73" i="38"/>
  <c r="DW73" i="38" s="1"/>
  <c r="DT83" i="38"/>
  <c r="DU79" i="38"/>
  <c r="DW79" i="38" s="1"/>
  <c r="DU97" i="38"/>
  <c r="DT7" i="38"/>
  <c r="DV7" i="38" s="1"/>
  <c r="DU96" i="38"/>
  <c r="DU99" i="38"/>
  <c r="DU75" i="38"/>
  <c r="DW75" i="38" s="1"/>
  <c r="DU101" i="38"/>
  <c r="DU77" i="38"/>
  <c r="DW77" i="38" s="1"/>
  <c r="DT95" i="38"/>
  <c r="DT98" i="38"/>
  <c r="DU92" i="38"/>
  <c r="DU100" i="38"/>
  <c r="DU94" i="38"/>
  <c r="DT76" i="38"/>
  <c r="DV76" i="38" s="1"/>
  <c r="DT106" i="38"/>
  <c r="DU102" i="38"/>
  <c r="DT104" i="38"/>
  <c r="DT99" i="38"/>
  <c r="DU95" i="38"/>
  <c r="DT82" i="38"/>
  <c r="DT74" i="38"/>
  <c r="DV74" i="38" s="1"/>
  <c r="DU78" i="38"/>
  <c r="DW78" i="38" s="1"/>
  <c r="DU84" i="38"/>
  <c r="DU81" i="38"/>
  <c r="DT94" i="38"/>
  <c r="DT100" i="38"/>
  <c r="DT81" i="38"/>
  <c r="DT85" i="38"/>
  <c r="EB10" i="38"/>
  <c r="EC78" i="38"/>
  <c r="EC46" i="38"/>
  <c r="EC58" i="38"/>
  <c r="EC26" i="38"/>
  <c r="EB44" i="38"/>
  <c r="EB24" i="38"/>
  <c r="EB60" i="38"/>
  <c r="EB64" i="38"/>
  <c r="EB18" i="38"/>
  <c r="EC54" i="38"/>
  <c r="EC22" i="38"/>
  <c r="EC66" i="38"/>
  <c r="EC34" i="38"/>
  <c r="EC62" i="38"/>
  <c r="EC74" i="38"/>
  <c r="EC42" i="38"/>
  <c r="EC10" i="38"/>
  <c r="EC30" i="38"/>
  <c r="EC14" i="38"/>
  <c r="EB72" i="38"/>
  <c r="EC70" i="38"/>
  <c r="EC38" i="38"/>
  <c r="EB14" i="38"/>
  <c r="EC50" i="38"/>
  <c r="EC18" i="38"/>
  <c r="EC60" i="38"/>
  <c r="EB26" i="38"/>
  <c r="EB52" i="38"/>
  <c r="EB38" i="38"/>
  <c r="EB69" i="38"/>
  <c r="EB53" i="38"/>
  <c r="EB37" i="38"/>
  <c r="EB21" i="38"/>
  <c r="EC73" i="38"/>
  <c r="EC57" i="38"/>
  <c r="EC41" i="38"/>
  <c r="EC25" i="38"/>
  <c r="EC9" i="38"/>
  <c r="EB71" i="38"/>
  <c r="EB55" i="38"/>
  <c r="EB39" i="38"/>
  <c r="EB23" i="38"/>
  <c r="EB70" i="38"/>
  <c r="EB12" i="38"/>
  <c r="EB32" i="38"/>
  <c r="EB50" i="38"/>
  <c r="EB22" i="38"/>
  <c r="EB62" i="38"/>
  <c r="EB28" i="38"/>
  <c r="EB73" i="38"/>
  <c r="EB57" i="38"/>
  <c r="EB41" i="38"/>
  <c r="EB25" i="38"/>
  <c r="EB9" i="38"/>
  <c r="EC77" i="38"/>
  <c r="EC61" i="38"/>
  <c r="EC45" i="38"/>
  <c r="EC29" i="38"/>
  <c r="EC13" i="38"/>
  <c r="EB75" i="38"/>
  <c r="EB59" i="38"/>
  <c r="EB43" i="38"/>
  <c r="EB27" i="38"/>
  <c r="EB11" i="38"/>
  <c r="EC79" i="38"/>
  <c r="EC63" i="38"/>
  <c r="EC47" i="38"/>
  <c r="EC31" i="38"/>
  <c r="EC15" i="38"/>
  <c r="EB7" i="38"/>
  <c r="EC75" i="38"/>
  <c r="EC59" i="38"/>
  <c r="EC43" i="38"/>
  <c r="EC27" i="38"/>
  <c r="EC11" i="38"/>
  <c r="EB16" i="38"/>
  <c r="EB34" i="38"/>
  <c r="EB56" i="38"/>
  <c r="EB66" i="38"/>
  <c r="EB76" i="38"/>
  <c r="EC68" i="38"/>
  <c r="EB30" i="38"/>
  <c r="EB77" i="38"/>
  <c r="EB48" i="38"/>
  <c r="EB78" i="38"/>
  <c r="EB68" i="38"/>
  <c r="EB20" i="38"/>
  <c r="EB36" i="38"/>
  <c r="EB65" i="38"/>
  <c r="EB49" i="38"/>
  <c r="EB33" i="38"/>
  <c r="EB17" i="38"/>
  <c r="EC69" i="38"/>
  <c r="EC53" i="38"/>
  <c r="EC37" i="38"/>
  <c r="EC21" i="38"/>
  <c r="EB67" i="38"/>
  <c r="EB51" i="38"/>
  <c r="EB35" i="38"/>
  <c r="EB19" i="38"/>
  <c r="EC71" i="38"/>
  <c r="EC55" i="38"/>
  <c r="EC39" i="38"/>
  <c r="EC23" i="38"/>
  <c r="EC7" i="38"/>
  <c r="EB61" i="38"/>
  <c r="EB45" i="38"/>
  <c r="EB29" i="38"/>
  <c r="EB13" i="38"/>
  <c r="EC65" i="38"/>
  <c r="EC49" i="38"/>
  <c r="EC33" i="38"/>
  <c r="EC17" i="38"/>
  <c r="EB63" i="38"/>
  <c r="EB47" i="38"/>
  <c r="EB31" i="38"/>
  <c r="EB15" i="38"/>
  <c r="EC67" i="38"/>
  <c r="EC51" i="38"/>
  <c r="EC35" i="38"/>
  <c r="EC19" i="38"/>
  <c r="EC64" i="38"/>
  <c r="EC48" i="38"/>
  <c r="EC32" i="38"/>
  <c r="EC16" i="38"/>
  <c r="EC72" i="38"/>
  <c r="EC56" i="38"/>
  <c r="EC40" i="38"/>
  <c r="EC24" i="38"/>
  <c r="EC8" i="38"/>
  <c r="EB6" i="38"/>
  <c r="DC72" i="38"/>
  <c r="DU72" i="38"/>
  <c r="DW72" i="38" s="1"/>
  <c r="DB86" i="38"/>
  <c r="DC83" i="38"/>
  <c r="DC95" i="38"/>
  <c r="DB82" i="38"/>
  <c r="DB74" i="38"/>
  <c r="DC78" i="38"/>
  <c r="DC94" i="38"/>
  <c r="DB76" i="38"/>
  <c r="DC75" i="38"/>
  <c r="DC101" i="38"/>
  <c r="DB106" i="38"/>
  <c r="DB99" i="38"/>
  <c r="DB80" i="38"/>
  <c r="DB100" i="38"/>
  <c r="DB98" i="38"/>
  <c r="DC92" i="38"/>
  <c r="DC100" i="38"/>
  <c r="DB93" i="38"/>
  <c r="DC84" i="38"/>
  <c r="DC81" i="38"/>
  <c r="DB101" i="38"/>
  <c r="DC77" i="38"/>
  <c r="DC102" i="38"/>
  <c r="DC89" i="38"/>
  <c r="DB94" i="38"/>
  <c r="DC85" i="38"/>
  <c r="DC73" i="38"/>
  <c r="DB83" i="38"/>
  <c r="DC79" i="38"/>
  <c r="DC97" i="38"/>
  <c r="DB102" i="38"/>
  <c r="DC99" i="38"/>
  <c r="DB95" i="38"/>
  <c r="DC80" i="38"/>
  <c r="DB104" i="38"/>
  <c r="CQ72" i="38"/>
  <c r="CK80" i="38"/>
  <c r="CK83" i="38"/>
  <c r="CQ83" i="38"/>
  <c r="CJ88" i="38"/>
  <c r="CP73" i="38"/>
  <c r="CJ104" i="38"/>
  <c r="CP104" i="38"/>
  <c r="CP72" i="38"/>
  <c r="CK95" i="38"/>
  <c r="CQ95" i="38"/>
  <c r="CJ82" i="38"/>
  <c r="CP82" i="38"/>
  <c r="CJ74" i="38"/>
  <c r="CP74" i="38"/>
  <c r="CK78" i="38"/>
  <c r="CQ78" i="38"/>
  <c r="CK94" i="38"/>
  <c r="CQ94" i="38"/>
  <c r="CJ76" i="38"/>
  <c r="CP76" i="38"/>
  <c r="CK75" i="38"/>
  <c r="CQ75" i="38"/>
  <c r="CJ106" i="38"/>
  <c r="CP106" i="38"/>
  <c r="CK104" i="38"/>
  <c r="CP79" i="38"/>
  <c r="CJ99" i="38"/>
  <c r="CP99" i="38"/>
  <c r="CJ80" i="38"/>
  <c r="CJ100" i="38"/>
  <c r="CP100" i="38"/>
  <c r="CP97" i="38"/>
  <c r="CJ98" i="38"/>
  <c r="CP98" i="38"/>
  <c r="CK92" i="38"/>
  <c r="CQ92" i="38"/>
  <c r="CK100" i="38"/>
  <c r="CQ100" i="38"/>
  <c r="CP93" i="38"/>
  <c r="CK84" i="38"/>
  <c r="CQ84" i="38"/>
  <c r="CK81" i="38"/>
  <c r="CQ81" i="38"/>
  <c r="CK96" i="38"/>
  <c r="CJ101" i="38"/>
  <c r="CP101" i="38"/>
  <c r="CK77" i="38"/>
  <c r="CQ77" i="38"/>
  <c r="CK102" i="38"/>
  <c r="CQ102" i="38"/>
  <c r="CQ106" i="38"/>
  <c r="CK89" i="38"/>
  <c r="CQ89" i="38"/>
  <c r="CJ94" i="38"/>
  <c r="CP94" i="38"/>
  <c r="CJ85" i="38"/>
  <c r="CP85" i="38"/>
  <c r="CK73" i="38"/>
  <c r="CQ73" i="38"/>
  <c r="CJ83" i="38"/>
  <c r="CP83" i="38"/>
  <c r="CK79" i="38"/>
  <c r="CQ79" i="38"/>
  <c r="CK97" i="38"/>
  <c r="CQ97" i="38"/>
  <c r="CP102" i="38"/>
  <c r="CK99" i="38"/>
  <c r="CQ99" i="38"/>
  <c r="CP78" i="38"/>
  <c r="CJ95" i="38"/>
  <c r="CP95" i="38"/>
  <c r="CK72" i="38"/>
  <c r="CI9" i="38"/>
  <c r="CI21" i="38"/>
  <c r="CI33" i="38"/>
  <c r="CI45" i="38"/>
  <c r="CI57" i="38"/>
  <c r="CI69" i="38"/>
  <c r="CH17" i="38"/>
  <c r="CH29" i="38"/>
  <c r="CH41" i="38"/>
  <c r="CH53" i="38"/>
  <c r="CH65" i="38"/>
  <c r="CI10" i="38"/>
  <c r="CI22" i="38"/>
  <c r="CI34" i="38"/>
  <c r="CI46" i="38"/>
  <c r="CI58" i="38"/>
  <c r="CI70" i="38"/>
  <c r="CH18" i="38"/>
  <c r="CH30" i="38"/>
  <c r="CH42" i="38"/>
  <c r="CH54" i="38"/>
  <c r="CH66" i="38"/>
  <c r="CI11" i="38"/>
  <c r="CI23" i="38"/>
  <c r="CI35" i="38"/>
  <c r="CI47" i="38"/>
  <c r="CI59" i="38"/>
  <c r="CH19" i="38"/>
  <c r="CH31" i="38"/>
  <c r="CH67" i="38"/>
  <c r="CI36" i="38"/>
  <c r="CH68" i="38"/>
  <c r="CI25" i="38"/>
  <c r="CI61" i="38"/>
  <c r="CH21" i="38"/>
  <c r="CH45" i="38"/>
  <c r="CH69" i="38"/>
  <c r="CI14" i="38"/>
  <c r="CI26" i="38"/>
  <c r="CI38" i="38"/>
  <c r="CI50" i="38"/>
  <c r="CI62" i="38"/>
  <c r="CH10" i="38"/>
  <c r="CH22" i="38"/>
  <c r="CH34" i="38"/>
  <c r="CH46" i="38"/>
  <c r="CH58" i="38"/>
  <c r="CH70" i="38"/>
  <c r="CI28" i="38"/>
  <c r="CI40" i="38"/>
  <c r="CI52" i="38"/>
  <c r="CH12" i="38"/>
  <c r="CH36" i="38"/>
  <c r="CH60" i="38"/>
  <c r="CI65" i="38"/>
  <c r="CH37" i="38"/>
  <c r="CH61" i="38"/>
  <c r="CI18" i="38"/>
  <c r="CI30" i="38"/>
  <c r="CI54" i="38"/>
  <c r="CH14" i="38"/>
  <c r="CH38" i="38"/>
  <c r="CH62" i="38"/>
  <c r="CI7" i="38"/>
  <c r="CI43" i="38"/>
  <c r="CI67" i="38"/>
  <c r="CH27" i="38"/>
  <c r="CH51" i="38"/>
  <c r="CI8" i="38"/>
  <c r="CI32" i="38"/>
  <c r="CI56" i="38"/>
  <c r="CH16" i="38"/>
  <c r="CH40" i="38"/>
  <c r="CH64" i="38"/>
  <c r="CH55" i="38"/>
  <c r="CI12" i="38"/>
  <c r="CI60" i="38"/>
  <c r="CH32" i="38"/>
  <c r="CH56" i="38"/>
  <c r="CI13" i="38"/>
  <c r="CI37" i="38"/>
  <c r="CI49" i="38"/>
  <c r="CH9" i="38"/>
  <c r="CH33" i="38"/>
  <c r="CH57" i="38"/>
  <c r="CI15" i="38"/>
  <c r="CI27" i="38"/>
  <c r="CI39" i="38"/>
  <c r="CI51" i="38"/>
  <c r="CI63" i="38"/>
  <c r="CH11" i="38"/>
  <c r="CH23" i="38"/>
  <c r="CH35" i="38"/>
  <c r="CH47" i="38"/>
  <c r="CH59" i="38"/>
  <c r="CI6" i="38"/>
  <c r="CI16" i="38"/>
  <c r="CI64" i="38"/>
  <c r="CH24" i="38"/>
  <c r="CH48" i="38"/>
  <c r="CI17" i="38"/>
  <c r="CI29" i="38"/>
  <c r="CI41" i="38"/>
  <c r="CI53" i="38"/>
  <c r="CH13" i="38"/>
  <c r="CH25" i="38"/>
  <c r="CH49" i="38"/>
  <c r="CI42" i="38"/>
  <c r="CI66" i="38"/>
  <c r="CH26" i="38"/>
  <c r="CH50" i="38"/>
  <c r="CI19" i="38"/>
  <c r="CI31" i="38"/>
  <c r="CI55" i="38"/>
  <c r="CH15" i="38"/>
  <c r="CH39" i="38"/>
  <c r="CH63" i="38"/>
  <c r="CI20" i="38"/>
  <c r="CI44" i="38"/>
  <c r="CI68" i="38"/>
  <c r="CH28" i="38"/>
  <c r="CH52" i="38"/>
  <c r="CH43" i="38"/>
  <c r="CI24" i="38"/>
  <c r="CI48" i="38"/>
  <c r="CH8" i="38"/>
  <c r="CH44" i="38"/>
  <c r="CX6" i="38"/>
  <c r="CN28" i="38"/>
  <c r="CN43" i="38"/>
  <c r="CN13" i="38"/>
  <c r="CN38" i="38"/>
  <c r="CN11" i="38"/>
  <c r="CN52" i="38"/>
  <c r="CN65" i="38"/>
  <c r="CO58" i="38"/>
  <c r="CN55" i="38"/>
  <c r="CO15" i="38"/>
  <c r="CN45" i="38"/>
  <c r="CN58" i="38"/>
  <c r="CN6" i="38"/>
  <c r="CN25" i="38"/>
  <c r="CN50" i="38"/>
  <c r="CN47" i="38"/>
  <c r="CN64" i="38"/>
  <c r="CO22" i="38"/>
  <c r="CN18" i="38"/>
  <c r="CN67" i="38"/>
  <c r="CO63" i="38"/>
  <c r="CN57" i="38"/>
  <c r="CN70" i="38"/>
  <c r="CO31" i="38"/>
  <c r="CO65" i="38"/>
  <c r="CN46" i="38"/>
  <c r="CN37" i="38"/>
  <c r="CN62" i="38"/>
  <c r="CO7" i="38"/>
  <c r="CO9" i="38"/>
  <c r="CO34" i="38"/>
  <c r="CN54" i="38"/>
  <c r="CO24" i="38"/>
  <c r="CN35" i="38"/>
  <c r="CN69" i="38"/>
  <c r="CO16" i="38"/>
  <c r="CN27" i="38"/>
  <c r="CN61" i="38"/>
  <c r="CO43" i="38"/>
  <c r="CO20" i="38"/>
  <c r="CO33" i="38"/>
  <c r="CO70" i="38"/>
  <c r="CO23" i="38"/>
  <c r="CO13" i="38"/>
  <c r="CO26" i="38"/>
  <c r="CO40" i="38"/>
  <c r="CN59" i="38"/>
  <c r="CO61" i="38"/>
  <c r="CO51" i="38"/>
  <c r="CN33" i="38"/>
  <c r="CN49" i="38"/>
  <c r="CO19" i="38"/>
  <c r="CO8" i="38"/>
  <c r="CO21" i="38"/>
  <c r="CO46" i="38"/>
  <c r="CO11" i="38"/>
  <c r="CO36" i="38"/>
  <c r="CO12" i="38"/>
  <c r="CO14" i="38"/>
  <c r="CO28" i="38"/>
  <c r="CN51" i="38"/>
  <c r="CN24" i="38"/>
  <c r="CO10" i="38"/>
  <c r="CN60" i="38"/>
  <c r="CO48" i="38"/>
  <c r="CN53" i="38"/>
  <c r="CO18" i="38"/>
  <c r="CO55" i="38"/>
  <c r="CO32" i="38"/>
  <c r="CO45" i="38"/>
  <c r="CN30" i="38"/>
  <c r="CO35" i="38"/>
  <c r="CO60" i="38"/>
  <c r="CO25" i="38"/>
  <c r="CO38" i="38"/>
  <c r="CO52" i="38"/>
  <c r="CO30" i="38"/>
  <c r="CO67" i="38"/>
  <c r="CO44" i="38"/>
  <c r="CO57" i="38"/>
  <c r="CN42" i="38"/>
  <c r="CO47" i="38"/>
  <c r="CN8" i="38"/>
  <c r="CO37" i="38"/>
  <c r="CO50" i="38"/>
  <c r="CO64" i="38"/>
  <c r="CN26" i="38"/>
  <c r="CN68" i="38"/>
  <c r="CO17" i="38"/>
  <c r="CO42" i="38"/>
  <c r="CN15" i="38"/>
  <c r="CO56" i="38"/>
  <c r="CO69" i="38"/>
  <c r="CN66" i="38"/>
  <c r="CO59" i="38"/>
  <c r="CN20" i="38"/>
  <c r="CO49" i="38"/>
  <c r="CO62" i="38"/>
  <c r="CN12" i="38"/>
  <c r="CO29" i="38"/>
  <c r="CO54" i="38"/>
  <c r="CN39" i="38"/>
  <c r="CO68" i="38"/>
  <c r="CN17" i="38"/>
  <c r="CO39" i="38"/>
  <c r="CN7" i="38"/>
  <c r="CN32" i="38"/>
  <c r="CN10" i="38"/>
  <c r="CN40" i="38"/>
  <c r="CO41" i="38"/>
  <c r="CO66" i="38"/>
  <c r="CN63" i="38"/>
  <c r="CN16" i="38"/>
  <c r="CN29" i="38"/>
  <c r="CN23" i="38"/>
  <c r="CN19" i="38"/>
  <c r="CN44" i="38"/>
  <c r="CN9" i="38"/>
  <c r="CN22" i="38"/>
  <c r="CN36" i="38"/>
  <c r="CO53" i="38"/>
  <c r="CN14" i="38"/>
  <c r="CO27" i="38"/>
  <c r="CN41" i="38"/>
  <c r="CO6" i="38"/>
  <c r="CN31" i="38"/>
  <c r="CN56" i="38"/>
  <c r="CN21" i="38"/>
  <c r="CN34" i="38"/>
  <c r="CN48" i="38"/>
  <c r="DB85" i="38" l="1"/>
  <c r="DU83" i="38"/>
  <c r="DU89" i="38"/>
  <c r="CJ78" i="38"/>
  <c r="CP91" i="38"/>
  <c r="CP96" i="38"/>
  <c r="CP92" i="38"/>
  <c r="DB91" i="38"/>
  <c r="DB77" i="38"/>
  <c r="DB88" i="38"/>
  <c r="DT97" i="38"/>
  <c r="DU85" i="38"/>
  <c r="DT103" i="38"/>
  <c r="CJ91" i="38"/>
  <c r="CQ85" i="38"/>
  <c r="CJ96" i="38"/>
  <c r="CJ92" i="38"/>
  <c r="CP103" i="38"/>
  <c r="DB72" i="38"/>
  <c r="DB78" i="38"/>
  <c r="DB87" i="38"/>
  <c r="DB97" i="38"/>
  <c r="DB103" i="38"/>
  <c r="DT87" i="38"/>
  <c r="DU104" i="38"/>
  <c r="DT92" i="38"/>
  <c r="DT78" i="38"/>
  <c r="DV78" i="38" s="1"/>
  <c r="CA101" i="38"/>
  <c r="CP87" i="38"/>
  <c r="CK85" i="38"/>
  <c r="CQ96" i="38"/>
  <c r="CP80" i="38"/>
  <c r="BR80" i="38" s="1"/>
  <c r="BV80" i="38" s="1"/>
  <c r="CD80" i="38" s="1"/>
  <c r="CK101" i="38"/>
  <c r="CJ103" i="38"/>
  <c r="CQ80" i="38"/>
  <c r="DB96" i="38"/>
  <c r="DC96" i="38"/>
  <c r="DT73" i="38"/>
  <c r="DV73" i="38" s="1"/>
  <c r="DT72" i="38"/>
  <c r="DV72" i="38" s="1"/>
  <c r="DT91" i="38"/>
  <c r="CP90" i="38"/>
  <c r="CQ76" i="38"/>
  <c r="CQ82" i="38"/>
  <c r="CQ98" i="38"/>
  <c r="CQ86" i="38"/>
  <c r="CJ93" i="38"/>
  <c r="CP77" i="38"/>
  <c r="CQ104" i="38"/>
  <c r="CQ103" i="38"/>
  <c r="CP88" i="38"/>
  <c r="CQ87" i="38"/>
  <c r="DB92" i="38"/>
  <c r="DB89" i="38"/>
  <c r="DC104" i="38"/>
  <c r="DC103" i="38"/>
  <c r="DB73" i="38"/>
  <c r="DT88" i="38"/>
  <c r="DT80" i="38"/>
  <c r="DV80" i="38" s="1"/>
  <c r="DT77" i="38"/>
  <c r="DV77" i="38" s="1"/>
  <c r="DT96" i="38"/>
  <c r="DU80" i="38"/>
  <c r="DW80" i="38" s="1"/>
  <c r="CK76" i="38"/>
  <c r="CQ71" i="38"/>
  <c r="CK87" i="38"/>
  <c r="DC105" i="38"/>
  <c r="DB75" i="38"/>
  <c r="DT105" i="38"/>
  <c r="DU98" i="38"/>
  <c r="DU91" i="38"/>
  <c r="DT90" i="38"/>
  <c r="DU105" i="38"/>
  <c r="DU88" i="38"/>
  <c r="DU86" i="38"/>
  <c r="DT75" i="38"/>
  <c r="DV75" i="38" s="1"/>
  <c r="CQ88" i="38"/>
  <c r="CP84" i="38"/>
  <c r="CP81" i="38"/>
  <c r="CP89" i="38"/>
  <c r="CP86" i="38"/>
  <c r="DC76" i="38"/>
  <c r="DB81" i="38"/>
  <c r="DC71" i="38"/>
  <c r="DC86" i="38"/>
  <c r="DC74" i="38"/>
  <c r="DC90" i="38"/>
  <c r="DB79" i="38"/>
  <c r="DT86" i="38"/>
  <c r="DU106" i="38"/>
  <c r="DT79" i="38"/>
  <c r="DV79" i="38" s="1"/>
  <c r="DU87" i="38"/>
  <c r="DT93" i="38"/>
  <c r="DT6" i="38"/>
  <c r="DV6" i="38" s="1"/>
  <c r="DU76" i="38"/>
  <c r="DW76" i="38" s="1"/>
  <c r="DT101" i="38"/>
  <c r="DU103" i="38"/>
  <c r="DT102" i="38"/>
  <c r="CJ81" i="38"/>
  <c r="CJ89" i="38"/>
  <c r="CP71" i="38"/>
  <c r="DC87" i="38"/>
  <c r="DB84" i="38"/>
  <c r="DC82" i="38"/>
  <c r="DC106" i="38"/>
  <c r="DU71" i="38"/>
  <c r="DW71" i="38" s="1"/>
  <c r="DT89" i="38"/>
  <c r="CJ87" i="38"/>
  <c r="CJ97" i="38"/>
  <c r="CJ77" i="38"/>
  <c r="CJ72" i="38"/>
  <c r="DB20" i="38"/>
  <c r="CJ84" i="38"/>
  <c r="CP75" i="38"/>
  <c r="CP105" i="38"/>
  <c r="DC98" i="38"/>
  <c r="DC91" i="38"/>
  <c r="DC93" i="38"/>
  <c r="DB71" i="38"/>
  <c r="DT20" i="38"/>
  <c r="DV20" i="38" s="1"/>
  <c r="DT84" i="38"/>
  <c r="CQ90" i="38"/>
  <c r="CQ91" i="38"/>
  <c r="CQ93" i="38"/>
  <c r="CJ20" i="38"/>
  <c r="CQ74" i="38"/>
  <c r="CQ105" i="38"/>
  <c r="DB105" i="38"/>
  <c r="DB90" i="38"/>
  <c r="DC88" i="38"/>
  <c r="DU74" i="38"/>
  <c r="DW74" i="38" s="1"/>
  <c r="DU93" i="38"/>
  <c r="DU82" i="38"/>
  <c r="DU90" i="38"/>
  <c r="DT71" i="38"/>
  <c r="DV71" i="38" s="1"/>
  <c r="BS72" i="38"/>
  <c r="BW72" i="38" s="1"/>
  <c r="CE72" i="38" s="1"/>
  <c r="CK105" i="38"/>
  <c r="CJ75" i="38"/>
  <c r="CK71" i="38"/>
  <c r="BS77" i="38"/>
  <c r="CK86" i="38"/>
  <c r="CK74" i="38"/>
  <c r="CK90" i="38"/>
  <c r="CJ79" i="38"/>
  <c r="BR79" i="38" s="1"/>
  <c r="BS80" i="38"/>
  <c r="CJ90" i="38"/>
  <c r="CK93" i="38"/>
  <c r="CJ71" i="38"/>
  <c r="CJ102" i="38"/>
  <c r="CK82" i="38"/>
  <c r="CK106" i="38"/>
  <c r="CK103" i="38"/>
  <c r="CJ73" i="38"/>
  <c r="CJ86" i="38"/>
  <c r="BS79" i="38"/>
  <c r="BW79" i="38" s="1"/>
  <c r="CE79" i="38" s="1"/>
  <c r="BS75" i="38"/>
  <c r="BW75" i="38" s="1"/>
  <c r="CE75" i="38" s="1"/>
  <c r="BR76" i="38"/>
  <c r="BV76" i="38" s="1"/>
  <c r="CD76" i="38" s="1"/>
  <c r="BS78" i="38"/>
  <c r="BW78" i="38" s="1"/>
  <c r="CE78" i="38" s="1"/>
  <c r="BR74" i="38"/>
  <c r="BV74" i="38" s="1"/>
  <c r="CD74" i="38" s="1"/>
  <c r="CK88" i="38"/>
  <c r="BS73" i="38"/>
  <c r="CK98" i="38"/>
  <c r="CK91" i="38"/>
  <c r="CJ105" i="38"/>
  <c r="EC80" i="38"/>
  <c r="EB80" i="38"/>
  <c r="CA24" i="38"/>
  <c r="CA68" i="38"/>
  <c r="BZ39" i="38"/>
  <c r="CA19" i="38"/>
  <c r="CA42" i="38"/>
  <c r="CA53" i="38"/>
  <c r="BZ48" i="38"/>
  <c r="CA6" i="38"/>
  <c r="BZ23" i="38"/>
  <c r="CA39" i="38"/>
  <c r="BZ33" i="38"/>
  <c r="CA13" i="38"/>
  <c r="CA12" i="38"/>
  <c r="BZ16" i="38"/>
  <c r="BZ51" i="38"/>
  <c r="CA7" i="38"/>
  <c r="CA54" i="38"/>
  <c r="BZ37" i="38"/>
  <c r="BZ12" i="38"/>
  <c r="BZ70" i="38"/>
  <c r="BZ22" i="38"/>
  <c r="CA38" i="38"/>
  <c r="BZ45" i="38"/>
  <c r="BZ68" i="38"/>
  <c r="BZ31" i="38"/>
  <c r="CA35" i="38"/>
  <c r="BZ54" i="38"/>
  <c r="CA70" i="38"/>
  <c r="CA22" i="38"/>
  <c r="CA57" i="38"/>
  <c r="CA9" i="38"/>
  <c r="BZ44" i="38"/>
  <c r="BZ43" i="38"/>
  <c r="CA44" i="38"/>
  <c r="BZ15" i="38"/>
  <c r="BZ50" i="38"/>
  <c r="BZ49" i="38"/>
  <c r="CA41" i="38"/>
  <c r="BZ24" i="38"/>
  <c r="BZ59" i="38"/>
  <c r="BZ11" i="38"/>
  <c r="CA27" i="38"/>
  <c r="BZ9" i="38"/>
  <c r="BZ55" i="38"/>
  <c r="CA56" i="38"/>
  <c r="BZ27" i="38"/>
  <c r="BZ62" i="38"/>
  <c r="CA30" i="38"/>
  <c r="CA52" i="38"/>
  <c r="BZ58" i="38"/>
  <c r="CA26" i="38"/>
  <c r="BZ21" i="38"/>
  <c r="BZ19" i="38"/>
  <c r="CA23" i="38"/>
  <c r="CA58" i="38"/>
  <c r="CA10" i="38"/>
  <c r="CA45" i="38"/>
  <c r="BZ8" i="38"/>
  <c r="BZ52" i="38"/>
  <c r="CA20" i="38"/>
  <c r="CA55" i="38"/>
  <c r="BZ26" i="38"/>
  <c r="BZ25" i="38"/>
  <c r="Q18" i="37"/>
  <c r="CA64" i="38"/>
  <c r="BZ47" i="38"/>
  <c r="CA63" i="38"/>
  <c r="CA15" i="38"/>
  <c r="CA49" i="38"/>
  <c r="BZ32" i="38"/>
  <c r="BZ64" i="38"/>
  <c r="CA32" i="38"/>
  <c r="CA67" i="38"/>
  <c r="BZ38" i="38"/>
  <c r="CA18" i="38"/>
  <c r="BZ60" i="38"/>
  <c r="CA40" i="38"/>
  <c r="BZ46" i="38"/>
  <c r="CA62" i="38"/>
  <c r="CA61" i="38"/>
  <c r="CA36" i="38"/>
  <c r="CA59" i="38"/>
  <c r="CA11" i="38"/>
  <c r="BZ30" i="38"/>
  <c r="CA46" i="38"/>
  <c r="BZ65" i="38"/>
  <c r="BZ17" i="38"/>
  <c r="CA33" i="38"/>
  <c r="CA48" i="38"/>
  <c r="BZ28" i="38"/>
  <c r="BZ63" i="38"/>
  <c r="CA31" i="38"/>
  <c r="U20" i="37" s="1"/>
  <c r="CA66" i="38"/>
  <c r="BZ13" i="38"/>
  <c r="CA17" i="38"/>
  <c r="CA16" i="38"/>
  <c r="BZ35" i="38"/>
  <c r="CA51" i="38"/>
  <c r="BZ57" i="38"/>
  <c r="CA37" i="38"/>
  <c r="CA60" i="38"/>
  <c r="BZ40" i="38"/>
  <c r="CA8" i="38"/>
  <c r="CA43" i="38"/>
  <c r="BZ14" i="38"/>
  <c r="BZ61" i="38"/>
  <c r="BZ36" i="38"/>
  <c r="CA28" i="38"/>
  <c r="BZ34" i="38"/>
  <c r="CA50" i="38"/>
  <c r="BZ69" i="38"/>
  <c r="CA25" i="38"/>
  <c r="BZ67" i="38"/>
  <c r="CA47" i="38"/>
  <c r="BZ66" i="38"/>
  <c r="BZ18" i="38"/>
  <c r="CA34" i="38"/>
  <c r="BZ53" i="38"/>
  <c r="CA69" i="38"/>
  <c r="CA21" i="38"/>
  <c r="CA29" i="38"/>
  <c r="DC14" i="38"/>
  <c r="CA14" i="38"/>
  <c r="DB41" i="38"/>
  <c r="BZ41" i="38"/>
  <c r="DB56" i="38"/>
  <c r="BZ56" i="38"/>
  <c r="DC65" i="38"/>
  <c r="CA65" i="38"/>
  <c r="DB10" i="38"/>
  <c r="BZ10" i="38"/>
  <c r="DB42" i="38"/>
  <c r="BZ42" i="38"/>
  <c r="DB29" i="38"/>
  <c r="BZ29" i="38"/>
  <c r="DB17" i="38"/>
  <c r="DC62" i="38"/>
  <c r="DC67" i="38"/>
  <c r="CZ81" i="38"/>
  <c r="DH81" i="38"/>
  <c r="DX81" i="38"/>
  <c r="DF81" i="38"/>
  <c r="CX81" i="38"/>
  <c r="CL81" i="38"/>
  <c r="DD81" i="38"/>
  <c r="DZ81" i="38" s="1"/>
  <c r="CR81" i="38"/>
  <c r="CV81" i="38"/>
  <c r="DR81" i="38" s="1"/>
  <c r="DV81" i="38" s="1"/>
  <c r="CN81" i="38"/>
  <c r="DA81" i="38"/>
  <c r="DI81" i="38"/>
  <c r="DY81" i="38"/>
  <c r="CY81" i="38"/>
  <c r="CW81" i="38"/>
  <c r="DS81" i="38" s="1"/>
  <c r="DW81" i="38" s="1"/>
  <c r="CM81" i="38"/>
  <c r="CO81" i="38"/>
  <c r="DG81" i="38"/>
  <c r="DE81" i="38"/>
  <c r="EA81" i="38" s="1"/>
  <c r="CS81" i="38"/>
  <c r="DU68" i="38"/>
  <c r="DW68" i="38" s="1"/>
  <c r="DT39" i="38"/>
  <c r="DV39" i="38" s="1"/>
  <c r="DU42" i="38"/>
  <c r="DW42" i="38" s="1"/>
  <c r="DC53" i="38"/>
  <c r="DU54" i="38"/>
  <c r="DW54" i="38" s="1"/>
  <c r="DT68" i="38"/>
  <c r="DV68" i="38" s="1"/>
  <c r="DU17" i="38"/>
  <c r="DW17" i="38" s="1"/>
  <c r="DU60" i="38"/>
  <c r="DW60" i="38" s="1"/>
  <c r="DT14" i="38"/>
  <c r="DV14" i="38" s="1"/>
  <c r="DB34" i="38"/>
  <c r="DT11" i="38"/>
  <c r="DV11" i="38" s="1"/>
  <c r="DU27" i="38"/>
  <c r="DW27" i="38" s="1"/>
  <c r="DU56" i="38"/>
  <c r="DW56" i="38" s="1"/>
  <c r="DB27" i="38"/>
  <c r="DU10" i="38"/>
  <c r="DW10" i="38" s="1"/>
  <c r="DT63" i="38"/>
  <c r="DV63" i="38" s="1"/>
  <c r="DU16" i="38"/>
  <c r="DW16" i="38" s="1"/>
  <c r="DT40" i="38"/>
  <c r="DV40" i="38" s="1"/>
  <c r="DU43" i="38"/>
  <c r="DW43" i="38" s="1"/>
  <c r="DU28" i="38"/>
  <c r="DW28" i="38" s="1"/>
  <c r="CP69" i="38"/>
  <c r="DT67" i="38"/>
  <c r="DV67" i="38" s="1"/>
  <c r="DC47" i="38"/>
  <c r="DT18" i="38"/>
  <c r="DV18" i="38" s="1"/>
  <c r="DU34" i="38"/>
  <c r="DW34" i="38" s="1"/>
  <c r="DT53" i="38"/>
  <c r="DV53" i="38" s="1"/>
  <c r="DU21" i="38"/>
  <c r="DW21" i="38" s="1"/>
  <c r="DT8" i="38"/>
  <c r="DV8" i="38" s="1"/>
  <c r="DT25" i="38"/>
  <c r="DV25" i="38" s="1"/>
  <c r="DC29" i="38"/>
  <c r="DT47" i="38"/>
  <c r="DV47" i="38" s="1"/>
  <c r="DU15" i="38"/>
  <c r="DW15" i="38" s="1"/>
  <c r="DU49" i="38"/>
  <c r="DW49" i="38" s="1"/>
  <c r="DB32" i="38"/>
  <c r="DU32" i="38"/>
  <c r="DW32" i="38" s="1"/>
  <c r="DU18" i="38"/>
  <c r="DW18" i="38" s="1"/>
  <c r="DU40" i="38"/>
  <c r="DW40" i="38" s="1"/>
  <c r="DT46" i="38"/>
  <c r="DV46" i="38" s="1"/>
  <c r="CQ62" i="38"/>
  <c r="DU61" i="38"/>
  <c r="DW61" i="38" s="1"/>
  <c r="DU36" i="38"/>
  <c r="DW36" i="38" s="1"/>
  <c r="DU11" i="38"/>
  <c r="DW11" i="38" s="1"/>
  <c r="DB69" i="38"/>
  <c r="Q32" i="37"/>
  <c r="CQ47" i="38"/>
  <c r="CP40" i="38"/>
  <c r="CP14" i="38"/>
  <c r="DB14" i="38"/>
  <c r="DB8" i="38"/>
  <c r="CQ21" i="38"/>
  <c r="DC28" i="38"/>
  <c r="Q28" i="37"/>
  <c r="Q26" i="37"/>
  <c r="Q30" i="37"/>
  <c r="CK24" i="38"/>
  <c r="DU24" i="38"/>
  <c r="DW24" i="38" s="1"/>
  <c r="CJ52" i="38"/>
  <c r="DT52" i="38"/>
  <c r="DV52" i="38" s="1"/>
  <c r="CK20" i="38"/>
  <c r="DU20" i="38"/>
  <c r="DW20" i="38" s="1"/>
  <c r="CK55" i="38"/>
  <c r="DU55" i="38"/>
  <c r="DW55" i="38" s="1"/>
  <c r="CK19" i="38"/>
  <c r="DU19" i="38"/>
  <c r="DW19" i="38" s="1"/>
  <c r="CJ26" i="38"/>
  <c r="DT26" i="38"/>
  <c r="DV26" i="38" s="1"/>
  <c r="CK53" i="38"/>
  <c r="DU53" i="38"/>
  <c r="DW53" i="38" s="1"/>
  <c r="CK29" i="38"/>
  <c r="DU29" i="38"/>
  <c r="DW29" i="38" s="1"/>
  <c r="CJ48" i="38"/>
  <c r="DT48" i="38"/>
  <c r="DV48" i="38" s="1"/>
  <c r="CK64" i="38"/>
  <c r="DU64" i="38"/>
  <c r="DW64" i="38" s="1"/>
  <c r="CK6" i="38"/>
  <c r="DU6" i="38"/>
  <c r="DW6" i="38" s="1"/>
  <c r="CJ23" i="38"/>
  <c r="DT23" i="38"/>
  <c r="DV23" i="38" s="1"/>
  <c r="CQ63" i="38"/>
  <c r="DU63" i="38"/>
  <c r="DW63" i="38" s="1"/>
  <c r="CK39" i="38"/>
  <c r="DU39" i="38"/>
  <c r="DW39" i="38" s="1"/>
  <c r="CJ33" i="38"/>
  <c r="DT33" i="38"/>
  <c r="DV33" i="38" s="1"/>
  <c r="CK13" i="38"/>
  <c r="DU13" i="38"/>
  <c r="DW13" i="38" s="1"/>
  <c r="CJ32" i="38"/>
  <c r="DT32" i="38"/>
  <c r="DV32" i="38" s="1"/>
  <c r="CK12" i="38"/>
  <c r="DU12" i="38"/>
  <c r="DW12" i="38" s="1"/>
  <c r="CP64" i="38"/>
  <c r="DT64" i="38"/>
  <c r="DV64" i="38" s="1"/>
  <c r="CP16" i="38"/>
  <c r="DT16" i="38"/>
  <c r="DV16" i="38" s="1"/>
  <c r="CJ51" i="38"/>
  <c r="DT51" i="38"/>
  <c r="DV51" i="38" s="1"/>
  <c r="CK67" i="38"/>
  <c r="DU67" i="38"/>
  <c r="DW67" i="38" s="1"/>
  <c r="CK7" i="38"/>
  <c r="DU7" i="38"/>
  <c r="DW7" i="38" s="1"/>
  <c r="CJ38" i="38"/>
  <c r="DT38" i="38"/>
  <c r="DV38" i="38" s="1"/>
  <c r="CJ37" i="38"/>
  <c r="DT37" i="38"/>
  <c r="DV37" i="38" s="1"/>
  <c r="CP60" i="38"/>
  <c r="DT60" i="38"/>
  <c r="DV60" i="38" s="1"/>
  <c r="CJ12" i="38"/>
  <c r="DT12" i="38"/>
  <c r="DV12" i="38" s="1"/>
  <c r="CJ70" i="38"/>
  <c r="DT70" i="38"/>
  <c r="DV70" i="38" s="1"/>
  <c r="CJ22" i="38"/>
  <c r="DT22" i="38"/>
  <c r="DV22" i="38" s="1"/>
  <c r="CK62" i="38"/>
  <c r="DU62" i="38"/>
  <c r="DW62" i="38" s="1"/>
  <c r="CK38" i="38"/>
  <c r="DU38" i="38"/>
  <c r="DW38" i="38" s="1"/>
  <c r="CK14" i="38"/>
  <c r="DU14" i="38"/>
  <c r="DW14" i="38" s="1"/>
  <c r="CJ45" i="38"/>
  <c r="DT45" i="38"/>
  <c r="DV45" i="38" s="1"/>
  <c r="CJ31" i="38"/>
  <c r="DT31" i="38"/>
  <c r="DV31" i="38" s="1"/>
  <c r="CK59" i="38"/>
  <c r="DU59" i="38"/>
  <c r="DW59" i="38" s="1"/>
  <c r="CQ35" i="38"/>
  <c r="DU35" i="38"/>
  <c r="DW35" i="38" s="1"/>
  <c r="CJ54" i="38"/>
  <c r="DT54" i="38"/>
  <c r="DV54" i="38" s="1"/>
  <c r="CJ30" i="38"/>
  <c r="DT30" i="38"/>
  <c r="DV30" i="38" s="1"/>
  <c r="CK70" i="38"/>
  <c r="DU70" i="38"/>
  <c r="DW70" i="38" s="1"/>
  <c r="DC46" i="38"/>
  <c r="DU46" i="38"/>
  <c r="DW46" i="38" s="1"/>
  <c r="CK22" i="38"/>
  <c r="DU22" i="38"/>
  <c r="DW22" i="38" s="1"/>
  <c r="CP65" i="38"/>
  <c r="DT65" i="38"/>
  <c r="DV65" i="38" s="1"/>
  <c r="CJ41" i="38"/>
  <c r="DT41" i="38"/>
  <c r="DV41" i="38" s="1"/>
  <c r="CJ17" i="38"/>
  <c r="DT17" i="38"/>
  <c r="DV17" i="38" s="1"/>
  <c r="CK57" i="38"/>
  <c r="DU57" i="38"/>
  <c r="DW57" i="38" s="1"/>
  <c r="CQ33" i="38"/>
  <c r="DU33" i="38"/>
  <c r="DW33" i="38" s="1"/>
  <c r="CK9" i="38"/>
  <c r="DU9" i="38"/>
  <c r="DW9" i="38" s="1"/>
  <c r="DB44" i="38"/>
  <c r="DT44" i="38"/>
  <c r="DV44" i="38" s="1"/>
  <c r="CK48" i="38"/>
  <c r="DU48" i="38"/>
  <c r="DW48" i="38" s="1"/>
  <c r="CJ43" i="38"/>
  <c r="DT43" i="38"/>
  <c r="DV43" i="38" s="1"/>
  <c r="CJ28" i="38"/>
  <c r="DT28" i="38"/>
  <c r="DV28" i="38" s="1"/>
  <c r="CK44" i="38"/>
  <c r="DU44" i="38"/>
  <c r="DW44" i="38" s="1"/>
  <c r="DB15" i="38"/>
  <c r="DT15" i="38"/>
  <c r="DV15" i="38" s="1"/>
  <c r="CK31" i="38"/>
  <c r="DU31" i="38"/>
  <c r="DW31" i="38" s="1"/>
  <c r="CJ50" i="38"/>
  <c r="DT50" i="38"/>
  <c r="DV50" i="38" s="1"/>
  <c r="CK66" i="38"/>
  <c r="DU66" i="38"/>
  <c r="DW66" i="38" s="1"/>
  <c r="CJ49" i="38"/>
  <c r="DT49" i="38"/>
  <c r="DV49" i="38" s="1"/>
  <c r="CJ13" i="38"/>
  <c r="DT13" i="38"/>
  <c r="DV13" i="38" s="1"/>
  <c r="CK41" i="38"/>
  <c r="DU41" i="38"/>
  <c r="DW41" i="38" s="1"/>
  <c r="CJ24" i="38"/>
  <c r="DT24" i="38"/>
  <c r="DV24" i="38" s="1"/>
  <c r="CJ59" i="38"/>
  <c r="DT59" i="38"/>
  <c r="DV59" i="38" s="1"/>
  <c r="CJ35" i="38"/>
  <c r="DT35" i="38"/>
  <c r="DV35" i="38" s="1"/>
  <c r="CK51" i="38"/>
  <c r="DU51" i="38"/>
  <c r="DW51" i="38" s="1"/>
  <c r="CP57" i="38"/>
  <c r="DT57" i="38"/>
  <c r="DV57" i="38" s="1"/>
  <c r="CJ9" i="38"/>
  <c r="DT9" i="38"/>
  <c r="DV9" i="38" s="1"/>
  <c r="CK37" i="38"/>
  <c r="DU37" i="38"/>
  <c r="DW37" i="38" s="1"/>
  <c r="CJ56" i="38"/>
  <c r="DT56" i="38"/>
  <c r="DV56" i="38" s="1"/>
  <c r="CJ55" i="38"/>
  <c r="DT55" i="38"/>
  <c r="DV55" i="38" s="1"/>
  <c r="CK8" i="38"/>
  <c r="DU8" i="38"/>
  <c r="DW8" i="38" s="1"/>
  <c r="CJ27" i="38"/>
  <c r="DT27" i="38"/>
  <c r="DV27" i="38" s="1"/>
  <c r="CP62" i="38"/>
  <c r="DT62" i="38"/>
  <c r="DV62" i="38" s="1"/>
  <c r="CQ30" i="38"/>
  <c r="DU30" i="38"/>
  <c r="DW30" i="38" s="1"/>
  <c r="CJ61" i="38"/>
  <c r="DT61" i="38"/>
  <c r="DV61" i="38" s="1"/>
  <c r="CK65" i="38"/>
  <c r="DU65" i="38"/>
  <c r="DW65" i="38" s="1"/>
  <c r="CJ36" i="38"/>
  <c r="DT36" i="38"/>
  <c r="DV36" i="38" s="1"/>
  <c r="CQ52" i="38"/>
  <c r="DU52" i="38"/>
  <c r="DW52" i="38" s="1"/>
  <c r="CJ58" i="38"/>
  <c r="DT58" i="38"/>
  <c r="DV58" i="38" s="1"/>
  <c r="CJ34" i="38"/>
  <c r="DT34" i="38"/>
  <c r="DV34" i="38" s="1"/>
  <c r="CJ10" i="38"/>
  <c r="DT10" i="38"/>
  <c r="DV10" i="38" s="1"/>
  <c r="CK50" i="38"/>
  <c r="DU50" i="38"/>
  <c r="DW50" i="38" s="1"/>
  <c r="CK26" i="38"/>
  <c r="DU26" i="38"/>
  <c r="DW26" i="38" s="1"/>
  <c r="CJ69" i="38"/>
  <c r="DT69" i="38"/>
  <c r="DV69" i="38" s="1"/>
  <c r="CP21" i="38"/>
  <c r="DT21" i="38"/>
  <c r="DV21" i="38" s="1"/>
  <c r="CK25" i="38"/>
  <c r="DU25" i="38"/>
  <c r="DW25" i="38" s="1"/>
  <c r="CJ19" i="38"/>
  <c r="DT19" i="38"/>
  <c r="DV19" i="38" s="1"/>
  <c r="CK47" i="38"/>
  <c r="DU47" i="38"/>
  <c r="DW47" i="38" s="1"/>
  <c r="CQ23" i="38"/>
  <c r="DU23" i="38"/>
  <c r="DW23" i="38" s="1"/>
  <c r="DB66" i="38"/>
  <c r="DT66" i="38"/>
  <c r="DV66" i="38" s="1"/>
  <c r="CJ42" i="38"/>
  <c r="DT42" i="38"/>
  <c r="DV42" i="38" s="1"/>
  <c r="CK58" i="38"/>
  <c r="DU58" i="38"/>
  <c r="DW58" i="38" s="1"/>
  <c r="CP29" i="38"/>
  <c r="DT29" i="38"/>
  <c r="DV29" i="38" s="1"/>
  <c r="CK69" i="38"/>
  <c r="DU69" i="38"/>
  <c r="DW69" i="38" s="1"/>
  <c r="CK45" i="38"/>
  <c r="DU45" i="38"/>
  <c r="DW45" i="38" s="1"/>
  <c r="Q24" i="37"/>
  <c r="CP30" i="38"/>
  <c r="CP32" i="38"/>
  <c r="CP17" i="38"/>
  <c r="DB22" i="38"/>
  <c r="DB23" i="38"/>
  <c r="DC57" i="38"/>
  <c r="DB37" i="38"/>
  <c r="DB54" i="38"/>
  <c r="CQ28" i="38"/>
  <c r="CP10" i="38"/>
  <c r="CQ45" i="38"/>
  <c r="CQ26" i="38"/>
  <c r="CP19" i="38"/>
  <c r="CQ67" i="38"/>
  <c r="DB28" i="38"/>
  <c r="DC13" i="38"/>
  <c r="DB39" i="38"/>
  <c r="CP31" i="38"/>
  <c r="CQ12" i="38"/>
  <c r="CP12" i="38"/>
  <c r="CQ39" i="38"/>
  <c r="CQ29" i="38"/>
  <c r="CQ55" i="38"/>
  <c r="CP48" i="38"/>
  <c r="CK40" i="38"/>
  <c r="CP55" i="38"/>
  <c r="CP20" i="38"/>
  <c r="CP15" i="38"/>
  <c r="CP27" i="38"/>
  <c r="CP42" i="38"/>
  <c r="CQ70" i="38"/>
  <c r="CP56" i="38"/>
  <c r="CQ57" i="38"/>
  <c r="CP44" i="38"/>
  <c r="CQ19" i="38"/>
  <c r="CQ65" i="38"/>
  <c r="CP24" i="38"/>
  <c r="CQ51" i="38"/>
  <c r="DB35" i="38"/>
  <c r="DB43" i="38"/>
  <c r="DC8" i="38"/>
  <c r="DC25" i="38"/>
  <c r="DC37" i="38"/>
  <c r="DB61" i="38"/>
  <c r="DC12" i="38"/>
  <c r="DB31" i="38"/>
  <c r="DB24" i="38"/>
  <c r="DB65" i="38"/>
  <c r="DC45" i="38"/>
  <c r="DB19" i="38"/>
  <c r="DC38" i="38"/>
  <c r="DC58" i="38"/>
  <c r="DC26" i="38"/>
  <c r="DC70" i="38"/>
  <c r="CQ58" i="38"/>
  <c r="DB13" i="38"/>
  <c r="DC55" i="38"/>
  <c r="DB30" i="38"/>
  <c r="DB55" i="38"/>
  <c r="DB52" i="38"/>
  <c r="CP58" i="38"/>
  <c r="DC59" i="38"/>
  <c r="CP59" i="38"/>
  <c r="DB50" i="38"/>
  <c r="DC64" i="38"/>
  <c r="CP38" i="38"/>
  <c r="DB26" i="38"/>
  <c r="DB64" i="38"/>
  <c r="CQ44" i="38"/>
  <c r="CQ40" i="38"/>
  <c r="CQ59" i="38"/>
  <c r="CP49" i="38"/>
  <c r="DC40" i="38"/>
  <c r="DB38" i="38"/>
  <c r="DB48" i="38"/>
  <c r="DC39" i="38"/>
  <c r="DC7" i="38"/>
  <c r="DC19" i="38"/>
  <c r="DB12" i="38"/>
  <c r="DB70" i="38"/>
  <c r="DC6" i="38"/>
  <c r="DC54" i="38"/>
  <c r="CP9" i="38"/>
  <c r="DB45" i="38"/>
  <c r="DB33" i="38"/>
  <c r="DC22" i="38"/>
  <c r="DC9" i="38"/>
  <c r="CP36" i="38"/>
  <c r="CQ31" i="38"/>
  <c r="DC66" i="38"/>
  <c r="CQ48" i="38"/>
  <c r="CQ50" i="38"/>
  <c r="CQ69" i="38"/>
  <c r="DC68" i="38"/>
  <c r="DC41" i="38"/>
  <c r="DC20" i="38"/>
  <c r="DB59" i="38"/>
  <c r="DB9" i="38"/>
  <c r="DB58" i="38"/>
  <c r="DC44" i="38"/>
  <c r="DC50" i="38"/>
  <c r="DC51" i="38"/>
  <c r="DB49" i="38"/>
  <c r="DC48" i="38"/>
  <c r="DC69" i="38"/>
  <c r="DB36" i="38"/>
  <c r="DC24" i="38"/>
  <c r="DC31" i="38"/>
  <c r="CQ14" i="38"/>
  <c r="CQ64" i="38"/>
  <c r="CP52" i="38"/>
  <c r="CP26" i="38"/>
  <c r="CQ46" i="38"/>
  <c r="CP50" i="38"/>
  <c r="CP43" i="38"/>
  <c r="CP28" i="38"/>
  <c r="CQ66" i="38"/>
  <c r="CQ7" i="38"/>
  <c r="CQ38" i="38"/>
  <c r="CQ24" i="38"/>
  <c r="CP23" i="38"/>
  <c r="CQ41" i="38"/>
  <c r="CJ64" i="38"/>
  <c r="CJ39" i="38"/>
  <c r="CP13" i="38"/>
  <c r="CP66" i="38"/>
  <c r="CP34" i="38"/>
  <c r="CQ8" i="38"/>
  <c r="CP39" i="38"/>
  <c r="CQ13" i="38"/>
  <c r="CQ53" i="38"/>
  <c r="CQ37" i="38"/>
  <c r="CP61" i="38"/>
  <c r="CP37" i="38"/>
  <c r="CP54" i="38"/>
  <c r="CP51" i="38"/>
  <c r="CQ25" i="38"/>
  <c r="CP41" i="38"/>
  <c r="CP22" i="38"/>
  <c r="CQ20" i="38"/>
  <c r="CP8" i="38"/>
  <c r="CK54" i="38"/>
  <c r="Q22" i="37"/>
  <c r="CQ9" i="38"/>
  <c r="CP35" i="38"/>
  <c r="CQ54" i="38"/>
  <c r="CQ68" i="38"/>
  <c r="CP33" i="38"/>
  <c r="CP70" i="38"/>
  <c r="CQ22" i="38"/>
  <c r="CP45" i="38"/>
  <c r="CQ6" i="38"/>
  <c r="CJ8" i="38"/>
  <c r="CK28" i="38"/>
  <c r="CJ29" i="38"/>
  <c r="Q20" i="37"/>
  <c r="CK68" i="38"/>
  <c r="CK46" i="38"/>
  <c r="CJ14" i="38"/>
  <c r="CJ66" i="38"/>
  <c r="CJ15" i="38"/>
  <c r="CJ44" i="38"/>
  <c r="CJ65" i="38"/>
  <c r="DC61" i="38"/>
  <c r="CK61" i="38"/>
  <c r="CP63" i="38"/>
  <c r="DB46" i="38"/>
  <c r="CJ46" i="38"/>
  <c r="DC18" i="38"/>
  <c r="DB25" i="38"/>
  <c r="DB63" i="38"/>
  <c r="CP25" i="38"/>
  <c r="CK18" i="38"/>
  <c r="CJ25" i="38"/>
  <c r="CJ63" i="38"/>
  <c r="CQ49" i="38"/>
  <c r="DC49" i="38"/>
  <c r="DB51" i="38"/>
  <c r="CQ61" i="38"/>
  <c r="CK49" i="38"/>
  <c r="CP46" i="38"/>
  <c r="CQ18" i="38"/>
  <c r="CQ42" i="38"/>
  <c r="CQ34" i="38"/>
  <c r="CP68" i="38"/>
  <c r="CQ17" i="38"/>
  <c r="CP53" i="38"/>
  <c r="CP18" i="38"/>
  <c r="CQ11" i="38"/>
  <c r="CQ16" i="38"/>
  <c r="CP7" i="38"/>
  <c r="CP47" i="38"/>
  <c r="CQ36" i="38"/>
  <c r="CQ15" i="38"/>
  <c r="CK43" i="38"/>
  <c r="DC43" i="38"/>
  <c r="CK17" i="38"/>
  <c r="DC17" i="38"/>
  <c r="CJ67" i="38"/>
  <c r="DB67" i="38"/>
  <c r="CP67" i="38"/>
  <c r="CJ21" i="38"/>
  <c r="DB21" i="38"/>
  <c r="CK36" i="38"/>
  <c r="DC36" i="38"/>
  <c r="CJ16" i="38"/>
  <c r="DB16" i="38"/>
  <c r="CJ68" i="38"/>
  <c r="DB68" i="38"/>
  <c r="CK60" i="38"/>
  <c r="DC60" i="38"/>
  <c r="CQ60" i="38"/>
  <c r="CK30" i="38"/>
  <c r="DC30" i="38"/>
  <c r="CK10" i="38"/>
  <c r="DC10" i="38"/>
  <c r="CK42" i="38"/>
  <c r="DC42" i="38"/>
  <c r="CK34" i="38"/>
  <c r="DC34" i="38"/>
  <c r="CK56" i="38"/>
  <c r="DC56" i="38"/>
  <c r="CJ60" i="38"/>
  <c r="DB60" i="38"/>
  <c r="CK32" i="38"/>
  <c r="DC32" i="38"/>
  <c r="CK35" i="38"/>
  <c r="DC35" i="38"/>
  <c r="CK23" i="38"/>
  <c r="DC23" i="38"/>
  <c r="CK16" i="38"/>
  <c r="DC16" i="38"/>
  <c r="CK33" i="38"/>
  <c r="DC33" i="38"/>
  <c r="CJ11" i="38"/>
  <c r="DB11" i="38"/>
  <c r="CK27" i="38"/>
  <c r="DC27" i="38"/>
  <c r="CJ18" i="38"/>
  <c r="DB18" i="38"/>
  <c r="CJ53" i="38"/>
  <c r="DB53" i="38"/>
  <c r="CJ7" i="38"/>
  <c r="DB7" i="38"/>
  <c r="CK52" i="38"/>
  <c r="DC52" i="38"/>
  <c r="CJ47" i="38"/>
  <c r="DB47" i="38"/>
  <c r="CK11" i="38"/>
  <c r="DC11" i="38"/>
  <c r="CP6" i="38"/>
  <c r="DB6" i="38"/>
  <c r="CK15" i="38"/>
  <c r="DC15" i="38"/>
  <c r="CQ27" i="38"/>
  <c r="CQ43" i="38"/>
  <c r="CQ32" i="38"/>
  <c r="CJ57" i="38"/>
  <c r="DB57" i="38"/>
  <c r="CK21" i="38"/>
  <c r="DC21" i="38"/>
  <c r="CK63" i="38"/>
  <c r="DC63" i="38"/>
  <c r="CP11" i="38"/>
  <c r="CQ10" i="38"/>
  <c r="CQ56" i="38"/>
  <c r="CJ62" i="38"/>
  <c r="DB62" i="38"/>
  <c r="CJ40" i="38"/>
  <c r="DB40" i="38"/>
  <c r="BS76" i="38" l="1"/>
  <c r="BW76" i="38" s="1"/>
  <c r="CE76" i="38" s="1"/>
  <c r="BR78" i="38"/>
  <c r="BV78" i="38" s="1"/>
  <c r="CD78" i="38" s="1"/>
  <c r="BR72" i="38"/>
  <c r="BR77" i="38"/>
  <c r="BV77" i="38" s="1"/>
  <c r="CD77" i="38" s="1"/>
  <c r="BR73" i="38"/>
  <c r="BV73" i="38" s="1"/>
  <c r="CD73" i="38" s="1"/>
  <c r="BS71" i="38"/>
  <c r="BW71" i="38" s="1"/>
  <c r="CE71" i="38" s="1"/>
  <c r="BS74" i="38"/>
  <c r="BW74" i="38" s="1"/>
  <c r="CE74" i="38" s="1"/>
  <c r="BR75" i="38"/>
  <c r="BV75" i="38" s="1"/>
  <c r="CD75" i="38" s="1"/>
  <c r="BR20" i="38"/>
  <c r="BV20" i="38" s="1"/>
  <c r="CD20" i="38" s="1"/>
  <c r="BR71" i="38"/>
  <c r="BV71" i="38" s="1"/>
  <c r="CD71" i="38" s="1"/>
  <c r="BR14" i="38"/>
  <c r="U26" i="37"/>
  <c r="M58" i="44" s="1"/>
  <c r="U30" i="37"/>
  <c r="M60" i="44" s="1"/>
  <c r="U24" i="37"/>
  <c r="M57" i="44" s="1"/>
  <c r="U22" i="37"/>
  <c r="M56" i="44" s="1"/>
  <c r="BR29" i="38"/>
  <c r="BV29" i="38" s="1"/>
  <c r="CD29" i="38" s="1"/>
  <c r="BR44" i="38"/>
  <c r="BR8" i="38"/>
  <c r="BR62" i="38"/>
  <c r="BV62" i="38" s="1"/>
  <c r="CD62" i="38" s="1"/>
  <c r="BR6" i="38"/>
  <c r="BR7" i="38"/>
  <c r="BS16" i="38"/>
  <c r="BW16" i="38" s="1"/>
  <c r="CE16" i="38" s="1"/>
  <c r="BR63" i="38"/>
  <c r="BV63" i="38" s="1"/>
  <c r="CD63" i="38" s="1"/>
  <c r="BR64" i="38"/>
  <c r="BR47" i="38"/>
  <c r="BR18" i="38"/>
  <c r="BR11" i="38"/>
  <c r="BS35" i="38"/>
  <c r="BR60" i="38"/>
  <c r="BV60" i="38" s="1"/>
  <c r="CD60" i="38" s="1"/>
  <c r="BS43" i="38"/>
  <c r="BR65" i="38"/>
  <c r="BV65" i="38" s="1"/>
  <c r="CD65" i="38" s="1"/>
  <c r="BS34" i="38"/>
  <c r="BW34" i="38" s="1"/>
  <c r="CE34" i="38" s="1"/>
  <c r="BS18" i="38"/>
  <c r="BW18" i="38" s="1"/>
  <c r="CE18" i="38" s="1"/>
  <c r="BR66" i="38"/>
  <c r="BS62" i="38"/>
  <c r="BS23" i="38"/>
  <c r="BS56" i="38"/>
  <c r="BS30" i="38"/>
  <c r="BS17" i="38"/>
  <c r="BR15" i="38"/>
  <c r="BR40" i="38"/>
  <c r="BS15" i="38"/>
  <c r="BS11" i="38"/>
  <c r="BS52" i="38"/>
  <c r="BW52" i="38" s="1"/>
  <c r="CE52" i="38" s="1"/>
  <c r="BS33" i="38"/>
  <c r="BW33" i="38" s="1"/>
  <c r="CE33" i="38" s="1"/>
  <c r="BS47" i="38"/>
  <c r="BW47" i="38" s="1"/>
  <c r="CE47" i="38" s="1"/>
  <c r="BR69" i="38"/>
  <c r="BV69" i="38" s="1"/>
  <c r="CD69" i="38" s="1"/>
  <c r="BS81" i="38"/>
  <c r="BS27" i="38"/>
  <c r="BS68" i="38"/>
  <c r="BR81" i="38"/>
  <c r="BV81" i="38" s="1"/>
  <c r="CD81" i="38" s="1"/>
  <c r="BR53" i="38"/>
  <c r="BS42" i="38"/>
  <c r="BS61" i="38"/>
  <c r="BS40" i="38"/>
  <c r="BW40" i="38" s="1"/>
  <c r="CE40" i="38" s="1"/>
  <c r="BS21" i="38"/>
  <c r="BR68" i="38"/>
  <c r="BS36" i="38"/>
  <c r="BS49" i="38"/>
  <c r="BW49" i="38" s="1"/>
  <c r="CE49" i="38" s="1"/>
  <c r="BR46" i="38"/>
  <c r="BR39" i="38"/>
  <c r="BV39" i="38" s="1"/>
  <c r="CD39" i="38" s="1"/>
  <c r="BS69" i="38"/>
  <c r="BS58" i="38"/>
  <c r="BW58" i="38" s="1"/>
  <c r="CE58" i="38" s="1"/>
  <c r="BS25" i="38"/>
  <c r="BW25" i="38" s="1"/>
  <c r="CE25" i="38" s="1"/>
  <c r="BS50" i="38"/>
  <c r="BR34" i="38"/>
  <c r="BS65" i="38"/>
  <c r="BR27" i="38"/>
  <c r="BV27" i="38" s="1"/>
  <c r="CD27" i="38" s="1"/>
  <c r="BR55" i="38"/>
  <c r="BS37" i="38"/>
  <c r="BW37" i="38" s="1"/>
  <c r="CE37" i="38" s="1"/>
  <c r="BR35" i="38"/>
  <c r="BR24" i="38"/>
  <c r="BV24" i="38" s="1"/>
  <c r="CD24" i="38" s="1"/>
  <c r="BR13" i="38"/>
  <c r="BS66" i="38"/>
  <c r="BS31" i="38"/>
  <c r="BS44" i="38"/>
  <c r="BW44" i="38" s="1"/>
  <c r="CE44" i="38" s="1"/>
  <c r="BR43" i="38"/>
  <c r="BR17" i="38"/>
  <c r="BR30" i="38"/>
  <c r="BR31" i="38"/>
  <c r="BS14" i="38"/>
  <c r="BW14" i="38" s="1"/>
  <c r="CE14" i="38" s="1"/>
  <c r="BR70" i="38"/>
  <c r="BR38" i="38"/>
  <c r="BS67" i="38"/>
  <c r="BS12" i="38"/>
  <c r="BS13" i="38"/>
  <c r="BS39" i="38"/>
  <c r="BR23" i="38"/>
  <c r="BV23" i="38" s="1"/>
  <c r="CD23" i="38" s="1"/>
  <c r="BS64" i="38"/>
  <c r="BS29" i="38"/>
  <c r="BR26" i="38"/>
  <c r="BS55" i="38"/>
  <c r="BR52" i="38"/>
  <c r="BS32" i="38"/>
  <c r="BW32" i="38" s="1"/>
  <c r="CE32" i="38" s="1"/>
  <c r="BS10" i="38"/>
  <c r="BW10" i="38" s="1"/>
  <c r="CE10" i="38" s="1"/>
  <c r="BR67" i="38"/>
  <c r="BS63" i="38"/>
  <c r="BW63" i="38" s="1"/>
  <c r="CE63" i="38" s="1"/>
  <c r="BR57" i="38"/>
  <c r="BS60" i="38"/>
  <c r="BR16" i="38"/>
  <c r="BV16" i="38" s="1"/>
  <c r="CD16" i="38" s="1"/>
  <c r="BR21" i="38"/>
  <c r="BR25" i="38"/>
  <c r="BS46" i="38"/>
  <c r="BW46" i="38" s="1"/>
  <c r="CE46" i="38" s="1"/>
  <c r="BS28" i="38"/>
  <c r="BW28" i="38" s="1"/>
  <c r="CE28" i="38" s="1"/>
  <c r="BS54" i="38"/>
  <c r="BW54" i="38" s="1"/>
  <c r="CE54" i="38" s="1"/>
  <c r="BS45" i="38"/>
  <c r="BR42" i="38"/>
  <c r="BR19" i="38"/>
  <c r="BS26" i="38"/>
  <c r="BR10" i="38"/>
  <c r="BV10" i="38" s="1"/>
  <c r="CD10" i="38" s="1"/>
  <c r="BR58" i="38"/>
  <c r="BV58" i="38" s="1"/>
  <c r="CD58" i="38" s="1"/>
  <c r="BR36" i="38"/>
  <c r="BR61" i="38"/>
  <c r="BS8" i="38"/>
  <c r="BR56" i="38"/>
  <c r="BV56" i="38" s="1"/>
  <c r="CD56" i="38" s="1"/>
  <c r="BR9" i="38"/>
  <c r="BV9" i="38" s="1"/>
  <c r="CD9" i="38" s="1"/>
  <c r="BS51" i="38"/>
  <c r="BR59" i="38"/>
  <c r="BS41" i="38"/>
  <c r="BR49" i="38"/>
  <c r="BR50" i="38"/>
  <c r="BR28" i="38"/>
  <c r="BV28" i="38" s="1"/>
  <c r="CD28" i="38" s="1"/>
  <c r="BS48" i="38"/>
  <c r="BW48" i="38" s="1"/>
  <c r="CE48" i="38" s="1"/>
  <c r="BS9" i="38"/>
  <c r="BW9" i="38" s="1"/>
  <c r="CE9" i="38" s="1"/>
  <c r="BS57" i="38"/>
  <c r="BW57" i="38" s="1"/>
  <c r="CE57" i="38" s="1"/>
  <c r="BR41" i="38"/>
  <c r="BS22" i="38"/>
  <c r="BW22" i="38" s="1"/>
  <c r="CE22" i="38" s="1"/>
  <c r="BS70" i="38"/>
  <c r="BR54" i="38"/>
  <c r="BS59" i="38"/>
  <c r="BR45" i="38"/>
  <c r="BV45" i="38" s="1"/>
  <c r="CD45" i="38" s="1"/>
  <c r="BS38" i="38"/>
  <c r="BR22" i="38"/>
  <c r="BR12" i="38"/>
  <c r="BR37" i="38"/>
  <c r="BV37" i="38" s="1"/>
  <c r="CD37" i="38" s="1"/>
  <c r="BS7" i="38"/>
  <c r="BR51" i="38"/>
  <c r="BV51" i="38" s="1"/>
  <c r="CD51" i="38" s="1"/>
  <c r="BR32" i="38"/>
  <c r="BR33" i="38"/>
  <c r="BS6" i="38"/>
  <c r="BR48" i="38"/>
  <c r="BV48" i="38" s="1"/>
  <c r="CD48" i="38" s="1"/>
  <c r="BS53" i="38"/>
  <c r="BS19" i="38"/>
  <c r="BS20" i="38"/>
  <c r="BW20" i="38" s="1"/>
  <c r="CE20" i="38" s="1"/>
  <c r="BS24" i="38"/>
  <c r="BW24" i="38" s="1"/>
  <c r="CE24" i="38" s="1"/>
  <c r="U18" i="37"/>
  <c r="M54" i="44" s="1"/>
  <c r="U28" i="37"/>
  <c r="M59" i="44" s="1"/>
  <c r="U32" i="37"/>
  <c r="M61" i="44" s="1"/>
  <c r="M55" i="44"/>
  <c r="BW77" i="38"/>
  <c r="CE77" i="38" s="1"/>
  <c r="BW80" i="38"/>
  <c r="CE80" i="38" s="1"/>
  <c r="BV79" i="38"/>
  <c r="CD79" i="38" s="1"/>
  <c r="BW73" i="38"/>
  <c r="CE73" i="38" s="1"/>
  <c r="EC81" i="38"/>
  <c r="BV72" i="38"/>
  <c r="CD72" i="38" s="1"/>
  <c r="CZ82" i="38"/>
  <c r="DH82" i="38"/>
  <c r="DX82" i="38"/>
  <c r="DF82" i="38"/>
  <c r="CR82" i="38"/>
  <c r="CL82" i="38"/>
  <c r="CN82" i="38"/>
  <c r="DD82" i="38"/>
  <c r="DZ82" i="38" s="1"/>
  <c r="CX82" i="38"/>
  <c r="CV82" i="38"/>
  <c r="DR82" i="38" s="1"/>
  <c r="DV82" i="38" s="1"/>
  <c r="DA82" i="38"/>
  <c r="DI82" i="38"/>
  <c r="DY82" i="38"/>
  <c r="DE82" i="38"/>
  <c r="EA82" i="38" s="1"/>
  <c r="CY82" i="38"/>
  <c r="DG82" i="38"/>
  <c r="CS82" i="38"/>
  <c r="CW82" i="38"/>
  <c r="DS82" i="38" s="1"/>
  <c r="DW82" i="38" s="1"/>
  <c r="CO82" i="38"/>
  <c r="CM82" i="38"/>
  <c r="EB81" i="38"/>
  <c r="BS82" i="38" l="1"/>
  <c r="BR82" i="38"/>
  <c r="BW21" i="38"/>
  <c r="CE21" i="38" s="1"/>
  <c r="BV70" i="38"/>
  <c r="CD70" i="38" s="1"/>
  <c r="BW55" i="38"/>
  <c r="CE55" i="38" s="1"/>
  <c r="BW61" i="38"/>
  <c r="CE61" i="38" s="1"/>
  <c r="BW64" i="38"/>
  <c r="CE64" i="38" s="1"/>
  <c r="BV57" i="38"/>
  <c r="CD57" i="38" s="1"/>
  <c r="BW56" i="38"/>
  <c r="CE56" i="38" s="1"/>
  <c r="BV40" i="38"/>
  <c r="CD40" i="38" s="1"/>
  <c r="BW43" i="38"/>
  <c r="CE43" i="38" s="1"/>
  <c r="BV18" i="38"/>
  <c r="CD18" i="38" s="1"/>
  <c r="BV43" i="38"/>
  <c r="CD43" i="38" s="1"/>
  <c r="BW70" i="38"/>
  <c r="CE70" i="38" s="1"/>
  <c r="BV55" i="38"/>
  <c r="CD55" i="38" s="1"/>
  <c r="BV52" i="38"/>
  <c r="CD52" i="38" s="1"/>
  <c r="BW12" i="38"/>
  <c r="CE12" i="38" s="1"/>
  <c r="BW81" i="38"/>
  <c r="CE81" i="38" s="1"/>
  <c r="BW66" i="38"/>
  <c r="CE66" i="38" s="1"/>
  <c r="BV12" i="38"/>
  <c r="CD12" i="38" s="1"/>
  <c r="BV14" i="38"/>
  <c r="CD14" i="38" s="1"/>
  <c r="BV66" i="38"/>
  <c r="CD66" i="38" s="1"/>
  <c r="BV26" i="38"/>
  <c r="CD26" i="38" s="1"/>
  <c r="BW39" i="38"/>
  <c r="CE39" i="38" s="1"/>
  <c r="BV13" i="38"/>
  <c r="CD13" i="38" s="1"/>
  <c r="BW60" i="38"/>
  <c r="CE60" i="38" s="1"/>
  <c r="BW19" i="38"/>
  <c r="CE19" i="38" s="1"/>
  <c r="BV22" i="38"/>
  <c r="CD22" i="38" s="1"/>
  <c r="BV44" i="38"/>
  <c r="CD44" i="38" s="1"/>
  <c r="BW29" i="38"/>
  <c r="CE29" i="38" s="1"/>
  <c r="BW13" i="38"/>
  <c r="CE13" i="38" s="1"/>
  <c r="BV41" i="38"/>
  <c r="CD41" i="38" s="1"/>
  <c r="BW68" i="38"/>
  <c r="CE68" i="38" s="1"/>
  <c r="BV25" i="38"/>
  <c r="CD25" i="38" s="1"/>
  <c r="BV8" i="38"/>
  <c r="CD8" i="38" s="1"/>
  <c r="BW36" i="38"/>
  <c r="CE36" i="38" s="1"/>
  <c r="BV64" i="38"/>
  <c r="CD64" i="38" s="1"/>
  <c r="BW27" i="38"/>
  <c r="CE27" i="38" s="1"/>
  <c r="BW62" i="38"/>
  <c r="CE62" i="38" s="1"/>
  <c r="BV31" i="38"/>
  <c r="CD31" i="38" s="1"/>
  <c r="BW31" i="38"/>
  <c r="CE31" i="38" s="1"/>
  <c r="BV35" i="38"/>
  <c r="CD35" i="38" s="1"/>
  <c r="BW65" i="38"/>
  <c r="CE65" i="38" s="1"/>
  <c r="BV49" i="38"/>
  <c r="CD49" i="38" s="1"/>
  <c r="BW6" i="38"/>
  <c r="CE6" i="38" s="1"/>
  <c r="BW59" i="38"/>
  <c r="CE59" i="38" s="1"/>
  <c r="BW26" i="38"/>
  <c r="CE26" i="38" s="1"/>
  <c r="BV68" i="38"/>
  <c r="CD68" i="38" s="1"/>
  <c r="BW38" i="38"/>
  <c r="CE38" i="38" s="1"/>
  <c r="BV19" i="38"/>
  <c r="CD19" i="38" s="1"/>
  <c r="BW11" i="38"/>
  <c r="CE11" i="38" s="1"/>
  <c r="BV47" i="38"/>
  <c r="CD47" i="38" s="1"/>
  <c r="BW8" i="38"/>
  <c r="CE8" i="38" s="1"/>
  <c r="BW67" i="38"/>
  <c r="CE67" i="38" s="1"/>
  <c r="BV17" i="38"/>
  <c r="CD17" i="38" s="1"/>
  <c r="BW7" i="38"/>
  <c r="CE7" i="38" s="1"/>
  <c r="BV21" i="38"/>
  <c r="CD21" i="38" s="1"/>
  <c r="BV67" i="38"/>
  <c r="CD67" i="38" s="1"/>
  <c r="BW69" i="38"/>
  <c r="CE69" i="38" s="1"/>
  <c r="BW15" i="38"/>
  <c r="CE15" i="38" s="1"/>
  <c r="BW35" i="38"/>
  <c r="CE35" i="38" s="1"/>
  <c r="BW50" i="38"/>
  <c r="CE50" i="38" s="1"/>
  <c r="BV46" i="38"/>
  <c r="CD46" i="38" s="1"/>
  <c r="BV32" i="38"/>
  <c r="CD32" i="38" s="1"/>
  <c r="BW41" i="38"/>
  <c r="CE41" i="38" s="1"/>
  <c r="BV42" i="38"/>
  <c r="CD42" i="38" s="1"/>
  <c r="BW17" i="38"/>
  <c r="CE17" i="38" s="1"/>
  <c r="BV50" i="38"/>
  <c r="CD50" i="38" s="1"/>
  <c r="BV59" i="38"/>
  <c r="CD59" i="38" s="1"/>
  <c r="BV53" i="38"/>
  <c r="CD53" i="38" s="1"/>
  <c r="BV36" i="38"/>
  <c r="CD36" i="38" s="1"/>
  <c r="BV11" i="38"/>
  <c r="CD11" i="38" s="1"/>
  <c r="BV33" i="38"/>
  <c r="CD33" i="38" s="1"/>
  <c r="BV34" i="38"/>
  <c r="CD34" i="38" s="1"/>
  <c r="BW42" i="38"/>
  <c r="CE42" i="38" s="1"/>
  <c r="BV7" i="38"/>
  <c r="CD7" i="38" s="1"/>
  <c r="BV38" i="38"/>
  <c r="CD38" i="38" s="1"/>
  <c r="BV30" i="38"/>
  <c r="CD30" i="38" s="1"/>
  <c r="BW30" i="38"/>
  <c r="CE30" i="38" s="1"/>
  <c r="BV61" i="38"/>
  <c r="CD61" i="38" s="1"/>
  <c r="BV54" i="38"/>
  <c r="CD54" i="38" s="1"/>
  <c r="BW51" i="38"/>
  <c r="CE51" i="38" s="1"/>
  <c r="BW45" i="38"/>
  <c r="CE45" i="38" s="1"/>
  <c r="BW23" i="38"/>
  <c r="CE23" i="38" s="1"/>
  <c r="BV15" i="38"/>
  <c r="CD15" i="38" s="1"/>
  <c r="BW53" i="38"/>
  <c r="CE53" i="38" s="1"/>
  <c r="EC82" i="38"/>
  <c r="CZ83" i="38"/>
  <c r="DH83" i="38"/>
  <c r="DX83" i="38"/>
  <c r="DF83" i="38"/>
  <c r="CL83" i="38"/>
  <c r="DD83" i="38"/>
  <c r="DZ83" i="38" s="1"/>
  <c r="CN83" i="38"/>
  <c r="CR83" i="38"/>
  <c r="CX83" i="38"/>
  <c r="CV83" i="38"/>
  <c r="DR83" i="38" s="1"/>
  <c r="DV83" i="38" s="1"/>
  <c r="DA83" i="38"/>
  <c r="DI83" i="38"/>
  <c r="DY83" i="38"/>
  <c r="CO83" i="38"/>
  <c r="CM83" i="38"/>
  <c r="CY83" i="38"/>
  <c r="DE83" i="38"/>
  <c r="EA83" i="38" s="1"/>
  <c r="DG83" i="38"/>
  <c r="CS83" i="38"/>
  <c r="CW83" i="38"/>
  <c r="DS83" i="38" s="1"/>
  <c r="DW83" i="38" s="1"/>
  <c r="EB82" i="38"/>
  <c r="V28" i="37" l="1"/>
  <c r="W28" i="37" s="1"/>
  <c r="BR83" i="38"/>
  <c r="BS83" i="38"/>
  <c r="V24" i="37"/>
  <c r="W24" i="37" s="1"/>
  <c r="R32" i="37"/>
  <c r="S32" i="37" s="1"/>
  <c r="V26" i="37"/>
  <c r="W26" i="37" s="1"/>
  <c r="V30" i="37"/>
  <c r="W30" i="37" s="1"/>
  <c r="V22" i="37"/>
  <c r="W22" i="37" s="1"/>
  <c r="V32" i="37"/>
  <c r="V20" i="37"/>
  <c r="W20" i="37" s="1"/>
  <c r="V18" i="37"/>
  <c r="W18" i="37" s="1"/>
  <c r="R26" i="37"/>
  <c r="R24" i="37"/>
  <c r="R30" i="37"/>
  <c r="S30" i="37" s="1"/>
  <c r="R28" i="37"/>
  <c r="R20" i="37"/>
  <c r="R22" i="37"/>
  <c r="DA84" i="38"/>
  <c r="DI84" i="38"/>
  <c r="DY84" i="38"/>
  <c r="DG84" i="38"/>
  <c r="CY84" i="38"/>
  <c r="CS84" i="38"/>
  <c r="CO84" i="38"/>
  <c r="CM84" i="38"/>
  <c r="DE84" i="38"/>
  <c r="EA84" i="38" s="1"/>
  <c r="CW84" i="38"/>
  <c r="DS84" i="38" s="1"/>
  <c r="DW84" i="38" s="1"/>
  <c r="CZ84" i="38"/>
  <c r="DH84" i="38"/>
  <c r="DX84" i="38"/>
  <c r="DF84" i="38"/>
  <c r="CR84" i="38"/>
  <c r="CN84" i="38"/>
  <c r="DD84" i="38"/>
  <c r="DZ84" i="38" s="1"/>
  <c r="CX84" i="38"/>
  <c r="CV84" i="38"/>
  <c r="DR84" i="38" s="1"/>
  <c r="DV84" i="38" s="1"/>
  <c r="CL84" i="38"/>
  <c r="EC83" i="38"/>
  <c r="BV82" i="38"/>
  <c r="CD82" i="38" s="1"/>
  <c r="EB83" i="38"/>
  <c r="BW82" i="38"/>
  <c r="CE82" i="38" s="1"/>
  <c r="N59" i="44" l="1"/>
  <c r="O59" i="44" s="1"/>
  <c r="BR84" i="38"/>
  <c r="BS84" i="38"/>
  <c r="N61" i="44"/>
  <c r="O61" i="44" s="1"/>
  <c r="N57" i="44"/>
  <c r="O57" i="44" s="1"/>
  <c r="N56" i="44"/>
  <c r="O56" i="44" s="1"/>
  <c r="N58" i="44"/>
  <c r="O58" i="44" s="1"/>
  <c r="W32" i="37"/>
  <c r="X18" i="37" s="1"/>
  <c r="N55" i="44"/>
  <c r="O55" i="44" s="1"/>
  <c r="N60" i="44"/>
  <c r="O60" i="44" s="1"/>
  <c r="S28" i="37"/>
  <c r="EB84" i="38"/>
  <c r="EC84" i="38"/>
  <c r="DA85" i="38"/>
  <c r="DI85" i="38"/>
  <c r="DY85" i="38"/>
  <c r="DE85" i="38"/>
  <c r="EA85" i="38" s="1"/>
  <c r="CS85" i="38"/>
  <c r="CO85" i="38"/>
  <c r="CW85" i="38"/>
  <c r="DS85" i="38" s="1"/>
  <c r="DW85" i="38" s="1"/>
  <c r="DG85" i="38"/>
  <c r="CM85" i="38"/>
  <c r="CY85" i="38"/>
  <c r="CZ85" i="38"/>
  <c r="DH85" i="38"/>
  <c r="DX85" i="38"/>
  <c r="CX85" i="38"/>
  <c r="CR85" i="38"/>
  <c r="CL85" i="38"/>
  <c r="CV85" i="38"/>
  <c r="DR85" i="38" s="1"/>
  <c r="DV85" i="38" s="1"/>
  <c r="CN85" i="38"/>
  <c r="DF85" i="38"/>
  <c r="DD85" i="38"/>
  <c r="DZ85" i="38" s="1"/>
  <c r="BV83" i="38"/>
  <c r="CD83" i="38" s="1"/>
  <c r="BW83" i="38"/>
  <c r="CE83" i="38" s="1"/>
  <c r="S20" i="37"/>
  <c r="S24" i="37"/>
  <c r="S26" i="37"/>
  <c r="S22" i="37"/>
  <c r="BS85" i="38" l="1"/>
  <c r="BR85" i="38"/>
  <c r="BV85" i="38" s="1"/>
  <c r="CD85" i="38" s="1"/>
  <c r="DA86" i="38"/>
  <c r="DI86" i="38"/>
  <c r="DY86" i="38"/>
  <c r="DG86" i="38"/>
  <c r="CY86" i="38"/>
  <c r="CS86" i="38"/>
  <c r="CW86" i="38"/>
  <c r="DS86" i="38" s="1"/>
  <c r="DW86" i="38" s="1"/>
  <c r="CM86" i="38"/>
  <c r="CO86" i="38"/>
  <c r="DE86" i="38"/>
  <c r="EA86" i="38" s="1"/>
  <c r="CZ86" i="38"/>
  <c r="DH86" i="38"/>
  <c r="DX86" i="38"/>
  <c r="CV86" i="38"/>
  <c r="DR86" i="38" s="1"/>
  <c r="DV86" i="38" s="1"/>
  <c r="CX86" i="38"/>
  <c r="CR86" i="38"/>
  <c r="CN86" i="38"/>
  <c r="DF86" i="38"/>
  <c r="CL86" i="38"/>
  <c r="DD86" i="38"/>
  <c r="DZ86" i="38" s="1"/>
  <c r="EC85" i="38"/>
  <c r="BW84" i="38"/>
  <c r="CE84" i="38" s="1"/>
  <c r="EB85" i="38"/>
  <c r="BV84" i="38"/>
  <c r="CD84" i="38" s="1"/>
  <c r="BR86" i="38" l="1"/>
  <c r="BS86" i="38"/>
  <c r="BW85" i="38"/>
  <c r="CE85" i="38" s="1"/>
  <c r="CZ87" i="38"/>
  <c r="DH87" i="38"/>
  <c r="DX87" i="38"/>
  <c r="CX87" i="38"/>
  <c r="DF87" i="38"/>
  <c r="CV87" i="38"/>
  <c r="DR87" i="38" s="1"/>
  <c r="DV87" i="38" s="1"/>
  <c r="CL87" i="38"/>
  <c r="DD87" i="38"/>
  <c r="DZ87" i="38" s="1"/>
  <c r="CN87" i="38"/>
  <c r="CR87" i="38"/>
  <c r="EB86" i="38"/>
  <c r="DA87" i="38"/>
  <c r="DI87" i="38"/>
  <c r="DY87" i="38"/>
  <c r="CS87" i="38"/>
  <c r="DG87" i="38"/>
  <c r="CY87" i="38"/>
  <c r="DE87" i="38"/>
  <c r="EA87" i="38" s="1"/>
  <c r="CO87" i="38"/>
  <c r="CW87" i="38"/>
  <c r="DS87" i="38" s="1"/>
  <c r="DW87" i="38" s="1"/>
  <c r="CM87" i="38"/>
  <c r="EC86" i="38"/>
  <c r="BV6" i="38"/>
  <c r="CD6" i="38" s="1"/>
  <c r="BR87" i="38" l="1"/>
  <c r="BV87" i="38" s="1"/>
  <c r="CD87" i="38" s="1"/>
  <c r="BS87" i="38"/>
  <c r="BV86" i="38"/>
  <c r="CD86" i="38" s="1"/>
  <c r="DA88" i="38"/>
  <c r="DI88" i="38"/>
  <c r="DY88" i="38"/>
  <c r="DE88" i="38"/>
  <c r="EA88" i="38" s="1"/>
  <c r="CW88" i="38"/>
  <c r="DS88" i="38" s="1"/>
  <c r="DW88" i="38" s="1"/>
  <c r="DG88" i="38"/>
  <c r="CY88" i="38"/>
  <c r="CM88" i="38"/>
  <c r="CO88" i="38"/>
  <c r="CS88" i="38"/>
  <c r="EC87" i="38"/>
  <c r="BW86" i="38"/>
  <c r="CE86" i="38" s="1"/>
  <c r="EB87" i="38"/>
  <c r="CZ88" i="38"/>
  <c r="DH88" i="38"/>
  <c r="DX88" i="38"/>
  <c r="DD88" i="38"/>
  <c r="DZ88" i="38" s="1"/>
  <c r="DF88" i="38"/>
  <c r="CX88" i="38"/>
  <c r="CR88" i="38"/>
  <c r="CL88" i="38"/>
  <c r="CN88" i="38"/>
  <c r="CV88" i="38"/>
  <c r="DR88" i="38" s="1"/>
  <c r="DV88" i="38" s="1"/>
  <c r="BS88" i="38" l="1"/>
  <c r="BR88" i="38"/>
  <c r="BW87" i="38"/>
  <c r="CE87" i="38" s="1"/>
  <c r="DA89" i="38"/>
  <c r="DI89" i="38"/>
  <c r="DY89" i="38"/>
  <c r="CS89" i="38"/>
  <c r="CW89" i="38"/>
  <c r="DS89" i="38" s="1"/>
  <c r="DW89" i="38" s="1"/>
  <c r="CM89" i="38"/>
  <c r="DE89" i="38"/>
  <c r="EA89" i="38" s="1"/>
  <c r="CY89" i="38"/>
  <c r="CO89" i="38"/>
  <c r="DG89" i="38"/>
  <c r="CZ89" i="38"/>
  <c r="DH89" i="38"/>
  <c r="DX89" i="38"/>
  <c r="CX89" i="38"/>
  <c r="CR89" i="38"/>
  <c r="CV89" i="38"/>
  <c r="DR89" i="38" s="1"/>
  <c r="DV89" i="38" s="1"/>
  <c r="CN89" i="38"/>
  <c r="DF89" i="38"/>
  <c r="DD89" i="38"/>
  <c r="DZ89" i="38" s="1"/>
  <c r="CL89" i="38"/>
  <c r="EC88" i="38"/>
  <c r="EB88" i="38"/>
  <c r="BS89" i="38" l="1"/>
  <c r="BR89" i="38"/>
  <c r="BV89" i="38" s="1"/>
  <c r="CD89" i="38" s="1"/>
  <c r="CZ90" i="38"/>
  <c r="DH90" i="38"/>
  <c r="DX90" i="38"/>
  <c r="CL90" i="38"/>
  <c r="DD90" i="38"/>
  <c r="DZ90" i="38" s="1"/>
  <c r="CN90" i="38"/>
  <c r="DF90" i="38"/>
  <c r="CR90" i="38"/>
  <c r="CV90" i="38"/>
  <c r="DR90" i="38" s="1"/>
  <c r="DV90" i="38" s="1"/>
  <c r="CX90" i="38"/>
  <c r="DA90" i="38"/>
  <c r="DI90" i="38"/>
  <c r="DY90" i="38"/>
  <c r="DG90" i="38"/>
  <c r="DE90" i="38"/>
  <c r="EA90" i="38" s="1"/>
  <c r="CY90" i="38"/>
  <c r="CO90" i="38"/>
  <c r="CW90" i="38"/>
  <c r="DS90" i="38" s="1"/>
  <c r="DW90" i="38" s="1"/>
  <c r="CS90" i="38"/>
  <c r="CM90" i="38"/>
  <c r="EB89" i="38"/>
  <c r="BV88" i="38"/>
  <c r="CD88" i="38" s="1"/>
  <c r="EC89" i="38"/>
  <c r="BW88" i="38"/>
  <c r="CE88" i="38" s="1"/>
  <c r="BS90" i="38" l="1"/>
  <c r="BR90" i="38"/>
  <c r="EC90" i="38"/>
  <c r="DA91" i="38"/>
  <c r="DI91" i="38"/>
  <c r="DY91" i="38"/>
  <c r="DG91" i="38"/>
  <c r="CW91" i="38"/>
  <c r="DS91" i="38" s="1"/>
  <c r="DW91" i="38" s="1"/>
  <c r="CM91" i="38"/>
  <c r="CS91" i="38"/>
  <c r="CO91" i="38"/>
  <c r="CY91" i="38"/>
  <c r="DE91" i="38"/>
  <c r="EA91" i="38" s="1"/>
  <c r="EB90" i="38"/>
  <c r="BW89" i="38"/>
  <c r="CE89" i="38" s="1"/>
  <c r="CZ91" i="38"/>
  <c r="DH91" i="38"/>
  <c r="DX91" i="38"/>
  <c r="DF91" i="38"/>
  <c r="DD91" i="38"/>
  <c r="DZ91" i="38" s="1"/>
  <c r="CX91" i="38"/>
  <c r="CV91" i="38"/>
  <c r="DR91" i="38" s="1"/>
  <c r="DV91" i="38" s="1"/>
  <c r="CN91" i="38"/>
  <c r="CL91" i="38"/>
  <c r="CR91" i="38"/>
  <c r="BS91" i="38" l="1"/>
  <c r="BR91" i="38"/>
  <c r="EC91" i="38"/>
  <c r="BV90" i="38"/>
  <c r="CD90" i="38" s="1"/>
  <c r="EB91" i="38"/>
  <c r="CZ92" i="38"/>
  <c r="DH92" i="38"/>
  <c r="DX92" i="38"/>
  <c r="DD92" i="38"/>
  <c r="DZ92" i="38" s="1"/>
  <c r="CV92" i="38"/>
  <c r="DR92" i="38" s="1"/>
  <c r="DV92" i="38" s="1"/>
  <c r="CN92" i="38"/>
  <c r="CL92" i="38"/>
  <c r="DF92" i="38"/>
  <c r="CX92" i="38"/>
  <c r="CR92" i="38"/>
  <c r="BW90" i="38"/>
  <c r="CE90" i="38" s="1"/>
  <c r="DA92" i="38"/>
  <c r="DI92" i="38"/>
  <c r="DY92" i="38"/>
  <c r="DE92" i="38"/>
  <c r="EA92" i="38" s="1"/>
  <c r="CS92" i="38"/>
  <c r="CW92" i="38"/>
  <c r="DS92" i="38" s="1"/>
  <c r="DW92" i="38" s="1"/>
  <c r="CM92" i="38"/>
  <c r="CO92" i="38"/>
  <c r="DG92" i="38"/>
  <c r="CY92" i="38"/>
  <c r="BS92" i="38" l="1"/>
  <c r="BR92" i="38"/>
  <c r="EC92" i="38"/>
  <c r="DA93" i="38"/>
  <c r="DI93" i="38"/>
  <c r="DY93" i="38"/>
  <c r="DE93" i="38"/>
  <c r="EA93" i="38" s="1"/>
  <c r="CO93" i="38"/>
  <c r="CY93" i="38"/>
  <c r="CS93" i="38"/>
  <c r="CW93" i="38"/>
  <c r="DS93" i="38" s="1"/>
  <c r="DW93" i="38" s="1"/>
  <c r="CM93" i="38"/>
  <c r="DG93" i="38"/>
  <c r="CZ93" i="38"/>
  <c r="DH93" i="38"/>
  <c r="DX93" i="38"/>
  <c r="DD93" i="38"/>
  <c r="DZ93" i="38" s="1"/>
  <c r="CV93" i="38"/>
  <c r="DR93" i="38" s="1"/>
  <c r="DV93" i="38" s="1"/>
  <c r="CN93" i="38"/>
  <c r="DF93" i="38"/>
  <c r="CX93" i="38"/>
  <c r="CR93" i="38"/>
  <c r="CL93" i="38"/>
  <c r="EB92" i="38"/>
  <c r="BV91" i="38"/>
  <c r="CD91" i="38" s="1"/>
  <c r="BW91" i="38"/>
  <c r="CE91" i="38" s="1"/>
  <c r="BS93" i="38" l="1"/>
  <c r="BR93" i="38"/>
  <c r="EC93" i="38"/>
  <c r="BV92" i="38"/>
  <c r="CD92" i="38" s="1"/>
  <c r="BW92" i="38"/>
  <c r="CE92" i="38" s="1"/>
  <c r="EB93" i="38"/>
  <c r="CZ94" i="38"/>
  <c r="DH94" i="38"/>
  <c r="DX94" i="38"/>
  <c r="DD94" i="38"/>
  <c r="DZ94" i="38" s="1"/>
  <c r="CV94" i="38"/>
  <c r="DR94" i="38" s="1"/>
  <c r="DV94" i="38" s="1"/>
  <c r="DF94" i="38"/>
  <c r="CX94" i="38"/>
  <c r="CL94" i="38"/>
  <c r="CN94" i="38"/>
  <c r="CR94" i="38"/>
  <c r="DA94" i="38"/>
  <c r="DI94" i="38"/>
  <c r="DY94" i="38"/>
  <c r="CS94" i="38"/>
  <c r="CO94" i="38"/>
  <c r="CM94" i="38"/>
  <c r="DE94" i="38"/>
  <c r="EA94" i="38" s="1"/>
  <c r="CY94" i="38"/>
  <c r="DG94" i="38"/>
  <c r="CW94" i="38"/>
  <c r="DS94" i="38" s="1"/>
  <c r="DW94" i="38" s="1"/>
  <c r="BR94" i="38" l="1"/>
  <c r="BS94" i="38"/>
  <c r="CZ95" i="38"/>
  <c r="DH95" i="38"/>
  <c r="DX95" i="38"/>
  <c r="DF95" i="38"/>
  <c r="CR95" i="38"/>
  <c r="CN95" i="38"/>
  <c r="DD95" i="38"/>
  <c r="DZ95" i="38" s="1"/>
  <c r="CX95" i="38"/>
  <c r="CV95" i="38"/>
  <c r="DR95" i="38" s="1"/>
  <c r="DV95" i="38" s="1"/>
  <c r="CL95" i="38"/>
  <c r="DA95" i="38"/>
  <c r="DI95" i="38"/>
  <c r="DY95" i="38"/>
  <c r="CW95" i="38"/>
  <c r="DS95" i="38" s="1"/>
  <c r="DW95" i="38" s="1"/>
  <c r="DG95" i="38"/>
  <c r="CY95" i="38"/>
  <c r="CS95" i="38"/>
  <c r="DE95" i="38"/>
  <c r="EA95" i="38" s="1"/>
  <c r="CO95" i="38"/>
  <c r="CM95" i="38"/>
  <c r="EB94" i="38"/>
  <c r="EC94" i="38"/>
  <c r="BW93" i="38"/>
  <c r="CE93" i="38" s="1"/>
  <c r="BV93" i="38"/>
  <c r="CD93" i="38" s="1"/>
  <c r="BR95" i="38" l="1"/>
  <c r="BS95" i="38"/>
  <c r="EB95" i="38"/>
  <c r="BV94" i="38"/>
  <c r="CD94" i="38" s="1"/>
  <c r="CZ96" i="38"/>
  <c r="DH96" i="38"/>
  <c r="DX96" i="38"/>
  <c r="CR96" i="38"/>
  <c r="CN96" i="38"/>
  <c r="CL96" i="38"/>
  <c r="CX96" i="38"/>
  <c r="DD96" i="38"/>
  <c r="DZ96" i="38" s="1"/>
  <c r="CV96" i="38"/>
  <c r="DR96" i="38" s="1"/>
  <c r="DV96" i="38" s="1"/>
  <c r="DF96" i="38"/>
  <c r="DA96" i="38"/>
  <c r="DI96" i="38"/>
  <c r="DY96" i="38"/>
  <c r="DE96" i="38"/>
  <c r="EA96" i="38" s="1"/>
  <c r="CY96" i="38"/>
  <c r="CO96" i="38"/>
  <c r="CM96" i="38"/>
  <c r="DG96" i="38"/>
  <c r="CS96" i="38"/>
  <c r="CW96" i="38"/>
  <c r="DS96" i="38" s="1"/>
  <c r="DW96" i="38" s="1"/>
  <c r="BW94" i="38"/>
  <c r="CE94" i="38" s="1"/>
  <c r="EC95" i="38"/>
  <c r="BS96" i="38" l="1"/>
  <c r="BR96" i="38"/>
  <c r="EC96" i="38"/>
  <c r="BW95" i="38"/>
  <c r="CE95" i="38" s="1"/>
  <c r="BV95" i="38"/>
  <c r="CD95" i="38" s="1"/>
  <c r="CZ97" i="38"/>
  <c r="DH97" i="38"/>
  <c r="DX97" i="38"/>
  <c r="DD97" i="38"/>
  <c r="DZ97" i="38" s="1"/>
  <c r="CV97" i="38"/>
  <c r="DR97" i="38" s="1"/>
  <c r="DV97" i="38" s="1"/>
  <c r="CL97" i="38"/>
  <c r="CR97" i="38"/>
  <c r="DF97" i="38"/>
  <c r="CX97" i="38"/>
  <c r="CN97" i="38"/>
  <c r="DA97" i="38"/>
  <c r="DI97" i="38"/>
  <c r="DY97" i="38"/>
  <c r="DG97" i="38"/>
  <c r="CO97" i="38"/>
  <c r="DE97" i="38"/>
  <c r="EA97" i="38" s="1"/>
  <c r="CY97" i="38"/>
  <c r="CW97" i="38"/>
  <c r="DS97" i="38" s="1"/>
  <c r="DW97" i="38" s="1"/>
  <c r="CM97" i="38"/>
  <c r="CS97" i="38"/>
  <c r="EB96" i="38"/>
  <c r="BS97" i="38" l="1"/>
  <c r="BR97" i="38"/>
  <c r="CZ98" i="38"/>
  <c r="DH98" i="38"/>
  <c r="DX98" i="38"/>
  <c r="DD98" i="38"/>
  <c r="DZ98" i="38" s="1"/>
  <c r="CR98" i="38"/>
  <c r="CL98" i="38"/>
  <c r="CV98" i="38"/>
  <c r="DR98" i="38" s="1"/>
  <c r="DV98" i="38" s="1"/>
  <c r="DF98" i="38"/>
  <c r="CN98" i="38"/>
  <c r="CX98" i="38"/>
  <c r="BV96" i="38"/>
  <c r="CD96" i="38" s="1"/>
  <c r="BW96" i="38"/>
  <c r="CE96" i="38" s="1"/>
  <c r="DA98" i="38"/>
  <c r="DI98" i="38"/>
  <c r="DY98" i="38"/>
  <c r="CO98" i="38"/>
  <c r="DG98" i="38"/>
  <c r="DE98" i="38"/>
  <c r="EA98" i="38" s="1"/>
  <c r="CY98" i="38"/>
  <c r="CS98" i="38"/>
  <c r="CM98" i="38"/>
  <c r="CW98" i="38"/>
  <c r="DS98" i="38" s="1"/>
  <c r="DW98" i="38" s="1"/>
  <c r="EB97" i="38"/>
  <c r="EC97" i="38"/>
  <c r="BR98" i="38" l="1"/>
  <c r="BS98" i="38"/>
  <c r="EC98" i="38"/>
  <c r="BV97" i="38"/>
  <c r="CD97" i="38" s="1"/>
  <c r="BW97" i="38"/>
  <c r="CE97" i="38" s="1"/>
  <c r="DA99" i="38"/>
  <c r="DI99" i="38"/>
  <c r="DY99" i="38"/>
  <c r="DG99" i="38"/>
  <c r="DE99" i="38"/>
  <c r="EA99" i="38" s="1"/>
  <c r="CY99" i="38"/>
  <c r="CO99" i="38"/>
  <c r="CW99" i="38"/>
  <c r="DS99" i="38" s="1"/>
  <c r="DW99" i="38" s="1"/>
  <c r="CM99" i="38"/>
  <c r="CS99" i="38"/>
  <c r="EB98" i="38"/>
  <c r="CZ99" i="38"/>
  <c r="DH99" i="38"/>
  <c r="DX99" i="38"/>
  <c r="CR99" i="38"/>
  <c r="CL99" i="38"/>
  <c r="CV99" i="38"/>
  <c r="DR99" i="38" s="1"/>
  <c r="DV99" i="38" s="1"/>
  <c r="CX99" i="38"/>
  <c r="CN99" i="38"/>
  <c r="DD99" i="38"/>
  <c r="DZ99" i="38" s="1"/>
  <c r="DF99" i="38"/>
  <c r="BS99" i="38" l="1"/>
  <c r="BR99" i="38"/>
  <c r="CZ100" i="38"/>
  <c r="DH100" i="38"/>
  <c r="DX100" i="38"/>
  <c r="CX100" i="38"/>
  <c r="CR100" i="38"/>
  <c r="CV100" i="38"/>
  <c r="DR100" i="38" s="1"/>
  <c r="DV100" i="38" s="1"/>
  <c r="CN100" i="38"/>
  <c r="DF100" i="38"/>
  <c r="DD100" i="38"/>
  <c r="DZ100" i="38" s="1"/>
  <c r="CL100" i="38"/>
  <c r="DA100" i="38"/>
  <c r="DI100" i="38"/>
  <c r="DY100" i="38"/>
  <c r="CO100" i="38"/>
  <c r="CM100" i="38"/>
  <c r="DE100" i="38"/>
  <c r="EA100" i="38" s="1"/>
  <c r="CW100" i="38"/>
  <c r="DS100" i="38" s="1"/>
  <c r="DW100" i="38" s="1"/>
  <c r="DG100" i="38"/>
  <c r="CS100" i="38"/>
  <c r="CY100" i="38"/>
  <c r="EB99" i="38"/>
  <c r="EC99" i="38"/>
  <c r="BW98" i="38"/>
  <c r="CE98" i="38" s="1"/>
  <c r="BV98" i="38"/>
  <c r="CD98" i="38" s="1"/>
  <c r="BR100" i="38" l="1"/>
  <c r="BV100" i="38" s="1"/>
  <c r="CD100" i="38" s="1"/>
  <c r="BS100" i="38"/>
  <c r="EC100" i="38"/>
  <c r="BW99" i="38"/>
  <c r="CE99" i="38" s="1"/>
  <c r="CZ101" i="38"/>
  <c r="DH101" i="38"/>
  <c r="DX101" i="38"/>
  <c r="CN101" i="38"/>
  <c r="DD101" i="38"/>
  <c r="DZ101" i="38" s="1"/>
  <c r="DF101" i="38"/>
  <c r="CX101" i="38"/>
  <c r="CR101" i="38"/>
  <c r="CV101" i="38"/>
  <c r="DR101" i="38" s="1"/>
  <c r="DV101" i="38" s="1"/>
  <c r="CL101" i="38"/>
  <c r="BV99" i="38"/>
  <c r="CD99" i="38" s="1"/>
  <c r="DA101" i="38"/>
  <c r="DI101" i="38"/>
  <c r="DY101" i="38"/>
  <c r="CS101" i="38"/>
  <c r="CM101" i="38"/>
  <c r="DE101" i="38"/>
  <c r="EA101" i="38" s="1"/>
  <c r="CY101" i="38"/>
  <c r="CW101" i="38"/>
  <c r="DS101" i="38" s="1"/>
  <c r="DW101" i="38" s="1"/>
  <c r="CO101" i="38"/>
  <c r="DG101" i="38"/>
  <c r="EB100" i="38"/>
  <c r="BS101" i="38" l="1"/>
  <c r="BR101" i="38"/>
  <c r="DA102" i="38"/>
  <c r="DI102" i="38"/>
  <c r="DY102" i="38"/>
  <c r="CW102" i="38"/>
  <c r="DS102" i="38" s="1"/>
  <c r="DW102" i="38" s="1"/>
  <c r="DE102" i="38"/>
  <c r="EA102" i="38" s="1"/>
  <c r="DG102" i="38"/>
  <c r="CY102" i="38"/>
  <c r="CS102" i="38"/>
  <c r="CO102" i="38"/>
  <c r="CM102" i="38"/>
  <c r="EC101" i="38"/>
  <c r="CZ102" i="38"/>
  <c r="DH102" i="38"/>
  <c r="DX102" i="38"/>
  <c r="CN102" i="38"/>
  <c r="CV102" i="38"/>
  <c r="DR102" i="38" s="1"/>
  <c r="DV102" i="38" s="1"/>
  <c r="DF102" i="38"/>
  <c r="CX102" i="38"/>
  <c r="CR102" i="38"/>
  <c r="DD102" i="38"/>
  <c r="DZ102" i="38" s="1"/>
  <c r="CL102" i="38"/>
  <c r="EB101" i="38"/>
  <c r="BW100" i="38"/>
  <c r="CE100" i="38" s="1"/>
  <c r="BR102" i="38" l="1"/>
  <c r="BS102" i="38"/>
  <c r="CZ103" i="38"/>
  <c r="DH103" i="38"/>
  <c r="DX103" i="38"/>
  <c r="DF103" i="38"/>
  <c r="DD103" i="38"/>
  <c r="DZ103" i="38" s="1"/>
  <c r="CX103" i="38"/>
  <c r="CR103" i="38"/>
  <c r="CV103" i="38"/>
  <c r="DR103" i="38" s="1"/>
  <c r="DV103" i="38" s="1"/>
  <c r="CL103" i="38"/>
  <c r="CN103" i="38"/>
  <c r="DA103" i="38"/>
  <c r="DI103" i="38"/>
  <c r="DY103" i="38"/>
  <c r="CS103" i="38"/>
  <c r="CM103" i="38"/>
  <c r="DE103" i="38"/>
  <c r="EA103" i="38" s="1"/>
  <c r="CW103" i="38"/>
  <c r="DS103" i="38" s="1"/>
  <c r="DW103" i="38" s="1"/>
  <c r="CO103" i="38"/>
  <c r="CY103" i="38"/>
  <c r="DG103" i="38"/>
  <c r="EB102" i="38"/>
  <c r="EC102" i="38"/>
  <c r="BV101" i="38"/>
  <c r="CD101" i="38" s="1"/>
  <c r="BW101" i="38"/>
  <c r="CE101" i="38" s="1"/>
  <c r="BS103" i="38" l="1"/>
  <c r="BR103" i="38"/>
  <c r="EB103" i="38"/>
  <c r="DA104" i="38"/>
  <c r="DI104" i="38"/>
  <c r="DY104" i="38"/>
  <c r="CY104" i="38"/>
  <c r="CW104" i="38"/>
  <c r="DS104" i="38" s="1"/>
  <c r="DW104" i="38" s="1"/>
  <c r="CO104" i="38"/>
  <c r="CS104" i="38"/>
  <c r="CM104" i="38"/>
  <c r="DG104" i="38"/>
  <c r="DE104" i="38"/>
  <c r="EA104" i="38" s="1"/>
  <c r="BV102" i="38"/>
  <c r="CD102" i="38" s="1"/>
  <c r="EC103" i="38"/>
  <c r="BW102" i="38"/>
  <c r="CE102" i="38" s="1"/>
  <c r="CZ104" i="38"/>
  <c r="DH104" i="38"/>
  <c r="DX104" i="38"/>
  <c r="CX104" i="38"/>
  <c r="CN104" i="38"/>
  <c r="CV104" i="38"/>
  <c r="DR104" i="38" s="1"/>
  <c r="DV104" i="38" s="1"/>
  <c r="DD104" i="38"/>
  <c r="DZ104" i="38" s="1"/>
  <c r="CR104" i="38"/>
  <c r="CL104" i="38"/>
  <c r="DF104" i="38"/>
  <c r="BR104" i="38" l="1"/>
  <c r="BS104" i="38"/>
  <c r="CZ105" i="38"/>
  <c r="DH105" i="38"/>
  <c r="DX105" i="38"/>
  <c r="DF105" i="38"/>
  <c r="DD105" i="38"/>
  <c r="DZ105" i="38" s="1"/>
  <c r="CR105" i="38"/>
  <c r="CL105" i="38"/>
  <c r="CX105" i="38"/>
  <c r="CV105" i="38"/>
  <c r="DR105" i="38" s="1"/>
  <c r="DV105" i="38" s="1"/>
  <c r="CN105" i="38"/>
  <c r="BV103" i="38"/>
  <c r="CD103" i="38" s="1"/>
  <c r="EC104" i="38"/>
  <c r="EB104" i="38"/>
  <c r="BW103" i="38"/>
  <c r="CE103" i="38" s="1"/>
  <c r="DA105" i="38"/>
  <c r="DI105" i="38"/>
  <c r="DY105" i="38"/>
  <c r="CM105" i="38"/>
  <c r="CO105" i="38"/>
  <c r="CS105" i="38"/>
  <c r="CY105" i="38"/>
  <c r="DE105" i="38"/>
  <c r="EA105" i="38" s="1"/>
  <c r="DG105" i="38"/>
  <c r="CW105" i="38"/>
  <c r="DS105" i="38" s="1"/>
  <c r="DW105" i="38" s="1"/>
  <c r="BR105" i="38" l="1"/>
  <c r="BS105" i="38"/>
  <c r="DA106" i="38"/>
  <c r="DI106" i="38"/>
  <c r="DY106" i="38"/>
  <c r="DE106" i="38"/>
  <c r="EA106" i="38" s="1"/>
  <c r="CW106" i="38"/>
  <c r="DS106" i="38" s="1"/>
  <c r="DW106" i="38" s="1"/>
  <c r="CM106" i="38"/>
  <c r="CO106" i="38"/>
  <c r="CY106" i="38"/>
  <c r="DG106" i="38"/>
  <c r="CS106" i="38"/>
  <c r="BW104" i="38"/>
  <c r="CE104" i="38" s="1"/>
  <c r="CZ106" i="38"/>
  <c r="DH106" i="38"/>
  <c r="DX106" i="38"/>
  <c r="DF106" i="38"/>
  <c r="CX106" i="38"/>
  <c r="CN106" i="38"/>
  <c r="DD106" i="38"/>
  <c r="DZ106" i="38" s="1"/>
  <c r="CV106" i="38"/>
  <c r="DR106" i="38" s="1"/>
  <c r="DV106" i="38" s="1"/>
  <c r="CL106" i="38"/>
  <c r="CR106" i="38"/>
  <c r="EC105" i="38"/>
  <c r="EB105" i="38"/>
  <c r="BV104" i="38"/>
  <c r="CD104" i="38" s="1"/>
  <c r="BS106" i="38" l="1"/>
  <c r="BR106" i="38"/>
  <c r="BW105" i="38"/>
  <c r="CE105" i="38" s="1"/>
  <c r="EB106" i="38"/>
  <c r="BV105" i="38"/>
  <c r="CD105" i="38" s="1"/>
  <c r="EC106" i="38"/>
  <c r="BW106" i="38" l="1"/>
  <c r="BV106" i="38"/>
  <c r="CD106" i="38" s="1"/>
  <c r="CE106" i="38" l="1"/>
  <c r="R18" i="37"/>
  <c r="S18" i="37" l="1"/>
  <c r="T18" i="37" s="1"/>
  <c r="N54" i="44"/>
  <c r="O54" i="44" s="1"/>
  <c r="O64" i="44" s="1"/>
  <c r="O66" i="44" s="1"/>
  <c r="O68" i="44" s="1"/>
  <c r="O69" i="44" l="1"/>
  <c r="O70" i="44" s="1"/>
  <c r="O74" i="44" l="1"/>
  <c r="O75" i="44" s="1"/>
</calcChain>
</file>

<file path=xl/sharedStrings.xml><?xml version="1.0" encoding="utf-8"?>
<sst xmlns="http://schemas.openxmlformats.org/spreadsheetml/2006/main" count="600" uniqueCount="303">
  <si>
    <t>Hombres</t>
  </si>
  <si>
    <t>Mujeres</t>
  </si>
  <si>
    <t>Estado</t>
  </si>
  <si>
    <t>CIUDAD DE MEXICO</t>
  </si>
  <si>
    <t>Nivel Hospitalario</t>
  </si>
  <si>
    <t xml:space="preserve">Tabulador Honorarios </t>
  </si>
  <si>
    <t xml:space="preserve">Suma Asegurada </t>
  </si>
  <si>
    <t>Deducible</t>
  </si>
  <si>
    <t>Coaseguro</t>
  </si>
  <si>
    <t>EDAD</t>
  </si>
  <si>
    <t>DEDUCIBLE</t>
  </si>
  <si>
    <t>PLUS</t>
  </si>
  <si>
    <t>Edad</t>
  </si>
  <si>
    <t>TOTAL</t>
  </si>
  <si>
    <t>Factor</t>
  </si>
  <si>
    <t>AGUASCALIENTES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</si>
  <si>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</si>
  <si>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</si>
  <si>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</si>
  <si>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</si>
  <si>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</si>
  <si>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</si>
  <si>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</si>
  <si>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</si>
  <si>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</si>
  <si>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</si>
  <si>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MICHOACAN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</si>
  <si>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</si>
  <si>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</si>
  <si>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</si>
  <si>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</si>
  <si>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</si>
  <si>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</si>
  <si>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</si>
  <si>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</si>
  <si>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</si>
  <si>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</si>
  <si>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</si>
  <si>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</si>
  <si>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</si>
  <si>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</si>
  <si>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</si>
  <si>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</si>
  <si>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ELITE</t>
  </si>
  <si>
    <t>ESTANDAR</t>
  </si>
  <si>
    <t>GUADALAJARA</t>
  </si>
  <si>
    <t>SA</t>
  </si>
  <si>
    <t>GASTO ADMON</t>
  </si>
  <si>
    <t>UTILIDAD</t>
  </si>
  <si>
    <t>MULTIREGIÓN</t>
  </si>
  <si>
    <t>Medicamentos Fuera del Hospital</t>
  </si>
  <si>
    <t>Eliminación de Deducible por Accidente</t>
  </si>
  <si>
    <t>COBERTURA INTERNACIONAL</t>
  </si>
  <si>
    <t>AYUDA DIARIA POR HOSPITALIZACIÓN</t>
  </si>
  <si>
    <t>ENFERMEDADES GRAVES EN EL EXTRANJERO</t>
  </si>
  <si>
    <t>MEDICAMENTOS FUERA DEL HOSPITAL</t>
  </si>
  <si>
    <t>ELIMINACIÓN DE DEDUCIBLE POR ACCIDENTE</t>
  </si>
  <si>
    <t>AMPLIACIÓN DE SERVICIOS</t>
  </si>
  <si>
    <t>MATERNIDAD PLUS</t>
  </si>
  <si>
    <t>PADECIMIENTOS PREEXISTENTES DECLARADOS</t>
  </si>
  <si>
    <t>EMERGENCIA MÉDICA EN EL EXTRANJERO</t>
  </si>
  <si>
    <t>INDEMNIZACIÓN ENFERMEDADES GRAVES</t>
  </si>
  <si>
    <t>COMPLICACIONES DE TRATMIENTOS NO AMPARADOS</t>
  </si>
  <si>
    <t>ANUAL</t>
  </si>
  <si>
    <t/>
  </si>
  <si>
    <t>FPAGO</t>
  </si>
  <si>
    <t>TASA</t>
  </si>
  <si>
    <t>RECIBOS</t>
  </si>
  <si>
    <t>SEMESTRAL</t>
  </si>
  <si>
    <t>TRIMESTRAL</t>
  </si>
  <si>
    <t>MENSUAL*</t>
  </si>
  <si>
    <t xml:space="preserve">                                                                                                          </t>
  </si>
  <si>
    <t>DATOS DEL CONTRATANTE</t>
  </si>
  <si>
    <t>TASA PAGO FRACCIONADO</t>
  </si>
  <si>
    <t>Nombre:</t>
  </si>
  <si>
    <t>Domicilio:</t>
  </si>
  <si>
    <t>Estado:</t>
  </si>
  <si>
    <t>ASEGURADO</t>
  </si>
  <si>
    <t>COBERTURAS BASICAS</t>
  </si>
  <si>
    <t>COBERTURAS OPCIONALES</t>
  </si>
  <si>
    <t>PRIMA NETA</t>
  </si>
  <si>
    <t>IVA</t>
  </si>
  <si>
    <t>NOTAS IMPORTANTES</t>
  </si>
  <si>
    <t xml:space="preserve">Valor </t>
  </si>
  <si>
    <t>Bx+ Plus</t>
  </si>
  <si>
    <t>Paso 1.- Capturar datos especificos de los asegurados.</t>
  </si>
  <si>
    <t>Paso 2.- Elegir parámetros.</t>
  </si>
  <si>
    <t>Paso 3.- Elegir coberturas.</t>
  </si>
  <si>
    <t>Fecha :</t>
  </si>
  <si>
    <t>Folio:</t>
  </si>
  <si>
    <t>TITULAR</t>
  </si>
  <si>
    <t>DEPENDIENTE 2</t>
  </si>
  <si>
    <t>DEPENDIENTE 3</t>
  </si>
  <si>
    <t>DEPENDIENTE 4</t>
  </si>
  <si>
    <t xml:space="preserve"> </t>
  </si>
  <si>
    <t>DEPENDIENTE 5</t>
  </si>
  <si>
    <t xml:space="preserve">FORMA DE PAGO </t>
  </si>
  <si>
    <t>RECONOCIMIENTO DE ANTIGÜEDAD</t>
  </si>
  <si>
    <t xml:space="preserve">Hombre </t>
  </si>
  <si>
    <t>Mujer</t>
  </si>
  <si>
    <t xml:space="preserve">Prima de Riesgo </t>
  </si>
  <si>
    <t>Suma Asegurada</t>
  </si>
  <si>
    <t xml:space="preserve">Factor </t>
  </si>
  <si>
    <t xml:space="preserve">Deducible </t>
  </si>
  <si>
    <t xml:space="preserve">Entidad </t>
  </si>
  <si>
    <t xml:space="preserve">Region </t>
  </si>
  <si>
    <t xml:space="preserve">Nivel </t>
  </si>
  <si>
    <t>Tabulador</t>
  </si>
  <si>
    <t xml:space="preserve">Zona </t>
  </si>
  <si>
    <t>Gastos</t>
  </si>
  <si>
    <t xml:space="preserve">Porcentaje </t>
  </si>
  <si>
    <t>GASTO ADQUIS</t>
  </si>
  <si>
    <t>PLATA- 50,000</t>
  </si>
  <si>
    <t>PALADIO-60,000</t>
  </si>
  <si>
    <t>OSMIO-80,000</t>
  </si>
  <si>
    <t>IRIDIO-90,000</t>
  </si>
  <si>
    <t>ORO-110,000</t>
  </si>
  <si>
    <t>PLATINO-120,000</t>
  </si>
  <si>
    <t>Porcentaje Gastos</t>
  </si>
  <si>
    <t>Factor Suma Asegurada</t>
  </si>
  <si>
    <t xml:space="preserve">Factor Deducible </t>
  </si>
  <si>
    <t xml:space="preserve">Factor Coaseguro </t>
  </si>
  <si>
    <t xml:space="preserve">Factor Region </t>
  </si>
  <si>
    <t xml:space="preserve">Factor Nivel Hospitalario </t>
  </si>
  <si>
    <t>Factor Tabulador Honorarios</t>
  </si>
  <si>
    <t>Forma</t>
  </si>
  <si>
    <t>Tasa Forma de Pago</t>
  </si>
  <si>
    <t xml:space="preserve">Factor Medicamentos Fuera del Hospital </t>
  </si>
  <si>
    <t>Factor de Padecimientos Preexistentes</t>
  </si>
  <si>
    <t>Factor de Complicaciones No Amparados</t>
  </si>
  <si>
    <t>Suma Asegurada Maternidad Plus</t>
  </si>
  <si>
    <t>Factor Maternidad</t>
  </si>
  <si>
    <t>Region</t>
  </si>
  <si>
    <t>Factor Eliminacion de Deducible</t>
  </si>
  <si>
    <t>Factor Emergencia Medica en el Extranjero</t>
  </si>
  <si>
    <t>Factor Enfermedades Graves en el Extranjero</t>
  </si>
  <si>
    <t>Factor ampliacion de Servicios</t>
  </si>
  <si>
    <t>Factor Ayuda Diaria por Hosp</t>
  </si>
  <si>
    <t>Factor Indemnizacion Enfermedades Graves</t>
  </si>
  <si>
    <t>Factor Beneficio Angeles</t>
  </si>
  <si>
    <t>Factor Reconocimiento de Antigüedad</t>
  </si>
  <si>
    <t xml:space="preserve">GENERADOR DE TARIFA </t>
  </si>
  <si>
    <t>Elegibles</t>
  </si>
  <si>
    <t>Coberturas Adicionales</t>
  </si>
  <si>
    <t xml:space="preserve">TARIFA FINAL </t>
  </si>
  <si>
    <t>BASICA</t>
  </si>
  <si>
    <t>MEDICAMENTOS FUERA DE HOSPITAL</t>
  </si>
  <si>
    <t>COMPLICACIONES DE TRATAMIENTOS NO AMPARADOS</t>
  </si>
  <si>
    <t>ELIMINACION DE DEDUCIBLE</t>
  </si>
  <si>
    <t>EMERGENCIA MEDICA EN EL EXTRANJERA</t>
  </si>
  <si>
    <t xml:space="preserve">ENFEREMEDADES GRAVES EN EL EXTRANJERO </t>
  </si>
  <si>
    <t>AYUDA DIARIA POR HOSPITALIZACION</t>
  </si>
  <si>
    <t>AMPLIACION DE SERVICIOS</t>
  </si>
  <si>
    <t>INDEMINIZACION ENFERMEDADES GRAVES</t>
  </si>
  <si>
    <t>RECONOCIMIENTO ANTIGÜEDAD</t>
  </si>
  <si>
    <t>TOTAL ADICIONALES</t>
  </si>
  <si>
    <t xml:space="preserve"> FACTORES COBERTURAS BASICA</t>
  </si>
  <si>
    <t xml:space="preserve">FACTORES COBERTURAS ADICIONALES </t>
  </si>
  <si>
    <t>Factor Zona (Basica)</t>
  </si>
  <si>
    <t>65-70</t>
  </si>
  <si>
    <t>FACTOR</t>
  </si>
  <si>
    <t>ZONA</t>
  </si>
  <si>
    <t>Factor Multiregion Nota Tecnica</t>
  </si>
  <si>
    <t>Factor Multiregion Carga</t>
  </si>
  <si>
    <t>MULTIREGION CARGA</t>
  </si>
  <si>
    <t>MULTIREGION Nota Tecnica</t>
  </si>
  <si>
    <t>Factor Cobertura Internacional Nota Tecnica</t>
  </si>
  <si>
    <t>Factor Cobertura Internacional Carga</t>
  </si>
  <si>
    <t xml:space="preserve">Ayuda Diaria por Hospitalizacion </t>
  </si>
  <si>
    <t>Número de días promedio de hospitalización</t>
  </si>
  <si>
    <t>Probabilidad acumulada de permanecer hospitalizado "x" número de días</t>
  </si>
  <si>
    <t>DE</t>
  </si>
  <si>
    <t>DC</t>
  </si>
  <si>
    <t>P</t>
  </si>
  <si>
    <t>PRADH</t>
  </si>
  <si>
    <t>PRG</t>
  </si>
  <si>
    <t>FADH</t>
  </si>
  <si>
    <t>COBERTURA INTERNACIONAL Nota Tecnica</t>
  </si>
  <si>
    <t>BENFICIO HOSPITALARIO VIP</t>
  </si>
  <si>
    <t>BENEFICIO HOSPITALARIO VIP</t>
  </si>
  <si>
    <t>No Aplica</t>
  </si>
  <si>
    <t>COBERTURAS ADICIONALES CON COSTO</t>
  </si>
  <si>
    <t xml:space="preserve">Reconocimiento de Antigüedad </t>
  </si>
  <si>
    <t>Complicaciones de Tratamientos no Amparados</t>
  </si>
  <si>
    <t xml:space="preserve">Padecimientos Preexistentes Declarados </t>
  </si>
  <si>
    <t xml:space="preserve">Ampliación de Servicios </t>
  </si>
  <si>
    <t>Emergencia Médica en el extranjero</t>
  </si>
  <si>
    <t>Beneficio Hospitalario VIP</t>
  </si>
  <si>
    <t xml:space="preserve">Enfermedades Graves en el extranjero </t>
  </si>
  <si>
    <t xml:space="preserve">Cobertura Internacional </t>
  </si>
  <si>
    <t xml:space="preserve">Multiregion </t>
  </si>
  <si>
    <t>Indemnización de Enfermedades Graves</t>
  </si>
  <si>
    <t xml:space="preserve">Ayuda Diaria por Hospitalización </t>
  </si>
  <si>
    <t>Prima de Tarifa</t>
  </si>
  <si>
    <t>DOMICILIO  DE LOS ASEGURADOS</t>
  </si>
  <si>
    <t>Fecha de cotización:</t>
  </si>
  <si>
    <t>No. De Folio:</t>
  </si>
  <si>
    <t>Nombre del Agente/Clave:</t>
  </si>
  <si>
    <t>Nombre completo o razón social:</t>
  </si>
  <si>
    <t>C.P:</t>
  </si>
  <si>
    <t>COBERTURAS</t>
  </si>
  <si>
    <t>Coberturas</t>
  </si>
  <si>
    <t>Básica</t>
  </si>
  <si>
    <t>DATOS DE LOS ASEGURADOS</t>
  </si>
  <si>
    <t>Moneda:</t>
  </si>
  <si>
    <t>Moneda Nacional</t>
  </si>
  <si>
    <t>Prima Neta Total</t>
  </si>
  <si>
    <t>Forma de pago:</t>
  </si>
  <si>
    <t>Descuentos</t>
  </si>
  <si>
    <t>Recargo por Pago Fraccionado</t>
  </si>
  <si>
    <t>Derecho de Póliza</t>
  </si>
  <si>
    <t>Subtotal</t>
  </si>
  <si>
    <t>Prima Total</t>
  </si>
  <si>
    <t>No. De recibos según forma de pago</t>
  </si>
  <si>
    <t>Monto del primer recibo</t>
  </si>
  <si>
    <t>1. La presente cotización tiene vigencia de 30 días contados a partir de la fecha de cotización y no será válida sin el sello o firma del Agente de Seguros.</t>
  </si>
  <si>
    <t>2. La aceptación de los Asegurados está sujeta a las políticas de suscripción vigentes de la compañía.</t>
  </si>
  <si>
    <t>3. Las coberturas amparadas en la presente cotización están sujetas a las Condiciones Generales registradas ante la CNSF.</t>
  </si>
  <si>
    <t>4. Esta cotización es de carácter ilustrativa y no forma parte del contrato de seguro y se considerará únicamente a las personas y coberturas señaladas en este documento, por lo que no se garantiza la emisión de la póliza de seguro ni los términos y condiciones aquí sugeridos .</t>
  </si>
  <si>
    <t>Nombre del Asegurado</t>
  </si>
  <si>
    <t>Sexo</t>
  </si>
  <si>
    <t>Prima Neta
Cobertura Básica</t>
  </si>
  <si>
    <t>Prima Neta
Coberturas Adicionales</t>
  </si>
  <si>
    <t>Prima  Neta Total</t>
  </si>
  <si>
    <t xml:space="preserve">DOMICILIO DE LOS ASEGURADOS </t>
  </si>
  <si>
    <t>CARACTERÍSTICAS DEL PLAN</t>
  </si>
  <si>
    <t>Nivel Hospitalario:</t>
  </si>
  <si>
    <t>Tabulador de Honorarios:</t>
  </si>
  <si>
    <t>Suma Asegurada:</t>
  </si>
  <si>
    <t>Deducible :</t>
  </si>
  <si>
    <t>Coaseguro:</t>
  </si>
  <si>
    <t>SERVICIOS DE ASISTENCIA</t>
  </si>
  <si>
    <t>Servicios de Asistencia Bx+</t>
  </si>
  <si>
    <t xml:space="preserve">Asistencia al viajero </t>
  </si>
  <si>
    <t>Servicio Dental Básico</t>
  </si>
  <si>
    <t>Incluido</t>
  </si>
  <si>
    <t xml:space="preserve">Cotización de Seguro </t>
  </si>
  <si>
    <t>FECHA RECONOCIMIENTO DE ANTIGÜEDAD</t>
  </si>
  <si>
    <t>DEPENDIENTE 1</t>
  </si>
  <si>
    <t xml:space="preserve">Fecha Reconocimiento de Antigüedad </t>
  </si>
  <si>
    <t>Firma del Agente</t>
  </si>
  <si>
    <t>dd/mm/aaaa</t>
  </si>
  <si>
    <t>Numero de recibos:</t>
  </si>
  <si>
    <t>DURANGO</t>
  </si>
  <si>
    <t>MORELOS</t>
  </si>
  <si>
    <t>ESTADO DE MEXICO</t>
  </si>
  <si>
    <t>Suma de Maternidad</t>
  </si>
  <si>
    <t>SEXO</t>
  </si>
  <si>
    <t>NOMBRE</t>
  </si>
  <si>
    <t>Alcance/Suma Asegurada</t>
  </si>
  <si>
    <t>Amparada</t>
  </si>
  <si>
    <t>MULTIREGION NOTA TECNICA</t>
  </si>
  <si>
    <t>Factor 3</t>
  </si>
  <si>
    <t>Diferencias entre NT y Carga</t>
  </si>
  <si>
    <t>Multregion</t>
  </si>
  <si>
    <t>CV. MUNCP</t>
  </si>
  <si>
    <t>NOMBRE DEL MUNICIPIO</t>
  </si>
  <si>
    <t>ACATLAN DE JUAREZ</t>
  </si>
  <si>
    <t>PONCITLAN</t>
  </si>
  <si>
    <t>AMATITAN</t>
  </si>
  <si>
    <t>SAN CRISTOBAL DE LA BARRANCA</t>
  </si>
  <si>
    <t>CHAPALA</t>
  </si>
  <si>
    <t>TALA</t>
  </si>
  <si>
    <t>COCULA</t>
  </si>
  <si>
    <t>TEQUILA</t>
  </si>
  <si>
    <t>CUQUIO</t>
  </si>
  <si>
    <t>TIZAPAN EL ALTO</t>
  </si>
  <si>
    <t>EL ARENAL</t>
  </si>
  <si>
    <t>TLAJOMULCO DE ZUNIGA</t>
  </si>
  <si>
    <t>EL SALTO</t>
  </si>
  <si>
    <t>TLAQUEPAQUE</t>
  </si>
  <si>
    <t>TONALA</t>
  </si>
  <si>
    <t>HOSTOTIPAQUILLO</t>
  </si>
  <si>
    <t>TUXCUECA</t>
  </si>
  <si>
    <t>IXTLAHUACAN DE LOS MEMBRILLOS</t>
  </si>
  <si>
    <t>VILLA CORONA</t>
  </si>
  <si>
    <t>IXTLAHUACAN DEL RIO</t>
  </si>
  <si>
    <t>ZAPOPAN</t>
  </si>
  <si>
    <t>JOCOTEPEC</t>
  </si>
  <si>
    <t>ZAPOTLAN DEL REY</t>
  </si>
  <si>
    <t>JUANACATLAN</t>
  </si>
  <si>
    <t>ZAPOTLANEJO</t>
  </si>
  <si>
    <t>JALISCO 1(GUADALAJARA Y ALEDAÑOS)</t>
  </si>
  <si>
    <t>JALISCO 2 ( RESTO JALISCO)</t>
  </si>
  <si>
    <t>MUNICIPIOS A LOS QUE APLICA TARIFA JALISCO 1 ( GUADALAJARA Y ALEDAÑOS)</t>
  </si>
  <si>
    <t>LA MANZANILLA DE LA PAZ</t>
  </si>
  <si>
    <t>COBERTURA INTERNACIONAL Carga Sistema</t>
  </si>
  <si>
    <t>COBERTURA INTERNACIONAL CARGA SISTEMA</t>
  </si>
  <si>
    <t>Maternidad (No aplica para hombres)</t>
  </si>
  <si>
    <t>Tope de coaseguro:</t>
  </si>
  <si>
    <t xml:space="preserve">Tope Coaseguro </t>
  </si>
  <si>
    <t>Tope</t>
  </si>
  <si>
    <t>DEPENDIENTE 6</t>
  </si>
  <si>
    <t>DEPENDIENTE 7</t>
  </si>
  <si>
    <t>Xtensuz Bx+</t>
  </si>
  <si>
    <t>XTENSUZ BX+ BASICA</t>
  </si>
  <si>
    <t>XTENSUZ BX+ ADICIONALES</t>
  </si>
  <si>
    <t>Factor de Xtensuz Bx+</t>
  </si>
  <si>
    <t>XTENZUS BX+</t>
  </si>
  <si>
    <t>BIMESTRAL</t>
  </si>
  <si>
    <t>Tipo de cotización:</t>
  </si>
  <si>
    <t>Únikuz Bx+  2021. Versión: 30/09/2021 v5.7</t>
  </si>
  <si>
    <t>Vigencia de la cotización: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</si>
</sst>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;[Red]\-&quot;$&quot;#,##0"/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_-* #,##0_-;\-* #,##0_-;_-* &quot;-&quot;??_-;_-@_-"/>
    <numFmt numFmtId="166" formatCode="0.00000"/>
    <numFmt numFmtId="167" formatCode="&quot;$&quot;#,##0"/>
    <numFmt numFmtId="168" formatCode="&quot;$&quot;#,##0.00"/>
    <numFmt numFmtId="169" formatCode="[$$-409]#,##0"/>
    <numFmt numFmtId="170" formatCode="_-* #,##0.00000_-;\-* #,##0.00000_-;_-* &quot;-&quot;??_-;_-@_-"/>
    <numFmt numFmtId="171" formatCode="#,##0.0000"/>
    <numFmt numFmtId="172" formatCode="0.000"/>
    <numFmt numFmtId="173" formatCode="#,##0.000000"/>
    <numFmt numFmtId="174" formatCode="#,##0.00000"/>
    <numFmt numFmtId="175" formatCode="_-* #,##0.000_-;\-* #,##0.000_-;_-* &quot;-&quot;??_-;_-@_-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1F497D"/>
      <name val="Century Gothic"/>
      <family val="2"/>
    </font>
    <font>
      <b/>
      <sz val="10"/>
      <name val="Arial"/>
      <family val="2"/>
    </font>
    <font>
      <b/>
      <sz val="9"/>
      <color theme="0"/>
      <name val="Century Gothic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rgb="FF00379A"/>
      <name val="Arial"/>
      <family val="2"/>
    </font>
    <font>
      <b/>
      <sz val="18"/>
      <color indexed="8"/>
      <name val="Calibri"/>
      <family val="2"/>
    </font>
    <font>
      <sz val="10"/>
      <color rgb="FF00379A"/>
      <name val="Arial"/>
      <family val="2"/>
    </font>
    <font>
      <b/>
      <sz val="10"/>
      <color rgb="FF3BB0C9"/>
      <name val="Arial"/>
      <family val="2"/>
    </font>
    <font>
      <b/>
      <sz val="10"/>
      <color theme="3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rgb="FF3BB0C9"/>
      <name val="Arial"/>
      <family val="2"/>
    </font>
    <font>
      <sz val="10"/>
      <color theme="1"/>
      <name val="Calibri"/>
      <family val="2"/>
      <scheme val="minor"/>
    </font>
    <font>
      <sz val="10"/>
      <color rgb="FF3BB0C9"/>
      <name val="Arial"/>
      <family val="2"/>
    </font>
    <font>
      <sz val="11"/>
      <color rgb="FF575959"/>
      <name val="Calibri"/>
      <family val="2"/>
      <scheme val="minor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Arial"/>
      <family val="2"/>
    </font>
    <font>
      <sz val="8"/>
      <color rgb="FF3BB0C9"/>
      <name val="Arial"/>
      <family val="2"/>
    </font>
    <font>
      <b/>
      <sz val="11"/>
      <color indexed="12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Calibri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b/>
      <sz val="11"/>
      <name val="Arial"/>
      <family val="2"/>
    </font>
    <font>
      <b/>
      <sz val="8"/>
      <color indexed="56"/>
      <name val="Arial"/>
      <family val="2"/>
    </font>
    <font>
      <b/>
      <u/>
      <sz val="13"/>
      <color indexed="12"/>
      <name val="Arial"/>
      <family val="2"/>
    </font>
    <font>
      <sz val="13"/>
      <color indexed="8"/>
      <name val="Arial"/>
      <family val="2"/>
    </font>
    <font>
      <b/>
      <sz val="11"/>
      <color indexed="12"/>
      <name val="Calibri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14"/>
      <color rgb="FF3333FF"/>
      <name val="Calibri"/>
      <family val="2"/>
      <scheme val="minor"/>
    </font>
    <font>
      <b/>
      <sz val="10"/>
      <color theme="0" tint="-0.499984740745262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name val="Tahoma"/>
      <family val="2"/>
    </font>
    <font>
      <sz val="11"/>
      <color rgb="FF3BB0C9"/>
      <name val="Calibri"/>
      <family val="2"/>
      <scheme val="minor"/>
    </font>
    <font>
      <sz val="11"/>
      <color indexed="8"/>
      <name val="Calibri"/>
      <family val="2"/>
    </font>
    <font>
      <sz val="8"/>
      <color rgb="FF000000"/>
      <name val="Segoe UI"/>
      <family val="2"/>
    </font>
    <font>
      <sz val="11"/>
      <color rgb="FFD2D3D4"/>
      <name val="Calibri"/>
      <family val="2"/>
      <scheme val="minor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1F497D"/>
      <name val="Calibri"/>
      <family val="2"/>
    </font>
    <font>
      <b/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9"/>
      <name val="Calibri"/>
      <family val="2"/>
      <scheme val="minor"/>
    </font>
    <font>
      <sz val="11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4"/>
      <color theme="3"/>
      <name val="Berlin Sans FB Demi"/>
      <family val="2"/>
    </font>
    <font>
      <sz val="10"/>
      <name val="Century Gothic"/>
      <family val="2"/>
    </font>
    <font>
      <b/>
      <sz val="11"/>
      <color theme="1"/>
      <name val="Malgun Gothic"/>
      <family val="2"/>
    </font>
    <font>
      <b/>
      <sz val="10"/>
      <color theme="0"/>
      <name val="Arial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name val="Century Gothic"/>
      <family val="2"/>
    </font>
    <font>
      <b/>
      <sz val="11"/>
      <name val="Malgun Gothic"/>
      <family val="2"/>
    </font>
    <font>
      <b/>
      <sz val="10"/>
      <color rgb="FF3BB0C9"/>
      <name val="Malgun Gothic"/>
      <family val="2"/>
    </font>
    <font>
      <b/>
      <sz val="10"/>
      <name val="Century Gothic"/>
      <family val="2"/>
    </font>
    <font>
      <b/>
      <sz val="14"/>
      <color theme="3"/>
      <name val="Malgun Gothic"/>
      <family val="2"/>
    </font>
    <font>
      <b/>
      <sz val="11"/>
      <name val="Candara"/>
      <family val="2"/>
    </font>
    <font>
      <b/>
      <sz val="13"/>
      <color rgb="FF3BB0C9"/>
      <name val="Candara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b/>
      <sz val="9"/>
      <name val="Malgun Gothic"/>
      <family val="2"/>
    </font>
    <font>
      <b/>
      <sz val="13"/>
      <name val="Arial"/>
      <family val="2"/>
    </font>
    <font>
      <b/>
      <sz val="11"/>
      <name val="Calibri"/>
      <family val="2"/>
    </font>
    <font>
      <sz val="12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0"/>
      <color theme="8" tint="-0.249977111117893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5DA4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333E48"/>
        <bgColor indexed="64"/>
      </patternFill>
    </fill>
    <fill>
      <patternFill patternType="solid">
        <fgColor rgb="FF3BB0C9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A4AE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dashed">
        <color rgb="FFC5DA46"/>
      </left>
      <right style="dashed">
        <color rgb="FFC5DA46"/>
      </right>
      <top style="dashed">
        <color rgb="FFC5DA46"/>
      </top>
      <bottom style="dashed">
        <color rgb="FFC5DA46"/>
      </bottom>
      <diagonal/>
    </border>
    <border>
      <left style="hair">
        <color theme="3"/>
      </left>
      <right/>
      <top style="hair">
        <color theme="3"/>
      </top>
      <bottom style="hair">
        <color theme="3"/>
      </bottom>
      <diagonal/>
    </border>
    <border>
      <left/>
      <right/>
      <top style="hair">
        <color theme="3"/>
      </top>
      <bottom style="hair">
        <color theme="3"/>
      </bottom>
      <diagonal/>
    </border>
    <border>
      <left/>
      <right style="hair">
        <color theme="3"/>
      </right>
      <top style="hair">
        <color theme="3"/>
      </top>
      <bottom style="hair">
        <color theme="3"/>
      </bottom>
      <diagonal/>
    </border>
    <border>
      <left style="hair">
        <color theme="3"/>
      </left>
      <right style="hair">
        <color theme="3"/>
      </right>
      <top style="hair">
        <color theme="3"/>
      </top>
      <bottom style="hair">
        <color theme="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theme="3"/>
      </left>
      <right style="hair">
        <color theme="3"/>
      </right>
      <top style="hair">
        <color theme="3"/>
      </top>
      <bottom/>
      <diagonal/>
    </border>
    <border>
      <left style="hair">
        <color theme="3"/>
      </left>
      <right style="hair">
        <color theme="3"/>
      </right>
      <top/>
      <bottom/>
      <diagonal/>
    </border>
    <border>
      <left style="hair">
        <color theme="3"/>
      </left>
      <right style="hair">
        <color theme="3"/>
      </right>
      <top/>
      <bottom style="hair">
        <color theme="3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  <xf numFmtId="43" fontId="51" fillId="0" borderId="0" applyFont="0" applyFill="0" applyBorder="0" applyAlignment="0" applyProtection="0"/>
  </cellStyleXfs>
  <cellXfs count="454">
    <xf numFmtId="0" fontId="0" fillId="0" borderId="0" xfId="0"/>
    <xf numFmtId="0" fontId="3" fillId="3" borderId="8" xfId="3" applyFont="1" applyFill="1" applyBorder="1" applyAlignment="1">
      <alignment horizontal="center" vertical="center" wrapText="1"/>
    </xf>
    <xf numFmtId="0" fontId="20" fillId="2" borderId="0" xfId="0" applyFont="1" applyFill="1" applyBorder="1" applyProtection="1">
      <protection hidden="1"/>
    </xf>
    <xf numFmtId="0" fontId="13" fillId="2" borderId="0" xfId="0" applyFont="1" applyFill="1" applyProtection="1"/>
    <xf numFmtId="0" fontId="14" fillId="2" borderId="0" xfId="0" applyFont="1" applyFill="1" applyProtection="1"/>
    <xf numFmtId="0" fontId="39" fillId="6" borderId="0" xfId="0" applyFont="1" applyFill="1"/>
    <xf numFmtId="0" fontId="39" fillId="7" borderId="0" xfId="0" applyFon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8" borderId="0" xfId="0" applyFill="1" applyAlignment="1">
      <alignment horizontal="right"/>
    </xf>
    <xf numFmtId="0" fontId="0" fillId="0" borderId="0" xfId="0" applyProtection="1"/>
    <xf numFmtId="0" fontId="0" fillId="0" borderId="0" xfId="0" applyBorder="1" applyProtection="1"/>
    <xf numFmtId="0" fontId="9" fillId="0" borderId="0" xfId="0" applyFont="1" applyAlignment="1" applyProtection="1"/>
    <xf numFmtId="0" fontId="40" fillId="0" borderId="0" xfId="0" applyFont="1" applyProtection="1">
      <protection locked="0"/>
    </xf>
    <xf numFmtId="0" fontId="10" fillId="0" borderId="0" xfId="0" applyFont="1" applyProtection="1"/>
    <xf numFmtId="0" fontId="10" fillId="0" borderId="0" xfId="0" applyFont="1" applyBorder="1" applyProtection="1"/>
    <xf numFmtId="0" fontId="17" fillId="0" borderId="0" xfId="0" applyFont="1" applyProtection="1"/>
    <xf numFmtId="0" fontId="7" fillId="0" borderId="0" xfId="0" applyFont="1" applyProtection="1"/>
    <xf numFmtId="0" fontId="2" fillId="0" borderId="0" xfId="0" applyFont="1" applyProtection="1"/>
    <xf numFmtId="0" fontId="2" fillId="0" borderId="0" xfId="0" applyFont="1" applyBorder="1" applyProtection="1"/>
    <xf numFmtId="165" fontId="0" fillId="8" borderId="0" xfId="1" applyNumberFormat="1" applyFont="1" applyFill="1" applyAlignment="1">
      <alignment horizontal="right"/>
    </xf>
    <xf numFmtId="9" fontId="0" fillId="8" borderId="0" xfId="2" applyFont="1" applyFill="1" applyAlignment="1">
      <alignment horizontal="right"/>
    </xf>
    <xf numFmtId="0" fontId="56" fillId="7" borderId="0" xfId="0" applyFont="1" applyFill="1" applyAlignment="1">
      <alignment horizontal="left"/>
    </xf>
    <xf numFmtId="0" fontId="3" fillId="3" borderId="18" xfId="3" applyFont="1" applyFill="1" applyBorder="1" applyAlignment="1">
      <alignment horizontal="center" vertical="center" wrapText="1"/>
    </xf>
    <xf numFmtId="0" fontId="0" fillId="3" borderId="0" xfId="0" applyFill="1"/>
    <xf numFmtId="43" fontId="0" fillId="0" borderId="0" xfId="1" applyFont="1"/>
    <xf numFmtId="165" fontId="0" fillId="0" borderId="0" xfId="1" applyNumberFormat="1" applyFont="1"/>
    <xf numFmtId="43" fontId="0" fillId="0" borderId="0" xfId="1" applyNumberFormat="1" applyFont="1"/>
    <xf numFmtId="43" fontId="0" fillId="0" borderId="0" xfId="0" applyNumberFormat="1"/>
    <xf numFmtId="166" fontId="0" fillId="0" borderId="0" xfId="0" applyNumberFormat="1"/>
    <xf numFmtId="1" fontId="0" fillId="0" borderId="0" xfId="1" applyNumberFormat="1" applyFont="1"/>
    <xf numFmtId="0" fontId="39" fillId="10" borderId="0" xfId="0" applyFont="1" applyFill="1" applyAlignment="1">
      <alignment horizontal="center"/>
    </xf>
    <xf numFmtId="0" fontId="0" fillId="0" borderId="22" xfId="0" applyBorder="1"/>
    <xf numFmtId="43" fontId="0" fillId="0" borderId="22" xfId="1" applyNumberFormat="1" applyFont="1" applyBorder="1"/>
    <xf numFmtId="0" fontId="0" fillId="0" borderId="20" xfId="0" applyBorder="1"/>
    <xf numFmtId="9" fontId="0" fillId="0" borderId="21" xfId="2" applyFont="1" applyBorder="1"/>
    <xf numFmtId="3" fontId="0" fillId="4" borderId="19" xfId="0" applyNumberFormat="1" applyFill="1" applyBorder="1" applyAlignment="1">
      <alignment horizontal="center"/>
    </xf>
    <xf numFmtId="164" fontId="0" fillId="4" borderId="19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4" borderId="19" xfId="0" quotePrefix="1" applyNumberFormat="1" applyFill="1" applyBorder="1" applyAlignment="1">
      <alignment horizontal="center"/>
    </xf>
    <xf numFmtId="0" fontId="0" fillId="0" borderId="19" xfId="0" applyBorder="1"/>
    <xf numFmtId="164" fontId="0" fillId="0" borderId="19" xfId="0" applyNumberFormat="1" applyBorder="1"/>
    <xf numFmtId="9" fontId="0" fillId="4" borderId="19" xfId="2" applyFont="1" applyFill="1" applyBorder="1" applyAlignment="1">
      <alignment horizontal="center"/>
    </xf>
    <xf numFmtId="166" fontId="0" fillId="0" borderId="19" xfId="2" applyNumberFormat="1" applyFont="1" applyBorder="1" applyAlignment="1">
      <alignment horizontal="center"/>
    </xf>
    <xf numFmtId="166" fontId="0" fillId="0" borderId="19" xfId="0" applyNumberFormat="1" applyBorder="1" applyAlignment="1">
      <alignment horizontal="center"/>
    </xf>
    <xf numFmtId="43" fontId="0" fillId="0" borderId="19" xfId="1" applyFont="1" applyBorder="1"/>
    <xf numFmtId="170" fontId="0" fillId="0" borderId="19" xfId="1" applyNumberFormat="1" applyFont="1" applyBorder="1"/>
    <xf numFmtId="171" fontId="0" fillId="4" borderId="19" xfId="0" applyNumberFormat="1" applyFill="1" applyBorder="1" applyAlignment="1">
      <alignment horizontal="center"/>
    </xf>
    <xf numFmtId="2" fontId="0" fillId="0" borderId="0" xfId="0" applyNumberFormat="1"/>
    <xf numFmtId="172" fontId="0" fillId="0" borderId="19" xfId="0" applyNumberFormat="1" applyBorder="1"/>
    <xf numFmtId="172" fontId="0" fillId="0" borderId="0" xfId="0" applyNumberFormat="1"/>
    <xf numFmtId="164" fontId="0" fillId="0" borderId="0" xfId="0" applyNumberFormat="1"/>
    <xf numFmtId="0" fontId="60" fillId="11" borderId="24" xfId="0" applyFont="1" applyFill="1" applyBorder="1" applyAlignment="1">
      <alignment horizontal="center" vertical="center" wrapText="1"/>
    </xf>
    <xf numFmtId="0" fontId="60" fillId="11" borderId="25" xfId="0" applyFont="1" applyFill="1" applyBorder="1" applyAlignment="1">
      <alignment horizontal="center" vertical="center" wrapText="1"/>
    </xf>
    <xf numFmtId="3" fontId="54" fillId="11" borderId="26" xfId="0" applyNumberFormat="1" applyFont="1" applyFill="1" applyBorder="1" applyAlignment="1">
      <alignment horizontal="center" vertical="center"/>
    </xf>
    <xf numFmtId="0" fontId="54" fillId="11" borderId="4" xfId="0" applyFont="1" applyFill="1" applyBorder="1" applyAlignment="1">
      <alignment horizontal="center" vertical="center"/>
    </xf>
    <xf numFmtId="3" fontId="54" fillId="0" borderId="26" xfId="0" applyNumberFormat="1" applyFont="1" applyBorder="1" applyAlignment="1">
      <alignment horizontal="center" vertical="center"/>
    </xf>
    <xf numFmtId="0" fontId="54" fillId="0" borderId="4" xfId="0" applyFont="1" applyBorder="1" applyAlignment="1">
      <alignment horizontal="center" vertical="center"/>
    </xf>
    <xf numFmtId="3" fontId="54" fillId="0" borderId="27" xfId="0" applyNumberFormat="1" applyFont="1" applyBorder="1" applyAlignment="1">
      <alignment horizontal="center" vertical="center"/>
    </xf>
    <xf numFmtId="0" fontId="54" fillId="0" borderId="25" xfId="0" applyFont="1" applyBorder="1" applyAlignment="1">
      <alignment horizontal="center" vertical="center"/>
    </xf>
    <xf numFmtId="0" fontId="3" fillId="3" borderId="6" xfId="3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 wrapText="1"/>
    </xf>
    <xf numFmtId="0" fontId="62" fillId="12" borderId="19" xfId="0" applyFont="1" applyFill="1" applyBorder="1" applyAlignment="1">
      <alignment horizontal="center" vertical="center"/>
    </xf>
    <xf numFmtId="0" fontId="0" fillId="13" borderId="19" xfId="0" applyFill="1" applyBorder="1" applyAlignment="1">
      <alignment horizontal="center"/>
    </xf>
    <xf numFmtId="173" fontId="0" fillId="0" borderId="19" xfId="0" applyNumberFormat="1" applyBorder="1" applyAlignment="1">
      <alignment horizontal="center"/>
    </xf>
    <xf numFmtId="174" fontId="0" fillId="0" borderId="19" xfId="0" applyNumberFormat="1" applyBorder="1" applyAlignment="1">
      <alignment horizontal="center"/>
    </xf>
    <xf numFmtId="164" fontId="0" fillId="0" borderId="19" xfId="2" applyNumberFormat="1" applyFont="1" applyBorder="1" applyAlignment="1">
      <alignment horizontal="center"/>
    </xf>
    <xf numFmtId="165" fontId="0" fillId="0" borderId="19" xfId="1" applyNumberFormat="1" applyFont="1" applyBorder="1" applyAlignment="1">
      <alignment horizontal="center"/>
    </xf>
    <xf numFmtId="1" fontId="0" fillId="0" borderId="19" xfId="2" applyNumberFormat="1" applyFont="1" applyBorder="1" applyAlignment="1">
      <alignment horizontal="center"/>
    </xf>
    <xf numFmtId="166" fontId="0" fillId="14" borderId="19" xfId="2" applyNumberFormat="1" applyFont="1" applyFill="1" applyBorder="1" applyAlignment="1">
      <alignment horizontal="center"/>
    </xf>
    <xf numFmtId="1" fontId="0" fillId="13" borderId="19" xfId="0" applyNumberFormat="1" applyFill="1" applyBorder="1" applyAlignment="1">
      <alignment horizontal="center"/>
    </xf>
    <xf numFmtId="175" fontId="0" fillId="0" borderId="0" xfId="1" applyNumberFormat="1" applyFont="1"/>
    <xf numFmtId="43" fontId="0" fillId="0" borderId="0" xfId="1" applyNumberFormat="1" applyFont="1" applyBorder="1"/>
    <xf numFmtId="175" fontId="0" fillId="0" borderId="22" xfId="1" applyNumberFormat="1" applyFont="1" applyBorder="1"/>
    <xf numFmtId="49" fontId="0" fillId="8" borderId="0" xfId="0" applyNumberFormat="1" applyFill="1" applyAlignment="1">
      <alignment horizontal="right"/>
    </xf>
    <xf numFmtId="14" fontId="0" fillId="0" borderId="19" xfId="0" applyNumberFormat="1" applyBorder="1" applyAlignment="1" applyProtection="1">
      <alignment horizontal="center" vertical="center"/>
    </xf>
    <xf numFmtId="0" fontId="8" fillId="0" borderId="0" xfId="0" applyFont="1" applyAlignment="1" applyProtection="1"/>
    <xf numFmtId="0" fontId="12" fillId="0" borderId="0" xfId="0" applyFont="1" applyBorder="1" applyAlignment="1" applyProtection="1">
      <alignment horizontal="left" vertical="center"/>
    </xf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31" fillId="0" borderId="28" xfId="0" applyFont="1" applyBorder="1" applyAlignment="1" applyProtection="1"/>
    <xf numFmtId="0" fontId="31" fillId="0" borderId="0" xfId="0" applyFont="1" applyBorder="1" applyAlignment="1" applyProtection="1"/>
    <xf numFmtId="0" fontId="67" fillId="0" borderId="0" xfId="0" applyFont="1" applyBorder="1" applyAlignment="1" applyProtection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9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14" fontId="2" fillId="0" borderId="29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/>
    <xf numFmtId="0" fontId="6" fillId="0" borderId="28" xfId="0" applyFont="1" applyBorder="1" applyProtection="1"/>
    <xf numFmtId="0" fontId="6" fillId="0" borderId="0" xfId="0" applyFont="1" applyBorder="1" applyProtection="1"/>
    <xf numFmtId="49" fontId="64" fillId="0" borderId="0" xfId="0" applyNumberFormat="1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Border="1" applyAlignment="1" applyProtection="1">
      <alignment vertical="center"/>
    </xf>
    <xf numFmtId="0" fontId="2" fillId="0" borderId="29" xfId="0" applyFont="1" applyBorder="1" applyAlignment="1" applyProtection="1">
      <alignment vertical="center"/>
    </xf>
    <xf numFmtId="0" fontId="0" fillId="0" borderId="30" xfId="0" applyBorder="1" applyProtection="1"/>
    <xf numFmtId="0" fontId="0" fillId="0" borderId="12" xfId="0" applyBorder="1" applyProtection="1"/>
    <xf numFmtId="49" fontId="64" fillId="0" borderId="12" xfId="0" applyNumberFormat="1" applyFont="1" applyFill="1" applyBorder="1" applyAlignment="1" applyProtection="1">
      <alignment horizontal="left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12" xfId="0" applyFont="1" applyFill="1" applyBorder="1" applyAlignment="1" applyProtection="1">
      <alignment vertical="center"/>
    </xf>
    <xf numFmtId="0" fontId="2" fillId="0" borderId="12" xfId="0" applyFont="1" applyBorder="1" applyAlignment="1" applyProtection="1">
      <alignment horizontal="center" vertical="center"/>
    </xf>
    <xf numFmtId="0" fontId="2" fillId="0" borderId="31" xfId="0" applyFont="1" applyBorder="1" applyAlignment="1" applyProtection="1">
      <alignment vertical="center"/>
    </xf>
    <xf numFmtId="0" fontId="0" fillId="0" borderId="29" xfId="0" applyFill="1" applyBorder="1" applyAlignment="1">
      <alignment vertical="center"/>
    </xf>
    <xf numFmtId="0" fontId="6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1" fillId="0" borderId="0" xfId="0" applyFont="1" applyFill="1" applyBorder="1" applyAlignment="1" applyProtection="1">
      <alignment horizontal="center" vertical="center"/>
    </xf>
    <xf numFmtId="0" fontId="66" fillId="0" borderId="12" xfId="0" applyFont="1" applyFill="1" applyBorder="1" applyAlignment="1"/>
    <xf numFmtId="0" fontId="66" fillId="0" borderId="31" xfId="0" applyFont="1" applyFill="1" applyBorder="1" applyAlignment="1"/>
    <xf numFmtId="0" fontId="66" fillId="0" borderId="32" xfId="0" applyFont="1" applyBorder="1" applyAlignment="1">
      <alignment vertical="center"/>
    </xf>
    <xf numFmtId="0" fontId="67" fillId="0" borderId="33" xfId="0" applyFont="1" applyBorder="1" applyAlignment="1">
      <alignment vertical="center"/>
    </xf>
    <xf numFmtId="0" fontId="67" fillId="0" borderId="34" xfId="0" applyFont="1" applyBorder="1" applyAlignment="1">
      <alignment vertical="center"/>
    </xf>
    <xf numFmtId="0" fontId="67" fillId="0" borderId="32" xfId="0" applyFont="1" applyBorder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67" fillId="0" borderId="0" xfId="0" quotePrefix="1" applyFont="1" applyBorder="1" applyAlignment="1">
      <alignment vertical="center"/>
    </xf>
    <xf numFmtId="0" fontId="67" fillId="0" borderId="30" xfId="0" applyFont="1" applyBorder="1" applyAlignment="1">
      <alignment vertical="center"/>
    </xf>
    <xf numFmtId="0" fontId="67" fillId="0" borderId="12" xfId="0" applyFont="1" applyBorder="1" applyAlignment="1">
      <alignment vertical="center"/>
    </xf>
    <xf numFmtId="0" fontId="67" fillId="0" borderId="31" xfId="0" applyFont="1" applyBorder="1" applyAlignment="1">
      <alignment vertical="center"/>
    </xf>
    <xf numFmtId="0" fontId="16" fillId="0" borderId="0" xfId="0" applyFont="1" applyProtection="1"/>
    <xf numFmtId="0" fontId="16" fillId="0" borderId="0" xfId="0" applyFont="1" applyBorder="1" applyProtection="1"/>
    <xf numFmtId="0" fontId="16" fillId="0" borderId="0" xfId="0" applyFont="1" applyAlignment="1" applyProtection="1">
      <alignment vertical="center"/>
    </xf>
    <xf numFmtId="0" fontId="16" fillId="0" borderId="0" xfId="0" applyFont="1" applyBorder="1" applyAlignment="1" applyProtection="1">
      <alignment vertical="center"/>
    </xf>
    <xf numFmtId="0" fontId="0" fillId="0" borderId="0" xfId="0" applyAlignment="1">
      <alignment vertical="center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protection hidden="1"/>
    </xf>
    <xf numFmtId="0" fontId="2" fillId="0" borderId="0" xfId="0" applyFont="1" applyBorder="1" applyAlignment="1" applyProtection="1">
      <alignment horizontal="center"/>
      <protection hidden="1"/>
    </xf>
    <xf numFmtId="14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protection hidden="1"/>
    </xf>
    <xf numFmtId="44" fontId="2" fillId="0" borderId="0" xfId="0" applyNumberFormat="1" applyFont="1" applyBorder="1" applyProtection="1">
      <protection hidden="1"/>
    </xf>
    <xf numFmtId="0" fontId="18" fillId="0" borderId="0" xfId="0" applyFont="1" applyBorder="1" applyProtection="1"/>
    <xf numFmtId="0" fontId="64" fillId="0" borderId="19" xfId="0" applyFont="1" applyBorder="1" applyAlignment="1" applyProtection="1">
      <alignment horizontal="center" vertical="center"/>
      <protection hidden="1"/>
    </xf>
    <xf numFmtId="0" fontId="31" fillId="0" borderId="0" xfId="0" applyFont="1" applyProtection="1">
      <protection hidden="1"/>
    </xf>
    <xf numFmtId="44" fontId="64" fillId="0" borderId="0" xfId="0" applyNumberFormat="1" applyFont="1" applyAlignment="1" applyProtection="1">
      <alignment vertical="center"/>
      <protection hidden="1"/>
    </xf>
    <xf numFmtId="0" fontId="20" fillId="0" borderId="0" xfId="0" applyFont="1" applyFill="1" applyBorder="1" applyProtection="1">
      <protection hidden="1"/>
    </xf>
    <xf numFmtId="9" fontId="20" fillId="0" borderId="0" xfId="2" applyFont="1" applyFill="1" applyBorder="1" applyProtection="1">
      <protection hidden="1"/>
    </xf>
    <xf numFmtId="0" fontId="11" fillId="0" borderId="0" xfId="0" applyFont="1" applyBorder="1" applyAlignment="1" applyProtection="1">
      <alignment horizontal="left"/>
      <protection hidden="1"/>
    </xf>
    <xf numFmtId="0" fontId="11" fillId="0" borderId="0" xfId="0" applyFont="1" applyBorder="1" applyProtection="1">
      <protection hidden="1"/>
    </xf>
    <xf numFmtId="7" fontId="2" fillId="0" borderId="0" xfId="0" applyNumberFormat="1" applyFont="1" applyBorder="1" applyAlignment="1" applyProtection="1">
      <alignment horizontal="center"/>
      <protection hidden="1"/>
    </xf>
    <xf numFmtId="44" fontId="64" fillId="0" borderId="12" xfId="0" applyNumberFormat="1" applyFont="1" applyBorder="1" applyAlignment="1" applyProtection="1">
      <alignment vertical="center"/>
      <protection hidden="1"/>
    </xf>
    <xf numFmtId="168" fontId="2" fillId="0" borderId="0" xfId="0" applyNumberFormat="1" applyFont="1" applyBorder="1" applyAlignment="1" applyProtection="1">
      <alignment horizontal="center"/>
      <protection hidden="1"/>
    </xf>
    <xf numFmtId="44" fontId="2" fillId="0" borderId="0" xfId="0" applyNumberFormat="1" applyFont="1" applyAlignment="1" applyProtection="1">
      <alignment vertical="center"/>
      <protection hidden="1"/>
    </xf>
    <xf numFmtId="44" fontId="64" fillId="0" borderId="0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Protection="1"/>
    <xf numFmtId="0" fontId="4" fillId="0" borderId="12" xfId="0" applyFont="1" applyBorder="1" applyProtection="1"/>
    <xf numFmtId="0" fontId="21" fillId="0" borderId="0" xfId="0" applyFont="1" applyBorder="1" applyProtection="1"/>
    <xf numFmtId="0" fontId="22" fillId="0" borderId="0" xfId="0" applyFont="1" applyBorder="1" applyProtection="1"/>
    <xf numFmtId="0" fontId="21" fillId="0" borderId="0" xfId="0" applyFont="1" applyProtection="1"/>
    <xf numFmtId="0" fontId="21" fillId="0" borderId="0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left"/>
      <protection hidden="1"/>
    </xf>
    <xf numFmtId="0" fontId="23" fillId="0" borderId="0" xfId="0" applyFont="1" applyFill="1" applyBorder="1" applyAlignment="1" applyProtection="1"/>
    <xf numFmtId="44" fontId="23" fillId="0" borderId="0" xfId="0" applyNumberFormat="1" applyFont="1" applyBorder="1" applyProtection="1">
      <protection hidden="1"/>
    </xf>
    <xf numFmtId="0" fontId="24" fillId="0" borderId="0" xfId="0" applyFont="1" applyBorder="1" applyAlignment="1" applyProtection="1">
      <alignment horizontal="right"/>
      <protection hidden="1"/>
    </xf>
    <xf numFmtId="0" fontId="67" fillId="0" borderId="29" xfId="0" applyFont="1" applyFill="1" applyBorder="1" applyAlignment="1">
      <alignment horizontal="left" vertical="center"/>
    </xf>
    <xf numFmtId="0" fontId="31" fillId="0" borderId="0" xfId="0" applyFont="1" applyFill="1" applyBorder="1" applyAlignment="1" applyProtection="1">
      <alignment vertical="center"/>
    </xf>
    <xf numFmtId="0" fontId="65" fillId="0" borderId="0" xfId="0" applyFont="1" applyAlignment="1" applyProtection="1">
      <alignment horizontal="center" vertical="center"/>
    </xf>
    <xf numFmtId="0" fontId="65" fillId="0" borderId="0" xfId="0" applyFont="1" applyAlignment="1" applyProtection="1">
      <alignment vertical="center"/>
    </xf>
    <xf numFmtId="0" fontId="68" fillId="0" borderId="0" xfId="0" applyFont="1" applyProtection="1"/>
    <xf numFmtId="0" fontId="0" fillId="0" borderId="28" xfId="0" applyFill="1" applyBorder="1" applyAlignment="1">
      <alignment vertical="center"/>
    </xf>
    <xf numFmtId="0" fontId="64" fillId="0" borderId="19" xfId="0" applyNumberFormat="1" applyFont="1" applyBorder="1" applyAlignment="1" applyProtection="1">
      <alignment horizontal="center" vertical="center"/>
    </xf>
    <xf numFmtId="0" fontId="64" fillId="0" borderId="19" xfId="0" applyNumberFormat="1" applyFont="1" applyBorder="1" applyAlignment="1" applyProtection="1">
      <alignment horizontal="center" vertical="center"/>
      <protection hidden="1"/>
    </xf>
    <xf numFmtId="44" fontId="64" fillId="0" borderId="19" xfId="0" applyNumberFormat="1" applyFont="1" applyBorder="1" applyAlignment="1" applyProtection="1">
      <alignment horizontal="center" vertical="center"/>
      <protection hidden="1"/>
    </xf>
    <xf numFmtId="49" fontId="67" fillId="0" borderId="0" xfId="0" applyNumberFormat="1" applyFont="1" applyBorder="1" applyAlignment="1" applyProtection="1">
      <alignment horizontal="left" vertical="center"/>
    </xf>
    <xf numFmtId="49" fontId="64" fillId="0" borderId="0" xfId="0" applyNumberFormat="1" applyFont="1" applyFill="1" applyBorder="1" applyAlignment="1" applyProtection="1">
      <alignment vertical="center"/>
      <protection hidden="1"/>
    </xf>
    <xf numFmtId="175" fontId="67" fillId="0" borderId="0" xfId="1" applyNumberFormat="1" applyFont="1" applyFill="1" applyBorder="1" applyAlignment="1">
      <alignment horizontal="left" vertical="center"/>
    </xf>
    <xf numFmtId="175" fontId="67" fillId="0" borderId="29" xfId="1" applyNumberFormat="1" applyFont="1" applyFill="1" applyBorder="1" applyAlignment="1">
      <alignment horizontal="left" vertical="center"/>
    </xf>
    <xf numFmtId="175" fontId="67" fillId="0" borderId="0" xfId="1" applyNumberFormat="1" applyFont="1" applyFill="1" applyBorder="1" applyAlignment="1">
      <alignment vertical="center"/>
    </xf>
    <xf numFmtId="175" fontId="67" fillId="0" borderId="29" xfId="1" applyNumberFormat="1" applyFont="1" applyFill="1" applyBorder="1" applyAlignment="1">
      <alignment vertical="center"/>
    </xf>
    <xf numFmtId="9" fontId="67" fillId="0" borderId="0" xfId="0" applyNumberFormat="1" applyFont="1" applyFill="1" applyBorder="1" applyAlignment="1">
      <alignment horizontal="right" vertical="center"/>
    </xf>
    <xf numFmtId="6" fontId="67" fillId="0" borderId="0" xfId="1" applyNumberFormat="1" applyFont="1" applyBorder="1" applyAlignment="1">
      <alignment vertical="center"/>
    </xf>
    <xf numFmtId="14" fontId="64" fillId="0" borderId="19" xfId="0" applyNumberFormat="1" applyFont="1" applyBorder="1" applyAlignment="1" applyProtection="1">
      <alignment horizontal="center" vertical="center"/>
    </xf>
    <xf numFmtId="6" fontId="67" fillId="0" borderId="0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vertical="center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167" fontId="31" fillId="4" borderId="19" xfId="0" applyNumberFormat="1" applyFont="1" applyFill="1" applyBorder="1" applyAlignment="1" applyProtection="1">
      <alignment horizontal="center" vertical="center" wrapText="1"/>
      <protection hidden="1"/>
    </xf>
    <xf numFmtId="167" fontId="31" fillId="4" borderId="2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36" xfId="0" applyFont="1" applyBorder="1" applyProtection="1"/>
    <xf numFmtId="0" fontId="11" fillId="0" borderId="37" xfId="0" applyFont="1" applyBorder="1" applyAlignment="1" applyProtection="1">
      <alignment horizontal="left"/>
      <protection hidden="1"/>
    </xf>
    <xf numFmtId="0" fontId="17" fillId="0" borderId="37" xfId="0" applyFont="1" applyBorder="1" applyProtection="1"/>
    <xf numFmtId="0" fontId="2" fillId="0" borderId="37" xfId="0" applyFont="1" applyBorder="1" applyAlignment="1" applyProtection="1">
      <alignment horizontal="center"/>
      <protection hidden="1"/>
    </xf>
    <xf numFmtId="0" fontId="2" fillId="0" borderId="37" xfId="0" applyFont="1" applyBorder="1" applyProtection="1">
      <protection hidden="1"/>
    </xf>
    <xf numFmtId="0" fontId="4" fillId="0" borderId="37" xfId="0" applyFont="1" applyBorder="1" applyAlignment="1" applyProtection="1">
      <alignment horizontal="left"/>
      <protection hidden="1"/>
    </xf>
    <xf numFmtId="0" fontId="2" fillId="0" borderId="38" xfId="0" applyFont="1" applyBorder="1" applyProtection="1">
      <protection hidden="1"/>
    </xf>
    <xf numFmtId="0" fontId="2" fillId="0" borderId="26" xfId="0" applyFont="1" applyBorder="1" applyProtection="1"/>
    <xf numFmtId="0" fontId="11" fillId="0" borderId="0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protection hidden="1"/>
    </xf>
    <xf numFmtId="0" fontId="17" fillId="0" borderId="0" xfId="0" applyFont="1" applyBorder="1" applyProtection="1">
      <protection hidden="1"/>
    </xf>
    <xf numFmtId="0" fontId="4" fillId="0" borderId="0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0" fillId="0" borderId="26" xfId="0" applyBorder="1"/>
    <xf numFmtId="0" fontId="0" fillId="0" borderId="4" xfId="0" applyBorder="1"/>
    <xf numFmtId="0" fontId="17" fillId="0" borderId="39" xfId="0" applyFont="1" applyBorder="1" applyProtection="1">
      <protection hidden="1"/>
    </xf>
    <xf numFmtId="168" fontId="2" fillId="0" borderId="39" xfId="0" applyNumberFormat="1" applyFont="1" applyBorder="1" applyAlignment="1" applyProtection="1">
      <alignment horizontal="center"/>
      <protection hidden="1"/>
    </xf>
    <xf numFmtId="0" fontId="4" fillId="0" borderId="39" xfId="0" applyFont="1" applyBorder="1" applyProtection="1">
      <protection hidden="1"/>
    </xf>
    <xf numFmtId="0" fontId="2" fillId="0" borderId="39" xfId="0" applyFont="1" applyBorder="1" applyProtection="1">
      <protection hidden="1"/>
    </xf>
    <xf numFmtId="0" fontId="2" fillId="0" borderId="25" xfId="0" applyFont="1" applyBorder="1" applyProtection="1">
      <protection hidden="1"/>
    </xf>
    <xf numFmtId="0" fontId="15" fillId="0" borderId="39" xfId="0" applyFont="1" applyBorder="1" applyProtection="1">
      <protection hidden="1"/>
    </xf>
    <xf numFmtId="0" fontId="31" fillId="0" borderId="27" xfId="0" applyFont="1" applyBorder="1" applyProtection="1"/>
    <xf numFmtId="0" fontId="0" fillId="0" borderId="0" xfId="0" quotePrefix="1"/>
    <xf numFmtId="43" fontId="0" fillId="2" borderId="0" xfId="1" applyFont="1" applyFill="1"/>
    <xf numFmtId="43" fontId="0" fillId="2" borderId="0" xfId="0" applyNumberFormat="1" applyFill="1"/>
    <xf numFmtId="43" fontId="0" fillId="2" borderId="0" xfId="1" applyNumberFormat="1" applyFont="1" applyFill="1"/>
    <xf numFmtId="0" fontId="0" fillId="2" borderId="0" xfId="0" applyFill="1"/>
    <xf numFmtId="44" fontId="0" fillId="0" borderId="0" xfId="0" applyNumberFormat="1" applyProtection="1"/>
    <xf numFmtId="165" fontId="0" fillId="2" borderId="0" xfId="1" applyNumberFormat="1" applyFont="1" applyFill="1" applyBorder="1" applyProtection="1">
      <protection locked="0"/>
    </xf>
    <xf numFmtId="0" fontId="48" fillId="17" borderId="0" xfId="0" applyFont="1" applyFill="1" applyProtection="1"/>
    <xf numFmtId="49" fontId="71" fillId="18" borderId="44" xfId="0" applyNumberFormat="1" applyFont="1" applyFill="1" applyBorder="1" applyAlignment="1" applyProtection="1">
      <protection locked="0"/>
    </xf>
    <xf numFmtId="0" fontId="77" fillId="2" borderId="40" xfId="0" applyFont="1" applyFill="1" applyBorder="1" applyAlignment="1" applyProtection="1">
      <alignment horizontal="right" vertical="center"/>
      <protection locked="0"/>
    </xf>
    <xf numFmtId="165" fontId="77" fillId="2" borderId="40" xfId="1" applyNumberFormat="1" applyFont="1" applyFill="1" applyBorder="1" applyAlignment="1" applyProtection="1">
      <alignment horizontal="right" vertical="center"/>
      <protection locked="0"/>
    </xf>
    <xf numFmtId="9" fontId="77" fillId="2" borderId="40" xfId="2" applyFont="1" applyFill="1" applyBorder="1" applyAlignment="1" applyProtection="1">
      <alignment horizontal="right" vertical="center"/>
      <protection locked="0"/>
    </xf>
    <xf numFmtId="16" fontId="79" fillId="0" borderId="15" xfId="0" applyNumberFormat="1" applyFont="1" applyBorder="1" applyAlignment="1" applyProtection="1">
      <alignment horizontal="left"/>
      <protection locked="0"/>
    </xf>
    <xf numFmtId="0" fontId="79" fillId="0" borderId="15" xfId="0" applyFont="1" applyBorder="1" applyAlignment="1" applyProtection="1">
      <alignment horizontal="left"/>
      <protection locked="0"/>
    </xf>
    <xf numFmtId="1" fontId="71" fillId="2" borderId="15" xfId="0" applyNumberFormat="1" applyFont="1" applyFill="1" applyBorder="1" applyAlignment="1" applyProtection="1">
      <alignment horizontal="center"/>
      <protection locked="0"/>
    </xf>
    <xf numFmtId="0" fontId="79" fillId="0" borderId="15" xfId="0" applyNumberFormat="1" applyFont="1" applyBorder="1" applyAlignment="1" applyProtection="1">
      <alignment horizontal="center"/>
      <protection locked="0"/>
    </xf>
    <xf numFmtId="9" fontId="49" fillId="18" borderId="14" xfId="2" applyFont="1" applyFill="1" applyBorder="1" applyAlignment="1" applyProtection="1">
      <alignment horizontal="center"/>
      <protection locked="0"/>
    </xf>
    <xf numFmtId="0" fontId="0" fillId="19" borderId="0" xfId="0" applyFill="1" applyProtection="1"/>
    <xf numFmtId="0" fontId="26" fillId="19" borderId="0" xfId="0" applyFont="1" applyFill="1" applyProtection="1"/>
    <xf numFmtId="14" fontId="72" fillId="16" borderId="45" xfId="0" applyNumberFormat="1" applyFont="1" applyFill="1" applyBorder="1" applyAlignment="1" applyProtection="1">
      <alignment horizontal="center" vertical="center"/>
    </xf>
    <xf numFmtId="0" fontId="40" fillId="0" borderId="0" xfId="0" applyFont="1" applyProtection="1"/>
    <xf numFmtId="0" fontId="0" fillId="9" borderId="0" xfId="0" applyFill="1" applyProtection="1"/>
    <xf numFmtId="0" fontId="9" fillId="9" borderId="0" xfId="0" applyFont="1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42" fillId="0" borderId="0" xfId="0" applyFont="1" applyProtection="1"/>
    <xf numFmtId="0" fontId="73" fillId="0" borderId="0" xfId="0" applyFont="1" applyAlignment="1" applyProtection="1">
      <alignment horizontal="left" vertical="center"/>
    </xf>
    <xf numFmtId="0" fontId="8" fillId="0" borderId="0" xfId="0" applyFont="1" applyFill="1" applyAlignment="1" applyProtection="1">
      <alignment horizontal="center"/>
    </xf>
    <xf numFmtId="9" fontId="0" fillId="0" borderId="0" xfId="0" applyNumberFormat="1" applyProtection="1"/>
    <xf numFmtId="0" fontId="70" fillId="0" borderId="0" xfId="0" applyFont="1" applyBorder="1" applyAlignment="1" applyProtection="1">
      <alignment horizontal="left" vertical="center"/>
    </xf>
    <xf numFmtId="0" fontId="44" fillId="0" borderId="0" xfId="0" applyFont="1" applyAlignment="1" applyProtection="1">
      <alignment vertical="center"/>
    </xf>
    <xf numFmtId="0" fontId="17" fillId="0" borderId="0" xfId="0" applyFont="1" applyBorder="1" applyProtection="1"/>
    <xf numFmtId="49" fontId="71" fillId="2" borderId="0" xfId="0" applyNumberFormat="1" applyFont="1" applyFill="1" applyBorder="1" applyAlignment="1" applyProtection="1">
      <alignment horizontal="left"/>
    </xf>
    <xf numFmtId="0" fontId="45" fillId="0" borderId="0" xfId="0" applyFont="1" applyBorder="1" applyProtection="1"/>
    <xf numFmtId="0" fontId="17" fillId="0" borderId="0" xfId="0" applyFont="1" applyFill="1" applyAlignment="1" applyProtection="1"/>
    <xf numFmtId="0" fontId="45" fillId="0" borderId="0" xfId="0" applyFont="1" applyFill="1" applyAlignment="1" applyProtection="1"/>
    <xf numFmtId="0" fontId="0" fillId="9" borderId="0" xfId="0" applyFill="1" applyAlignment="1" applyProtection="1">
      <alignment horizontal="center"/>
    </xf>
    <xf numFmtId="0" fontId="0" fillId="9" borderId="0" xfId="0" applyFill="1" applyBorder="1" applyProtection="1"/>
    <xf numFmtId="0" fontId="40" fillId="0" borderId="0" xfId="0" applyFont="1" applyBorder="1" applyProtection="1"/>
    <xf numFmtId="0" fontId="11" fillId="0" borderId="0" xfId="0" applyFont="1" applyBorder="1" applyAlignment="1" applyProtection="1">
      <alignment horizontal="center"/>
    </xf>
    <xf numFmtId="49" fontId="2" fillId="2" borderId="0" xfId="0" applyNumberFormat="1" applyFont="1" applyFill="1" applyBorder="1" applyAlignment="1" applyProtection="1"/>
    <xf numFmtId="0" fontId="4" fillId="0" borderId="0" xfId="0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right"/>
    </xf>
    <xf numFmtId="49" fontId="2" fillId="0" borderId="0" xfId="0" applyNumberFormat="1" applyFont="1" applyFill="1" applyBorder="1" applyAlignment="1" applyProtection="1"/>
    <xf numFmtId="0" fontId="15" fillId="0" borderId="0" xfId="0" applyFont="1" applyBorder="1" applyAlignment="1" applyProtection="1">
      <alignment horizontal="center" vertical="top"/>
    </xf>
    <xf numFmtId="0" fontId="74" fillId="16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46" fillId="0" borderId="0" xfId="0" applyFont="1" applyBorder="1" applyAlignment="1" applyProtection="1">
      <alignment horizontal="center" vertical="center"/>
    </xf>
    <xf numFmtId="0" fontId="47" fillId="0" borderId="0" xfId="0" applyFont="1" applyBorder="1" applyAlignment="1" applyProtection="1">
      <alignment horizontal="center" vertical="center"/>
    </xf>
    <xf numFmtId="0" fontId="48" fillId="0" borderId="0" xfId="0" applyFont="1" applyAlignment="1" applyProtection="1">
      <alignment horizontal="center"/>
    </xf>
    <xf numFmtId="0" fontId="75" fillId="16" borderId="45" xfId="0" applyFont="1" applyFill="1" applyBorder="1" applyAlignment="1" applyProtection="1">
      <alignment horizontal="center" vertical="center" wrapText="1"/>
    </xf>
    <xf numFmtId="0" fontId="69" fillId="0" borderId="0" xfId="0" applyFont="1" applyBorder="1" applyAlignment="1" applyProtection="1">
      <alignment vertical="center" wrapText="1"/>
    </xf>
    <xf numFmtId="0" fontId="43" fillId="0" borderId="0" xfId="0" applyFont="1" applyBorder="1" applyAlignment="1" applyProtection="1">
      <alignment horizontal="center" vertical="center" wrapText="1"/>
    </xf>
    <xf numFmtId="0" fontId="43" fillId="0" borderId="0" xfId="0" applyFont="1" applyBorder="1" applyAlignment="1" applyProtection="1">
      <alignment horizontal="center" vertical="center"/>
    </xf>
    <xf numFmtId="0" fontId="43" fillId="0" borderId="0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vertical="center"/>
    </xf>
    <xf numFmtId="0" fontId="78" fillId="0" borderId="0" xfId="0" applyFont="1" applyBorder="1" applyAlignment="1" applyProtection="1">
      <alignment horizontal="left" vertical="center"/>
    </xf>
    <xf numFmtId="0" fontId="50" fillId="0" borderId="0" xfId="0" applyFont="1" applyProtection="1"/>
    <xf numFmtId="0" fontId="79" fillId="0" borderId="0" xfId="0" applyFont="1" applyBorder="1" applyAlignment="1" applyProtection="1">
      <alignment horizontal="center" vertical="center"/>
    </xf>
    <xf numFmtId="44" fontId="2" fillId="0" borderId="0" xfId="0" applyNumberFormat="1" applyFont="1" applyBorder="1" applyProtection="1"/>
    <xf numFmtId="44" fontId="0" fillId="0" borderId="0" xfId="0" applyNumberFormat="1" applyBorder="1" applyProtection="1"/>
    <xf numFmtId="0" fontId="79" fillId="0" borderId="0" xfId="0" applyFont="1" applyAlignment="1" applyProtection="1">
      <alignment horizontal="left"/>
    </xf>
    <xf numFmtId="0" fontId="71" fillId="0" borderId="0" xfId="0" applyFont="1" applyBorder="1" applyProtection="1"/>
    <xf numFmtId="0" fontId="78" fillId="0" borderId="0" xfId="0" applyFont="1" applyBorder="1" applyAlignment="1" applyProtection="1">
      <alignment horizontal="left"/>
    </xf>
    <xf numFmtId="0" fontId="79" fillId="0" borderId="0" xfId="0" applyFont="1" applyProtection="1"/>
    <xf numFmtId="0" fontId="79" fillId="0" borderId="0" xfId="0" applyFont="1" applyBorder="1" applyAlignment="1" applyProtection="1">
      <alignment horizontal="center"/>
    </xf>
    <xf numFmtId="0" fontId="0" fillId="17" borderId="0" xfId="0" applyFill="1" applyBorder="1" applyProtection="1"/>
    <xf numFmtId="0" fontId="17" fillId="0" borderId="12" xfId="0" applyFont="1" applyFill="1" applyBorder="1" applyProtection="1"/>
    <xf numFmtId="0" fontId="17" fillId="0" borderId="12" xfId="0" applyFont="1" applyBorder="1" applyProtection="1"/>
    <xf numFmtId="0" fontId="19" fillId="0" borderId="0" xfId="0" applyFont="1" applyAlignment="1" applyProtection="1">
      <alignment horizontal="center"/>
    </xf>
    <xf numFmtId="0" fontId="6" fillId="0" borderId="0" xfId="0" applyFont="1" applyBorder="1" applyAlignment="1" applyProtection="1"/>
    <xf numFmtId="0" fontId="19" fillId="0" borderId="0" xfId="0" applyFont="1" applyAlignment="1" applyProtection="1"/>
    <xf numFmtId="0" fontId="42" fillId="0" borderId="0" xfId="0" applyFont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/>
    <xf numFmtId="43" fontId="0" fillId="19" borderId="0" xfId="1" applyFont="1" applyFill="1" applyBorder="1" applyProtection="1"/>
    <xf numFmtId="0" fontId="53" fillId="19" borderId="0" xfId="0" applyFont="1" applyFill="1" applyBorder="1" applyProtection="1"/>
    <xf numFmtId="0" fontId="0" fillId="19" borderId="0" xfId="0" applyFont="1" applyFill="1" applyBorder="1" applyAlignment="1" applyProtection="1"/>
    <xf numFmtId="0" fontId="26" fillId="0" borderId="0" xfId="0" applyFont="1" applyBorder="1" applyProtection="1"/>
    <xf numFmtId="44" fontId="27" fillId="0" borderId="0" xfId="0" applyNumberFormat="1" applyFont="1" applyProtection="1"/>
    <xf numFmtId="0" fontId="26" fillId="0" borderId="0" xfId="0" applyFont="1" applyBorder="1" applyAlignment="1" applyProtection="1">
      <alignment horizontal="center"/>
    </xf>
    <xf numFmtId="0" fontId="0" fillId="2" borderId="0" xfId="0" applyFill="1" applyProtection="1"/>
    <xf numFmtId="0" fontId="0" fillId="2" borderId="0" xfId="0" applyFill="1" applyBorder="1" applyProtection="1"/>
    <xf numFmtId="0" fontId="26" fillId="2" borderId="0" xfId="0" applyFont="1" applyFill="1" applyProtection="1"/>
    <xf numFmtId="0" fontId="0" fillId="0" borderId="0" xfId="0" applyFill="1" applyBorder="1" applyProtection="1"/>
    <xf numFmtId="0" fontId="26" fillId="0" borderId="0" xfId="0" applyFont="1" applyProtection="1"/>
    <xf numFmtId="168" fontId="27" fillId="0" borderId="0" xfId="0" applyNumberFormat="1" applyFont="1" applyProtection="1"/>
    <xf numFmtId="0" fontId="32" fillId="0" borderId="0" xfId="0" applyFont="1" applyBorder="1" applyAlignment="1" applyProtection="1">
      <alignment horizontal="center"/>
    </xf>
    <xf numFmtId="167" fontId="31" fillId="0" borderId="0" xfId="0" applyNumberFormat="1" applyFont="1" applyFill="1" applyBorder="1" applyAlignment="1" applyProtection="1">
      <alignment horizontal="center"/>
    </xf>
    <xf numFmtId="0" fontId="30" fillId="0" borderId="0" xfId="0" applyFont="1" applyProtection="1"/>
    <xf numFmtId="169" fontId="31" fillId="0" borderId="0" xfId="0" applyNumberFormat="1" applyFont="1" applyAlignment="1" applyProtection="1">
      <alignment horizontal="center"/>
    </xf>
    <xf numFmtId="0" fontId="27" fillId="0" borderId="0" xfId="0" applyFont="1" applyFill="1" applyAlignment="1" applyProtection="1"/>
    <xf numFmtId="0" fontId="43" fillId="0" borderId="1" xfId="0" applyFont="1" applyBorder="1" applyAlignment="1" applyProtection="1">
      <alignment vertical="center"/>
    </xf>
    <xf numFmtId="0" fontId="43" fillId="0" borderId="35" xfId="0" applyFont="1" applyBorder="1" applyAlignment="1" applyProtection="1">
      <alignment vertical="center"/>
    </xf>
    <xf numFmtId="0" fontId="33" fillId="0" borderId="0" xfId="0" applyFont="1" applyProtection="1"/>
    <xf numFmtId="0" fontId="34" fillId="0" borderId="0" xfId="0" applyFont="1" applyProtection="1"/>
    <xf numFmtId="0" fontId="33" fillId="0" borderId="0" xfId="0" applyFont="1" applyAlignment="1" applyProtection="1">
      <alignment horizontal="center"/>
    </xf>
    <xf numFmtId="44" fontId="28" fillId="0" borderId="0" xfId="0" applyNumberFormat="1" applyFont="1" applyProtection="1"/>
    <xf numFmtId="0" fontId="29" fillId="0" borderId="0" xfId="0" applyFont="1" applyProtection="1"/>
    <xf numFmtId="0" fontId="25" fillId="0" borderId="0" xfId="0" applyFont="1" applyAlignment="1" applyProtection="1">
      <alignment horizontal="left"/>
    </xf>
    <xf numFmtId="0" fontId="25" fillId="0" borderId="0" xfId="0" applyFont="1" applyProtection="1"/>
    <xf numFmtId="9" fontId="27" fillId="0" borderId="0" xfId="0" applyNumberFormat="1" applyFont="1" applyFill="1" applyBorder="1" applyAlignment="1" applyProtection="1">
      <alignment horizontal="center"/>
    </xf>
    <xf numFmtId="42" fontId="25" fillId="0" borderId="0" xfId="0" applyNumberFormat="1" applyFont="1" applyProtection="1"/>
    <xf numFmtId="44" fontId="28" fillId="0" borderId="0" xfId="0" applyNumberFormat="1" applyFont="1" applyBorder="1" applyProtection="1"/>
    <xf numFmtId="44" fontId="35" fillId="0" borderId="0" xfId="0" applyNumberFormat="1" applyFont="1" applyFill="1" applyProtection="1"/>
    <xf numFmtId="0" fontId="19" fillId="0" borderId="0" xfId="0" applyFont="1" applyProtection="1"/>
    <xf numFmtId="0" fontId="36" fillId="0" borderId="0" xfId="0" applyFont="1" applyProtection="1"/>
    <xf numFmtId="0" fontId="37" fillId="0" borderId="0" xfId="0" applyFont="1" applyProtection="1"/>
    <xf numFmtId="44" fontId="38" fillId="0" borderId="0" xfId="0" applyNumberFormat="1" applyFont="1" applyAlignment="1" applyProtection="1">
      <alignment horizontal="right"/>
    </xf>
    <xf numFmtId="9" fontId="0" fillId="0" borderId="0" xfId="0" applyNumberFormat="1" applyBorder="1" applyProtection="1"/>
    <xf numFmtId="44" fontId="36" fillId="0" borderId="0" xfId="0" applyNumberFormat="1" applyFont="1" applyBorder="1" applyAlignment="1" applyProtection="1">
      <alignment horizontal="right"/>
    </xf>
    <xf numFmtId="3" fontId="0" fillId="0" borderId="0" xfId="0" applyNumberFormat="1" applyProtection="1"/>
    <xf numFmtId="0" fontId="48" fillId="17" borderId="0" xfId="0" applyFont="1" applyFill="1" applyProtection="1">
      <protection locked="0"/>
    </xf>
    <xf numFmtId="0" fontId="82" fillId="0" borderId="0" xfId="0" applyFont="1" applyBorder="1" applyAlignment="1" applyProtection="1">
      <alignment horizontal="right"/>
    </xf>
    <xf numFmtId="165" fontId="67" fillId="0" borderId="0" xfId="1" applyNumberFormat="1" applyFont="1" applyFill="1" applyBorder="1" applyAlignment="1">
      <alignment horizontal="right" vertical="center"/>
    </xf>
    <xf numFmtId="0" fontId="83" fillId="0" borderId="32" xfId="0" applyFont="1" applyBorder="1" applyAlignment="1">
      <alignment vertical="center"/>
    </xf>
    <xf numFmtId="0" fontId="0" fillId="20" borderId="19" xfId="0" applyFill="1" applyBorder="1"/>
    <xf numFmtId="0" fontId="39" fillId="22" borderId="0" xfId="0" applyFont="1" applyFill="1" applyAlignment="1">
      <alignment vertical="center"/>
    </xf>
    <xf numFmtId="0" fontId="0" fillId="20" borderId="0" xfId="0" applyFill="1"/>
    <xf numFmtId="0" fontId="0" fillId="23" borderId="19" xfId="0" applyFill="1" applyBorder="1"/>
    <xf numFmtId="164" fontId="0" fillId="23" borderId="19" xfId="0" applyNumberFormat="1" applyFill="1" applyBorder="1"/>
    <xf numFmtId="0" fontId="66" fillId="0" borderId="30" xfId="0" applyFont="1" applyFill="1" applyBorder="1" applyAlignment="1">
      <alignment horizontal="left"/>
    </xf>
    <xf numFmtId="0" fontId="66" fillId="0" borderId="12" xfId="0" applyFont="1" applyFill="1" applyBorder="1" applyAlignment="1">
      <alignment horizontal="left"/>
    </xf>
    <xf numFmtId="0" fontId="67" fillId="0" borderId="12" xfId="0" applyFont="1" applyFill="1" applyBorder="1" applyAlignment="1">
      <alignment horizontal="left" vertical="center"/>
    </xf>
    <xf numFmtId="0" fontId="66" fillId="0" borderId="0" xfId="0" applyFont="1" applyFill="1" applyBorder="1" applyAlignment="1">
      <alignment horizontal="left" vertical="center"/>
    </xf>
    <xf numFmtId="0" fontId="66" fillId="0" borderId="0" xfId="0" applyFont="1" applyFill="1" applyBorder="1" applyAlignment="1"/>
    <xf numFmtId="0" fontId="66" fillId="0" borderId="29" xfId="0" applyFont="1" applyFill="1" applyBorder="1" applyAlignment="1"/>
    <xf numFmtId="165" fontId="0" fillId="4" borderId="19" xfId="1" applyNumberFormat="1" applyFont="1" applyFill="1" applyBorder="1" applyAlignment="1">
      <alignment horizontal="center"/>
    </xf>
    <xf numFmtId="0" fontId="79" fillId="0" borderId="0" xfId="0" applyFont="1" applyBorder="1" applyAlignment="1" applyProtection="1">
      <alignment horizontal="left"/>
      <protection locked="0"/>
    </xf>
    <xf numFmtId="1" fontId="71" fillId="2" borderId="0" xfId="0" applyNumberFormat="1" applyFont="1" applyFill="1" applyBorder="1" applyAlignment="1" applyProtection="1">
      <alignment horizontal="center"/>
      <protection locked="0"/>
    </xf>
    <xf numFmtId="0" fontId="79" fillId="0" borderId="0" xfId="0" applyNumberFormat="1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center"/>
    </xf>
    <xf numFmtId="0" fontId="7" fillId="0" borderId="0" xfId="0" applyFont="1" applyBorder="1" applyProtection="1"/>
    <xf numFmtId="0" fontId="31" fillId="0" borderId="0" xfId="0" applyFont="1" applyBorder="1" applyAlignment="1" applyProtection="1">
      <alignment horizontal="center" vertical="top"/>
    </xf>
    <xf numFmtId="0" fontId="85" fillId="16" borderId="45" xfId="0" applyFont="1" applyFill="1" applyBorder="1" applyAlignment="1" applyProtection="1">
      <alignment horizontal="center" vertical="center"/>
    </xf>
    <xf numFmtId="0" fontId="64" fillId="2" borderId="0" xfId="0" applyFont="1" applyFill="1" applyProtection="1"/>
    <xf numFmtId="0" fontId="64" fillId="0" borderId="0" xfId="0" applyFont="1" applyProtection="1"/>
    <xf numFmtId="168" fontId="31" fillId="0" borderId="0" xfId="0" applyNumberFormat="1" applyFont="1" applyProtection="1"/>
    <xf numFmtId="0" fontId="31" fillId="0" borderId="0" xfId="0" applyFont="1" applyFill="1" applyAlignment="1" applyProtection="1"/>
    <xf numFmtId="0" fontId="4" fillId="0" borderId="1" xfId="0" applyFont="1" applyBorder="1" applyAlignment="1" applyProtection="1">
      <alignment vertical="center"/>
    </xf>
    <xf numFmtId="0" fontId="86" fillId="0" borderId="0" xfId="0" applyFont="1" applyProtection="1"/>
    <xf numFmtId="0" fontId="31" fillId="0" borderId="0" xfId="0" applyFont="1" applyProtection="1"/>
    <xf numFmtId="0" fontId="87" fillId="0" borderId="0" xfId="0" applyFont="1" applyProtection="1"/>
    <xf numFmtId="0" fontId="84" fillId="0" borderId="0" xfId="0" applyFont="1" applyProtection="1"/>
    <xf numFmtId="0" fontId="43" fillId="0" borderId="28" xfId="0" applyFont="1" applyBorder="1" applyAlignment="1" applyProtection="1">
      <alignment horizontal="center" vertical="center" wrapText="1"/>
    </xf>
    <xf numFmtId="0" fontId="43" fillId="0" borderId="29" xfId="0" applyFont="1" applyBorder="1" applyAlignment="1" applyProtection="1">
      <alignment horizontal="center" vertical="center" wrapText="1"/>
    </xf>
    <xf numFmtId="0" fontId="0" fillId="0" borderId="28" xfId="0" applyBorder="1" applyProtection="1"/>
    <xf numFmtId="0" fontId="0" fillId="0" borderId="29" xfId="0" applyBorder="1" applyProtection="1"/>
    <xf numFmtId="44" fontId="0" fillId="0" borderId="28" xfId="0" applyNumberFormat="1" applyBorder="1" applyProtection="1"/>
    <xf numFmtId="44" fontId="0" fillId="0" borderId="29" xfId="0" applyNumberFormat="1" applyBorder="1" applyProtection="1"/>
    <xf numFmtId="0" fontId="0" fillId="0" borderId="31" xfId="0" applyBorder="1" applyProtection="1"/>
    <xf numFmtId="0" fontId="88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4" fontId="4" fillId="8" borderId="15" xfId="0" applyNumberFormat="1" applyFont="1" applyFill="1" applyBorder="1" applyAlignment="1" applyProtection="1">
      <alignment horizontal="center"/>
      <protection locked="0"/>
    </xf>
    <xf numFmtId="0" fontId="72" fillId="16" borderId="45" xfId="0" applyFont="1" applyFill="1" applyBorder="1" applyAlignment="1" applyProtection="1">
      <alignment horizontal="center" vertical="center"/>
      <protection locked="0"/>
    </xf>
    <xf numFmtId="3" fontId="0" fillId="0" borderId="19" xfId="0" applyNumberFormat="1" applyFill="1" applyBorder="1"/>
    <xf numFmtId="0" fontId="0" fillId="0" borderId="19" xfId="0" applyFill="1" applyBorder="1"/>
    <xf numFmtId="0" fontId="89" fillId="0" borderId="0" xfId="0" applyFont="1" applyProtection="1">
      <protection locked="0"/>
    </xf>
    <xf numFmtId="0" fontId="89" fillId="0" borderId="0" xfId="0" applyFont="1" applyProtection="1"/>
    <xf numFmtId="0" fontId="90" fillId="0" borderId="0" xfId="0" applyFont="1" applyBorder="1" applyAlignment="1" applyProtection="1">
      <alignment vertical="center"/>
    </xf>
    <xf numFmtId="0" fontId="7" fillId="0" borderId="0" xfId="0" applyFont="1" applyBorder="1" applyProtection="1">
      <protection locked="0"/>
    </xf>
    <xf numFmtId="0" fontId="14" fillId="2" borderId="19" xfId="0" applyFont="1" applyFill="1" applyBorder="1" applyProtection="1"/>
    <xf numFmtId="44" fontId="2" fillId="0" borderId="0" xfId="0" applyNumberFormat="1" applyFont="1" applyProtection="1">
      <protection hidden="1"/>
    </xf>
    <xf numFmtId="10" fontId="14" fillId="2" borderId="19" xfId="0" applyNumberFormat="1" applyFont="1" applyFill="1" applyBorder="1" applyProtection="1"/>
    <xf numFmtId="0" fontId="0" fillId="3" borderId="0" xfId="0" applyFill="1" applyAlignment="1">
      <alignment horizontal="center"/>
    </xf>
    <xf numFmtId="0" fontId="3" fillId="3" borderId="6" xfId="3" applyFont="1" applyFill="1" applyBorder="1" applyAlignment="1">
      <alignment horizontal="center" vertical="center" wrapText="1"/>
    </xf>
    <xf numFmtId="0" fontId="41" fillId="2" borderId="7" xfId="3" applyFont="1" applyFill="1" applyBorder="1" applyAlignment="1">
      <alignment horizontal="center" vertical="top" wrapText="1"/>
    </xf>
    <xf numFmtId="0" fontId="41" fillId="2" borderId="13" xfId="3" applyFont="1" applyFill="1" applyBorder="1" applyAlignment="1">
      <alignment horizontal="center" vertical="top" wrapText="1"/>
    </xf>
    <xf numFmtId="0" fontId="41" fillId="24" borderId="7" xfId="3" applyFont="1" applyFill="1" applyBorder="1" applyAlignment="1">
      <alignment horizontal="center" vertical="top" wrapText="1"/>
    </xf>
    <xf numFmtId="0" fontId="41" fillId="24" borderId="13" xfId="3" applyFont="1" applyFill="1" applyBorder="1" applyAlignment="1">
      <alignment horizontal="center" vertical="top" wrapText="1"/>
    </xf>
    <xf numFmtId="0" fontId="63" fillId="0" borderId="7" xfId="3" applyFont="1" applyFill="1" applyBorder="1" applyAlignment="1">
      <alignment horizontal="center" vertical="top" wrapText="1"/>
    </xf>
    <xf numFmtId="0" fontId="63" fillId="0" borderId="13" xfId="3" applyFont="1" applyFill="1" applyBorder="1" applyAlignment="1">
      <alignment horizontal="center" vertical="top" wrapText="1"/>
    </xf>
    <xf numFmtId="0" fontId="3" fillId="3" borderId="46" xfId="3" applyFont="1" applyFill="1" applyBorder="1" applyAlignment="1">
      <alignment horizontal="center" vertical="center" wrapText="1"/>
    </xf>
    <xf numFmtId="0" fontId="3" fillId="3" borderId="47" xfId="3" applyFont="1" applyFill="1" applyBorder="1" applyAlignment="1">
      <alignment horizontal="center" vertical="center" wrapText="1"/>
    </xf>
    <xf numFmtId="0" fontId="3" fillId="3" borderId="17" xfId="3" applyFont="1" applyFill="1" applyBorder="1" applyAlignment="1">
      <alignment horizontal="center" vertical="center" wrapText="1"/>
    </xf>
    <xf numFmtId="0" fontId="41" fillId="2" borderId="16" xfId="3" applyFont="1" applyFill="1" applyBorder="1" applyAlignment="1">
      <alignment horizontal="center" vertical="top" wrapText="1"/>
    </xf>
    <xf numFmtId="0" fontId="41" fillId="2" borderId="20" xfId="3" applyFont="1" applyFill="1" applyBorder="1" applyAlignment="1">
      <alignment horizontal="center" vertical="top" wrapText="1"/>
    </xf>
    <xf numFmtId="0" fontId="41" fillId="2" borderId="21" xfId="3" applyFont="1" applyFill="1" applyBorder="1" applyAlignment="1">
      <alignment horizontal="center" vertical="top" wrapText="1"/>
    </xf>
    <xf numFmtId="0" fontId="55" fillId="3" borderId="0" xfId="0" applyFont="1" applyFill="1" applyAlignment="1">
      <alignment horizontal="center"/>
    </xf>
    <xf numFmtId="0" fontId="57" fillId="7" borderId="0" xfId="0" applyFont="1" applyFill="1" applyAlignment="1">
      <alignment horizontal="center" vertical="top" textRotation="255"/>
    </xf>
    <xf numFmtId="0" fontId="58" fillId="7" borderId="0" xfId="0" applyFont="1" applyFill="1" applyAlignment="1">
      <alignment horizontal="center" vertical="top" textRotation="255"/>
    </xf>
    <xf numFmtId="0" fontId="59" fillId="7" borderId="0" xfId="0" applyFont="1" applyFill="1" applyAlignment="1">
      <alignment horizontal="center" vertical="top" textRotation="255"/>
    </xf>
    <xf numFmtId="0" fontId="39" fillId="6" borderId="0" xfId="0" applyFont="1" applyFill="1" applyAlignment="1">
      <alignment horizontal="center"/>
    </xf>
    <xf numFmtId="0" fontId="5" fillId="5" borderId="9" xfId="3" applyFont="1" applyFill="1" applyBorder="1" applyAlignment="1">
      <alignment horizontal="center" vertical="center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60" fillId="3" borderId="2" xfId="0" applyFont="1" applyFill="1" applyBorder="1" applyAlignment="1">
      <alignment horizontal="center" vertical="center" wrapText="1"/>
    </xf>
    <xf numFmtId="0" fontId="60" fillId="3" borderId="23" xfId="0" applyFont="1" applyFill="1" applyBorder="1" applyAlignment="1">
      <alignment horizontal="center" vertical="center" wrapText="1"/>
    </xf>
    <xf numFmtId="0" fontId="41" fillId="0" borderId="7" xfId="3" applyFont="1" applyFill="1" applyBorder="1" applyAlignment="1">
      <alignment horizontal="center" vertical="top" wrapText="1"/>
    </xf>
    <xf numFmtId="0" fontId="41" fillId="0" borderId="13" xfId="3" applyFont="1" applyFill="1" applyBorder="1" applyAlignment="1">
      <alignment horizontal="center" vertical="top" wrapText="1"/>
    </xf>
    <xf numFmtId="0" fontId="61" fillId="3" borderId="2" xfId="0" applyFont="1" applyFill="1" applyBorder="1" applyAlignment="1">
      <alignment horizontal="center" vertical="center" wrapText="1"/>
    </xf>
    <xf numFmtId="0" fontId="61" fillId="3" borderId="5" xfId="0" applyFont="1" applyFill="1" applyBorder="1" applyAlignment="1">
      <alignment horizontal="center" vertical="center" wrapText="1"/>
    </xf>
    <xf numFmtId="0" fontId="61" fillId="3" borderId="3" xfId="0" applyFont="1" applyFill="1" applyBorder="1" applyAlignment="1">
      <alignment horizontal="center" vertical="center" wrapText="1"/>
    </xf>
    <xf numFmtId="0" fontId="43" fillId="0" borderId="32" xfId="0" applyFont="1" applyBorder="1" applyAlignment="1" applyProtection="1">
      <alignment horizontal="center"/>
    </xf>
    <xf numFmtId="0" fontId="43" fillId="0" borderId="33" xfId="0" applyFont="1" applyBorder="1" applyAlignment="1" applyProtection="1">
      <alignment horizontal="center"/>
    </xf>
    <xf numFmtId="0" fontId="43" fillId="0" borderId="34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81" fillId="3" borderId="40" xfId="0" applyFont="1" applyFill="1" applyBorder="1" applyAlignment="1" applyProtection="1">
      <alignment horizontal="center"/>
    </xf>
    <xf numFmtId="0" fontId="76" fillId="3" borderId="40" xfId="0" applyFont="1" applyFill="1" applyBorder="1" applyAlignment="1" applyProtection="1">
      <alignment horizontal="left" vertical="center"/>
    </xf>
    <xf numFmtId="49" fontId="71" fillId="4" borderId="41" xfId="0" applyNumberFormat="1" applyFont="1" applyFill="1" applyBorder="1" applyAlignment="1" applyProtection="1">
      <alignment horizontal="left"/>
      <protection locked="0"/>
    </xf>
    <xf numFmtId="49" fontId="71" fillId="4" borderId="42" xfId="0" applyNumberFormat="1" applyFont="1" applyFill="1" applyBorder="1" applyAlignment="1" applyProtection="1">
      <alignment horizontal="left"/>
      <protection locked="0"/>
    </xf>
    <xf numFmtId="49" fontId="71" fillId="4" borderId="43" xfId="0" applyNumberFormat="1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center"/>
    </xf>
    <xf numFmtId="0" fontId="80" fillId="0" borderId="0" xfId="0" applyFont="1" applyBorder="1" applyAlignment="1" applyProtection="1">
      <alignment horizontal="left" vertical="center"/>
    </xf>
    <xf numFmtId="0" fontId="70" fillId="0" borderId="0" xfId="0" applyFont="1" applyBorder="1" applyAlignment="1" applyProtection="1">
      <alignment horizontal="left" vertical="center"/>
    </xf>
    <xf numFmtId="49" fontId="71" fillId="18" borderId="48" xfId="0" applyNumberFormat="1" applyFont="1" applyFill="1" applyBorder="1" applyAlignment="1" applyProtection="1">
      <alignment horizontal="center"/>
      <protection locked="0"/>
    </xf>
    <xf numFmtId="49" fontId="71" fillId="18" borderId="49" xfId="0" applyNumberFormat="1" applyFont="1" applyFill="1" applyBorder="1" applyAlignment="1" applyProtection="1">
      <alignment horizontal="center"/>
      <protection locked="0"/>
    </xf>
    <xf numFmtId="49" fontId="71" fillId="18" borderId="50" xfId="0" applyNumberFormat="1" applyFont="1" applyFill="1" applyBorder="1" applyAlignment="1" applyProtection="1">
      <alignment horizontal="center"/>
      <protection locked="0"/>
    </xf>
    <xf numFmtId="0" fontId="65" fillId="0" borderId="0" xfId="0" applyFont="1" applyAlignment="1" applyProtection="1">
      <alignment horizontal="right" vertical="center"/>
    </xf>
    <xf numFmtId="0" fontId="66" fillId="15" borderId="19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left" vertical="center"/>
    </xf>
    <xf numFmtId="0" fontId="31" fillId="15" borderId="21" xfId="0" applyFont="1" applyFill="1" applyBorder="1" applyAlignment="1" applyProtection="1">
      <alignment horizontal="left" vertical="center"/>
    </xf>
    <xf numFmtId="0" fontId="64" fillId="0" borderId="20" xfId="0" applyFont="1" applyBorder="1" applyAlignment="1" applyProtection="1">
      <alignment horizontal="center" vertical="center"/>
    </xf>
    <xf numFmtId="0" fontId="64" fillId="0" borderId="21" xfId="0" applyFont="1" applyBorder="1" applyAlignment="1" applyProtection="1">
      <alignment horizontal="center" vertical="center"/>
    </xf>
    <xf numFmtId="0" fontId="31" fillId="15" borderId="19" xfId="0" applyFont="1" applyFill="1" applyBorder="1" applyAlignment="1" applyProtection="1">
      <alignment horizontal="left" vertical="center"/>
    </xf>
    <xf numFmtId="0" fontId="64" fillId="0" borderId="19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left" vertical="center"/>
    </xf>
    <xf numFmtId="0" fontId="31" fillId="0" borderId="0" xfId="0" applyFont="1" applyFill="1" applyBorder="1" applyAlignment="1" applyProtection="1">
      <alignment horizontal="left" vertical="center"/>
    </xf>
    <xf numFmtId="0" fontId="66" fillId="0" borderId="28" xfId="0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7" fillId="0" borderId="0" xfId="0" applyFont="1" applyFill="1" applyBorder="1" applyAlignment="1">
      <alignment horizontal="left" vertical="center"/>
    </xf>
    <xf numFmtId="0" fontId="31" fillId="15" borderId="19" xfId="0" applyFont="1" applyFill="1" applyBorder="1" applyAlignment="1" applyProtection="1">
      <alignment horizontal="center" vertical="center"/>
    </xf>
    <xf numFmtId="0" fontId="31" fillId="0" borderId="28" xfId="0" applyFont="1" applyBorder="1" applyAlignment="1" applyProtection="1">
      <alignment horizontal="left"/>
    </xf>
    <xf numFmtId="0" fontId="31" fillId="0" borderId="0" xfId="0" applyFont="1" applyBorder="1" applyAlignment="1" applyProtection="1">
      <alignment horizontal="left"/>
    </xf>
    <xf numFmtId="6" fontId="67" fillId="0" borderId="28" xfId="1" applyNumberFormat="1" applyFont="1" applyBorder="1" applyAlignment="1">
      <alignment horizontal="center" vertical="center"/>
    </xf>
    <xf numFmtId="6" fontId="67" fillId="0" borderId="29" xfId="1" applyNumberFormat="1" applyFont="1" applyBorder="1" applyAlignment="1">
      <alignment horizontal="center" vertical="center"/>
    </xf>
    <xf numFmtId="0" fontId="31" fillId="16" borderId="19" xfId="0" applyFont="1" applyFill="1" applyBorder="1" applyAlignment="1" applyProtection="1">
      <alignment horizontal="center"/>
    </xf>
    <xf numFmtId="0" fontId="31" fillId="16" borderId="20" xfId="0" applyFont="1" applyFill="1" applyBorder="1" applyAlignment="1" applyProtection="1">
      <alignment horizontal="center"/>
      <protection hidden="1"/>
    </xf>
    <xf numFmtId="0" fontId="31" fillId="16" borderId="21" xfId="0" applyFont="1" applyFill="1" applyBorder="1" applyAlignment="1" applyProtection="1">
      <alignment horizontal="center"/>
      <protection hidden="1"/>
    </xf>
    <xf numFmtId="0" fontId="31" fillId="16" borderId="19" xfId="0" applyFont="1" applyFill="1" applyBorder="1" applyAlignment="1" applyProtection="1">
      <alignment horizontal="center"/>
      <protection hidden="1"/>
    </xf>
    <xf numFmtId="0" fontId="67" fillId="0" borderId="32" xfId="0" applyFont="1" applyBorder="1" applyAlignment="1">
      <alignment horizontal="center" vertical="center"/>
    </xf>
    <xf numFmtId="0" fontId="67" fillId="0" borderId="34" xfId="0" applyFont="1" applyBorder="1" applyAlignment="1">
      <alignment horizontal="center" vertical="center"/>
    </xf>
    <xf numFmtId="0" fontId="31" fillId="4" borderId="20" xfId="0" applyFont="1" applyFill="1" applyBorder="1" applyAlignment="1" applyProtection="1">
      <alignment horizontal="center" vertical="center"/>
    </xf>
    <xf numFmtId="0" fontId="31" fillId="4" borderId="35" xfId="0" applyFont="1" applyFill="1" applyBorder="1" applyAlignment="1" applyProtection="1">
      <alignment horizontal="center" vertical="center"/>
    </xf>
    <xf numFmtId="0" fontId="31" fillId="4" borderId="21" xfId="0" applyFont="1" applyFill="1" applyBorder="1" applyAlignment="1" applyProtection="1">
      <alignment horizontal="center" vertical="center"/>
    </xf>
    <xf numFmtId="0" fontId="64" fillId="0" borderId="20" xfId="0" applyNumberFormat="1" applyFont="1" applyBorder="1" applyAlignment="1" applyProtection="1">
      <alignment horizontal="center" vertical="center"/>
    </xf>
    <xf numFmtId="0" fontId="64" fillId="0" borderId="35" xfId="0" applyNumberFormat="1" applyFont="1" applyBorder="1" applyAlignment="1" applyProtection="1">
      <alignment horizontal="center" vertical="center"/>
    </xf>
    <xf numFmtId="0" fontId="64" fillId="0" borderId="21" xfId="0" applyNumberFormat="1" applyFont="1" applyBorder="1" applyAlignment="1" applyProtection="1">
      <alignment horizontal="center" vertical="center"/>
    </xf>
    <xf numFmtId="1" fontId="64" fillId="0" borderId="20" xfId="0" applyNumberFormat="1" applyFont="1" applyBorder="1" applyAlignment="1" applyProtection="1">
      <alignment horizontal="center" vertical="center"/>
    </xf>
    <xf numFmtId="0" fontId="64" fillId="0" borderId="0" xfId="0" applyFont="1" applyBorder="1" applyAlignment="1" applyProtection="1">
      <alignment horizontal="justify" vertical="center" wrapText="1"/>
      <protection hidden="1"/>
    </xf>
    <xf numFmtId="0" fontId="31" fillId="15" borderId="19" xfId="0" applyFont="1" applyFill="1" applyBorder="1" applyAlignment="1" applyProtection="1">
      <alignment horizontal="left"/>
    </xf>
    <xf numFmtId="0" fontId="2" fillId="0" borderId="12" xfId="0" applyFont="1" applyBorder="1" applyAlignment="1" applyProtection="1">
      <alignment horizontal="center" vertical="center" wrapText="1"/>
    </xf>
    <xf numFmtId="0" fontId="31" fillId="15" borderId="19" xfId="0" applyFont="1" applyFill="1" applyBorder="1" applyAlignment="1" applyProtection="1">
      <alignment horizontal="center"/>
      <protection hidden="1"/>
    </xf>
    <xf numFmtId="0" fontId="31" fillId="0" borderId="0" xfId="0" applyFont="1" applyFill="1" applyBorder="1" applyAlignment="1" applyProtection="1">
      <alignment horizontal="left"/>
    </xf>
    <xf numFmtId="0" fontId="31" fillId="15" borderId="20" xfId="0" applyFont="1" applyFill="1" applyBorder="1" applyAlignment="1" applyProtection="1">
      <alignment horizontal="center"/>
    </xf>
    <xf numFmtId="0" fontId="31" fillId="15" borderId="35" xfId="0" applyFont="1" applyFill="1" applyBorder="1" applyAlignment="1" applyProtection="1">
      <alignment horizontal="center"/>
    </xf>
    <xf numFmtId="0" fontId="31" fillId="15" borderId="21" xfId="0" applyFont="1" applyFill="1" applyBorder="1" applyAlignment="1" applyProtection="1">
      <alignment horizontal="center"/>
    </xf>
    <xf numFmtId="0" fontId="64" fillId="0" borderId="0" xfId="0" applyFont="1" applyBorder="1" applyAlignment="1" applyProtection="1">
      <alignment horizontal="justify"/>
      <protection hidden="1"/>
    </xf>
    <xf numFmtId="0" fontId="39" fillId="21" borderId="0" xfId="0" applyFont="1" applyFill="1" applyAlignment="1">
      <alignment horizontal="center" vertical="center"/>
    </xf>
  </cellXfs>
  <cellStyles count="6">
    <cellStyle name="Millares" xfId="1" builtinId="3"/>
    <cellStyle name="Millares 2" xfId="5"/>
    <cellStyle name="Normal" xfId="0" builtinId="0"/>
    <cellStyle name="Normal 2 2" xfId="3"/>
    <cellStyle name="Normal 3" xfId="4"/>
    <cellStyle name="Porcentaje" xfId="2" builtinId="5"/>
  </cellStyles>
  <dxfs count="9">
    <dxf>
      <font>
        <color theme="0"/>
      </font>
    </dxf>
    <dxf>
      <font>
        <color indexed="9"/>
      </font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strike/>
        <color theme="0"/>
      </font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FFFFF"/>
      <color rgb="FFD2D3D4"/>
      <color rgb="FFC5DA46"/>
      <color rgb="FF99CC00"/>
      <color rgb="FF3BB0C9"/>
      <color rgb="FF99A4AE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J$50" lockText="1" noThreeD="1"/>
</file>

<file path=xl/ctrlProps/ctrlProp8.xml><?xml version="1.0" encoding="utf-8"?>
<formControlPr xmlns="http://schemas.microsoft.com/office/spreadsheetml/2009/9/main" objectType="CheckBox" fmlaLink="$J$53" lockText="1" noThreeD="1"/>
</file>

<file path=xl/ctrlProps/ctrlProp9.xml><?xml version="1.0" encoding="utf-8"?>
<formControlPr xmlns="http://schemas.microsoft.com/office/spreadsheetml/2009/9/main" objectType="CheckBox" fmlaLink="$J$51" lockText="1" noThreeD="1"/>
</file>

<file path=xl/ctrlProps/ctrlProp10.xml><?xml version="1.0" encoding="utf-8"?>
<formControlPr xmlns="http://schemas.microsoft.com/office/spreadsheetml/2009/9/main" objectType="CheckBox" fmlaLink="$J$52" lockText="1" noThreeD="1"/>
</file>

<file path=xl/ctrlProps/ctrlProp11.xml><?xml version="1.0" encoding="utf-8"?>
<formControlPr xmlns="http://schemas.microsoft.com/office/spreadsheetml/2009/9/main" objectType="CheckBox" fmlaLink="$J$55" lockText="1" noThreeD="1"/>
</file>

<file path=xl/ctrlProps/ctrlProp12.xml><?xml version="1.0" encoding="utf-8"?>
<formControlPr xmlns="http://schemas.microsoft.com/office/spreadsheetml/2009/9/main" objectType="CheckBox" fmlaLink="$J$54" lockText="1" noThreeD="1"/>
</file>

<file path=xl/ctrlProps/ctrlProp13.xml><?xml version="1.0" encoding="utf-8"?>
<formControlPr xmlns="http://schemas.microsoft.com/office/spreadsheetml/2009/9/main" objectType="CheckBox" fmlaLink="$J$56" lockText="1" noThreeD="1"/>
</file>

<file path=xl/ctrlProps/ctrlProp14.xml><?xml version="1.0" encoding="utf-8"?>
<formControlPr xmlns="http://schemas.microsoft.com/office/spreadsheetml/2009/9/main" objectType="CheckBox" fmlaLink="$J$48" lockText="1" noThreeD="1"/>
</file>

<file path=xl/ctrlProps/ctrlProp15.xml><?xml version="1.0" encoding="utf-8"?>
<formControlPr xmlns="http://schemas.microsoft.com/office/spreadsheetml/2009/9/main" objectType="CheckBox" fmlaLink="$J$47" lockText="1" noThreeD="1"/>
</file>

<file path=xl/ctrlProps/ctrlProp16.xml><?xml version="1.0" encoding="utf-8"?>
<formControlPr xmlns="http://schemas.microsoft.com/office/spreadsheetml/2009/9/main" objectType="CheckBox" fmlaLink="$J$49" lockText="1" noThreeD="1"/>
</file>

<file path=xl/ctrlProps/ctrlProp17.xml><?xml version="1.0" encoding="utf-8"?>
<formControlPr xmlns="http://schemas.microsoft.com/office/spreadsheetml/2009/9/main" objectType="CheckBox" fmlaLink="$J$57" lockText="1" noThreeD="1"/>
</file>

<file path=xl/ctrlProps/ctrlProp18.xml><?xml version="1.0" encoding="utf-8"?>
<formControlPr xmlns="http://schemas.microsoft.com/office/spreadsheetml/2009/9/main" objectType="CheckBox" fmlaLink="$J$58" lockText="1" noThreeD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GBox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GBox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CheckBox" fmlaLink="$J$46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fmlaLink="$J$45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fmlaLink="$J$59" lockText="1" noThreeD="1"/>
</file>

<file path=xl/ctrlProps/ctrlProp44.xml><?xml version="1.0" encoding="utf-8"?>
<formControlPr xmlns="http://schemas.microsoft.com/office/spreadsheetml/2009/9/main" objectType="Radio" checked="Checked" firstButton="1" fmlaLink="$Q$12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GBox"/>
</file>

<file path=xl/ctrlProps/ctrlProp47.xml><?xml version="1.0" encoding="utf-8"?>
<formControlPr xmlns="http://schemas.microsoft.com/office/spreadsheetml/2009/9/main" objectType="GBox"/>
</file>

<file path=xl/ctrlProps/ctrlProp48.xml><?xml version="1.0" encoding="utf-8"?>
<formControlPr xmlns="http://schemas.microsoft.com/office/spreadsheetml/2009/9/main" objectType="GBox"/>
</file>

<file path=xl/ctrlProps/ctrlProp49.xml><?xml version="1.0" encoding="utf-8"?>
<formControlPr xmlns="http://schemas.microsoft.com/office/spreadsheetml/2009/9/main" objectType="GBox"/>
</file>

<file path=xl/ctrlProps/ctrlProp50.xml><?xml version="1.0" encoding="utf-8"?>
<formControlPr xmlns="http://schemas.microsoft.com/office/spreadsheetml/2009/9/main" objectType="GBox"/>
</file>

<file path=xl/ctrlProps/ctrlProp51.xml><?xml version="1.0" encoding="utf-8"?>
<formControlPr xmlns="http://schemas.microsoft.com/office/spreadsheetml/2009/9/main" objectType="GBox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15</xdr:row>
          <xdr:rowOff>0</xdr:rowOff>
        </xdr:from>
        <xdr:to>
          <xdr:col>12</xdr:col>
          <xdr:colOff>260350</xdr:colOff>
          <xdr:row>15</xdr:row>
          <xdr:rowOff>279400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4" name="Group Box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69850</xdr:rowOff>
        </xdr:to>
        <xdr:sp macro="" textlink="">
          <xdr:nvSpPr>
            <xdr:cNvPr id="13315" name="Group Box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6" name="Group Box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38100</xdr:rowOff>
        </xdr:to>
        <xdr:sp macro="" textlink="">
          <xdr:nvSpPr>
            <xdr:cNvPr id="13317" name="Group Box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36</xdr:row>
          <xdr:rowOff>0</xdr:rowOff>
        </xdr:from>
        <xdr:to>
          <xdr:col>12</xdr:col>
          <xdr:colOff>88900</xdr:colOff>
          <xdr:row>37</xdr:row>
          <xdr:rowOff>95250</xdr:rowOff>
        </xdr:to>
        <xdr:sp macro="" textlink="">
          <xdr:nvSpPr>
            <xdr:cNvPr id="13318" name="Group Box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69850</xdr:rowOff>
        </xdr:from>
        <xdr:to>
          <xdr:col>4</xdr:col>
          <xdr:colOff>2222500</xdr:colOff>
          <xdr:row>49</xdr:row>
          <xdr:rowOff>247650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Maternidad Plus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52</xdr:row>
          <xdr:rowOff>50800</xdr:rowOff>
        </xdr:from>
        <xdr:to>
          <xdr:col>5</xdr:col>
          <xdr:colOff>0</xdr:colOff>
          <xdr:row>52</xdr:row>
          <xdr:rowOff>228600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Emergencia Médica en el Extranjero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50</xdr:row>
          <xdr:rowOff>50800</xdr:rowOff>
        </xdr:from>
        <xdr:to>
          <xdr:col>4</xdr:col>
          <xdr:colOff>2889250</xdr:colOff>
          <xdr:row>51</xdr:row>
          <xdr:rowOff>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Multiregión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57150</xdr:rowOff>
        </xdr:from>
        <xdr:to>
          <xdr:col>4</xdr:col>
          <xdr:colOff>2889250</xdr:colOff>
          <xdr:row>51</xdr:row>
          <xdr:rowOff>247650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Beneficio Hospitalario VIP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31750</xdr:rowOff>
        </xdr:from>
        <xdr:to>
          <xdr:col>5</xdr:col>
          <xdr:colOff>0</xdr:colOff>
          <xdr:row>54</xdr:row>
          <xdr:rowOff>222250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Cobertura Internacional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38100</xdr:rowOff>
        </xdr:from>
        <xdr:to>
          <xdr:col>4</xdr:col>
          <xdr:colOff>2889250</xdr:colOff>
          <xdr:row>53</xdr:row>
          <xdr:rowOff>228600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Enfermedades Graves en el Extrajero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55</xdr:row>
          <xdr:rowOff>31750</xdr:rowOff>
        </xdr:from>
        <xdr:to>
          <xdr:col>4</xdr:col>
          <xdr:colOff>2889250</xdr:colOff>
          <xdr:row>55</xdr:row>
          <xdr:rowOff>209550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Ampliación de Servicios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47</xdr:row>
          <xdr:rowOff>95250</xdr:rowOff>
        </xdr:from>
        <xdr:to>
          <xdr:col>5</xdr:col>
          <xdr:colOff>0</xdr:colOff>
          <xdr:row>48</xdr:row>
          <xdr:rowOff>31750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Padecimientos Preexistentes Declarados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95250</xdr:rowOff>
        </xdr:from>
        <xdr:to>
          <xdr:col>4</xdr:col>
          <xdr:colOff>2876550</xdr:colOff>
          <xdr:row>47</xdr:row>
          <xdr:rowOff>38100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Complicaciones de Tratamientos No Amparados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76200</xdr:rowOff>
        </xdr:from>
        <xdr:to>
          <xdr:col>4</xdr:col>
          <xdr:colOff>2876550</xdr:colOff>
          <xdr:row>49</xdr:row>
          <xdr:rowOff>12700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Eliminación de Deducible por Accidente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12700</xdr:rowOff>
        </xdr:from>
        <xdr:to>
          <xdr:col>5</xdr:col>
          <xdr:colOff>0</xdr:colOff>
          <xdr:row>56</xdr:row>
          <xdr:rowOff>171450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Ayuda Diaria por Hospitalización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228600</xdr:rowOff>
        </xdr:from>
        <xdr:to>
          <xdr:col>5</xdr:col>
          <xdr:colOff>0</xdr:colOff>
          <xdr:row>57</xdr:row>
          <xdr:rowOff>184150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Indemnización de Enfermedades Graves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38" name="Group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76200</xdr:rowOff>
        </xdr:to>
        <xdr:sp macro="" textlink="">
          <xdr:nvSpPr>
            <xdr:cNvPr id="13339" name="Group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95250</xdr:rowOff>
        </xdr:to>
        <xdr:sp macro="" textlink="">
          <xdr:nvSpPr>
            <xdr:cNvPr id="13340" name="Group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50800</xdr:rowOff>
        </xdr:to>
        <xdr:sp macro="" textlink="">
          <xdr:nvSpPr>
            <xdr:cNvPr id="13341" name="Group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32</xdr:row>
          <xdr:rowOff>0</xdr:rowOff>
        </xdr:from>
        <xdr:to>
          <xdr:col>12</xdr:col>
          <xdr:colOff>88900</xdr:colOff>
          <xdr:row>33</xdr:row>
          <xdr:rowOff>107950</xdr:rowOff>
        </xdr:to>
        <xdr:sp macro="" textlink="">
          <xdr:nvSpPr>
            <xdr:cNvPr id="13342" name="Group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3" name="Group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76200</xdr:rowOff>
        </xdr:to>
        <xdr:sp macro="" textlink="">
          <xdr:nvSpPr>
            <xdr:cNvPr id="13344" name="Group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95250</xdr:rowOff>
        </xdr:to>
        <xdr:sp macro="" textlink="">
          <xdr:nvSpPr>
            <xdr:cNvPr id="13345" name="Group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50800</xdr:rowOff>
        </xdr:to>
        <xdr:sp macro="" textlink="">
          <xdr:nvSpPr>
            <xdr:cNvPr id="13346" name="Group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35</xdr:row>
          <xdr:rowOff>0</xdr:rowOff>
        </xdr:from>
        <xdr:to>
          <xdr:col>12</xdr:col>
          <xdr:colOff>88900</xdr:colOff>
          <xdr:row>36</xdr:row>
          <xdr:rowOff>107950</xdr:rowOff>
        </xdr:to>
        <xdr:sp macro="" textlink="">
          <xdr:nvSpPr>
            <xdr:cNvPr id="13347" name="Group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48" name="Group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69850</xdr:rowOff>
        </xdr:to>
        <xdr:sp macro="" textlink="">
          <xdr:nvSpPr>
            <xdr:cNvPr id="13349" name="Group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0" name="Group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38100</xdr:rowOff>
        </xdr:to>
        <xdr:sp macro="" textlink="">
          <xdr:nvSpPr>
            <xdr:cNvPr id="13351" name="Group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34</xdr:row>
          <xdr:rowOff>0</xdr:rowOff>
        </xdr:from>
        <xdr:to>
          <xdr:col>12</xdr:col>
          <xdr:colOff>88900</xdr:colOff>
          <xdr:row>35</xdr:row>
          <xdr:rowOff>95250</xdr:rowOff>
        </xdr:to>
        <xdr:sp macro="" textlink="">
          <xdr:nvSpPr>
            <xdr:cNvPr id="13352" name="Group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3" name="Group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76200</xdr:rowOff>
        </xdr:to>
        <xdr:sp macro="" textlink="">
          <xdr:nvSpPr>
            <xdr:cNvPr id="13354" name="Group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95250</xdr:rowOff>
        </xdr:to>
        <xdr:sp macro="" textlink="">
          <xdr:nvSpPr>
            <xdr:cNvPr id="13355" name="Group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50800</xdr:rowOff>
        </xdr:to>
        <xdr:sp macro="" textlink="">
          <xdr:nvSpPr>
            <xdr:cNvPr id="13356" name="Group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31750</xdr:colOff>
          <xdr:row>33</xdr:row>
          <xdr:rowOff>0</xdr:rowOff>
        </xdr:from>
        <xdr:to>
          <xdr:col>12</xdr:col>
          <xdr:colOff>88900</xdr:colOff>
          <xdr:row>34</xdr:row>
          <xdr:rowOff>107950</xdr:rowOff>
        </xdr:to>
        <xdr:sp macro="" textlink="">
          <xdr:nvSpPr>
            <xdr:cNvPr id="13357" name="Group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95250</xdr:rowOff>
        </xdr:from>
        <xdr:to>
          <xdr:col>5</xdr:col>
          <xdr:colOff>0</xdr:colOff>
          <xdr:row>46</xdr:row>
          <xdr:rowOff>50800</xdr:rowOff>
        </xdr:to>
        <xdr:sp macro="" textlink="">
          <xdr:nvSpPr>
            <xdr:cNvPr id="13363" name="Check Box 51" hidden="1">
              <a:extLst>
                <a:ext uri="{63B3BB69-23CF-44E3-9099-C40C66FF867C}">
                  <a14:compatExt spid="_x0000_s13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Medicamentos Fuera del Hospital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62</xdr:row>
          <xdr:rowOff>38100</xdr:rowOff>
        </xdr:from>
        <xdr:to>
          <xdr:col>14</xdr:col>
          <xdr:colOff>0</xdr:colOff>
          <xdr:row>64</xdr:row>
          <xdr:rowOff>19050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Datos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88900</xdr:rowOff>
        </xdr:from>
        <xdr:to>
          <xdr:col>5</xdr:col>
          <xdr:colOff>0</xdr:colOff>
          <xdr:row>45</xdr:row>
          <xdr:rowOff>38100</xdr:rowOff>
        </xdr:to>
        <xdr:sp macro="" textlink="">
          <xdr:nvSpPr>
            <xdr:cNvPr id="13374" name="Check Box 62" hidden="1">
              <a:extLst>
                <a:ext uri="{63B3BB69-23CF-44E3-9099-C40C66FF867C}">
                  <a14:compatExt spid="_x0000_s13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Reconocimiento de Antiguedad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1047750</xdr:colOff>
          <xdr:row>62</xdr:row>
          <xdr:rowOff>69850</xdr:rowOff>
        </xdr:from>
        <xdr:to>
          <xdr:col>11</xdr:col>
          <xdr:colOff>869950</xdr:colOff>
          <xdr:row>64</xdr:row>
          <xdr:rowOff>31750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Cotizar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1240292</xdr:colOff>
      <xdr:row>2</xdr:row>
      <xdr:rowOff>234043</xdr:rowOff>
    </xdr:to>
    <xdr:pic>
      <xdr:nvPicPr>
        <xdr:cNvPr id="50" name="Imagen 4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4964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2502692</xdr:colOff>
      <xdr:row>0</xdr:row>
      <xdr:rowOff>0</xdr:rowOff>
    </xdr:from>
    <xdr:to>
      <xdr:col>16</xdr:col>
      <xdr:colOff>0</xdr:colOff>
      <xdr:row>2</xdr:row>
      <xdr:rowOff>234043</xdr:rowOff>
    </xdr:to>
    <xdr:pic>
      <xdr:nvPicPr>
        <xdr:cNvPr id="51" name="Imagen 50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4"/>
        <a:stretch/>
      </xdr:blipFill>
      <xdr:spPr bwMode="auto">
        <a:xfrm>
          <a:off x="4336255" y="0"/>
          <a:ext cx="7153276" cy="722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59533</xdr:colOff>
      <xdr:row>0</xdr:row>
      <xdr:rowOff>119063</xdr:rowOff>
    </xdr:from>
    <xdr:to>
      <xdr:col>7</xdr:col>
      <xdr:colOff>843546</xdr:colOff>
      <xdr:row>2</xdr:row>
      <xdr:rowOff>98920</xdr:rowOff>
    </xdr:to>
    <xdr:sp macro="" textlink="">
      <xdr:nvSpPr>
        <xdr:cNvPr id="52" name="Rectángulo 51"/>
        <xdr:cNvSpPr/>
      </xdr:nvSpPr>
      <xdr:spPr>
        <a:xfrm>
          <a:off x="4917283" y="119063"/>
          <a:ext cx="1819857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rbel" panose="020B0503020204020204" pitchFamily="34" charset="0"/>
            </a:rPr>
            <a:t>Cotizador</a:t>
          </a:r>
        </a:p>
      </xdr:txBody>
    </xdr:sp>
    <xdr:clientData/>
  </xdr:twoCellAnchor>
  <xdr:twoCellAnchor>
    <xdr:from>
      <xdr:col>11</xdr:col>
      <xdr:colOff>678656</xdr:colOff>
      <xdr:row>4</xdr:row>
      <xdr:rowOff>0</xdr:rowOff>
    </xdr:from>
    <xdr:to>
      <xdr:col>12</xdr:col>
      <xdr:colOff>14287</xdr:colOff>
      <xdr:row>5</xdr:row>
      <xdr:rowOff>23812</xdr:rowOff>
    </xdr:to>
    <xdr:sp macro="" textlink="">
      <xdr:nvSpPr>
        <xdr:cNvPr id="53" name="CuadroTexto 52"/>
        <xdr:cNvSpPr txBox="1"/>
      </xdr:nvSpPr>
      <xdr:spPr>
        <a:xfrm>
          <a:off x="8929687" y="1095375"/>
          <a:ext cx="740569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Fecha:</a:t>
          </a:r>
        </a:p>
      </xdr:txBody>
    </xdr:sp>
    <xdr:clientData/>
  </xdr:twoCellAnchor>
  <xdr:twoCellAnchor>
    <xdr:from>
      <xdr:col>11</xdr:col>
      <xdr:colOff>690563</xdr:colOff>
      <xdr:row>4</xdr:row>
      <xdr:rowOff>273844</xdr:rowOff>
    </xdr:from>
    <xdr:to>
      <xdr:col>11</xdr:col>
      <xdr:colOff>1400175</xdr:colOff>
      <xdr:row>6</xdr:row>
      <xdr:rowOff>7144</xdr:rowOff>
    </xdr:to>
    <xdr:sp macro="" textlink="">
      <xdr:nvSpPr>
        <xdr:cNvPr id="54" name="CuadroTexto 53"/>
        <xdr:cNvSpPr txBox="1"/>
      </xdr:nvSpPr>
      <xdr:spPr>
        <a:xfrm>
          <a:off x="8941594" y="1369219"/>
          <a:ext cx="709612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MX" sz="1100" b="1">
              <a:solidFill>
                <a:srgbClr val="3BB0C9"/>
              </a:solidFill>
              <a:latin typeface="Malgun Gothic" panose="020B0503020000020004" pitchFamily="34" charset="-127"/>
              <a:ea typeface="Malgun Gothic" panose="020B0503020000020004" pitchFamily="34" charset="-127"/>
            </a:rPr>
            <a:t>Folio:</a:t>
          </a:r>
        </a:p>
      </xdr:txBody>
    </xdr:sp>
    <xdr:clientData/>
  </xdr:twoCellAnchor>
  <xdr:twoCellAnchor>
    <xdr:from>
      <xdr:col>1</xdr:col>
      <xdr:colOff>178593</xdr:colOff>
      <xdr:row>14</xdr:row>
      <xdr:rowOff>83344</xdr:rowOff>
    </xdr:from>
    <xdr:to>
      <xdr:col>12</xdr:col>
      <xdr:colOff>130968</xdr:colOff>
      <xdr:row>32</xdr:row>
      <xdr:rowOff>157162</xdr:rowOff>
    </xdr:to>
    <xdr:sp macro="" textlink="">
      <xdr:nvSpPr>
        <xdr:cNvPr id="55" name="Rectángulo 54"/>
        <xdr:cNvSpPr/>
      </xdr:nvSpPr>
      <xdr:spPr>
        <a:xfrm>
          <a:off x="297656" y="3476625"/>
          <a:ext cx="9489281" cy="3038475"/>
        </a:xfrm>
        <a:prstGeom prst="rect">
          <a:avLst/>
        </a:prstGeom>
        <a:noFill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9</xdr:col>
      <xdr:colOff>141022</xdr:colOff>
      <xdr:row>37</xdr:row>
      <xdr:rowOff>68215</xdr:rowOff>
    </xdr:from>
    <xdr:to>
      <xdr:col>13</xdr:col>
      <xdr:colOff>285750</xdr:colOff>
      <xdr:row>60</xdr:row>
      <xdr:rowOff>18525</xdr:rowOff>
    </xdr:to>
    <xdr:pic>
      <xdr:nvPicPr>
        <xdr:cNvPr id="56" name="Imagen 5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5439" y="8481965"/>
          <a:ext cx="3838311" cy="51361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250030</xdr:colOff>
      <xdr:row>34</xdr:row>
      <xdr:rowOff>71437</xdr:rowOff>
    </xdr:from>
    <xdr:to>
      <xdr:col>4</xdr:col>
      <xdr:colOff>2516980</xdr:colOff>
      <xdr:row>35</xdr:row>
      <xdr:rowOff>164306</xdr:rowOff>
    </xdr:to>
    <xdr:sp macro="" textlink="">
      <xdr:nvSpPr>
        <xdr:cNvPr id="57" name="CuadroTexto 56"/>
        <xdr:cNvSpPr txBox="1"/>
      </xdr:nvSpPr>
      <xdr:spPr>
        <a:xfrm>
          <a:off x="369093" y="6810375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Elegibles:</a:t>
          </a:r>
        </a:p>
      </xdr:txBody>
    </xdr:sp>
    <xdr:clientData/>
  </xdr:twoCellAnchor>
  <xdr:twoCellAnchor>
    <xdr:from>
      <xdr:col>1</xdr:col>
      <xdr:colOff>238124</xdr:colOff>
      <xdr:row>42</xdr:row>
      <xdr:rowOff>119063</xdr:rowOff>
    </xdr:from>
    <xdr:to>
      <xdr:col>4</xdr:col>
      <xdr:colOff>2505074</xdr:colOff>
      <xdr:row>43</xdr:row>
      <xdr:rowOff>223838</xdr:rowOff>
    </xdr:to>
    <xdr:sp macro="" textlink="">
      <xdr:nvSpPr>
        <xdr:cNvPr id="58" name="CuadroTexto 57"/>
        <xdr:cNvSpPr txBox="1"/>
      </xdr:nvSpPr>
      <xdr:spPr>
        <a:xfrm>
          <a:off x="357187" y="8489157"/>
          <a:ext cx="3981450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  <a:ea typeface="+mn-ea"/>
              <a:cs typeface="+mn-cs"/>
            </a:rPr>
            <a:t>Coberturas Adicionales</a:t>
          </a:r>
          <a:r>
            <a:rPr lang="es-MX" sz="1100" b="1">
              <a:solidFill>
                <a:srgbClr val="C5DA46"/>
              </a:solidFill>
              <a:latin typeface="Century Gothic" panose="020B0502020202020204" pitchFamily="34" charset="0"/>
            </a:rPr>
            <a:t>:</a:t>
          </a:r>
        </a:p>
      </xdr:txBody>
    </xdr:sp>
    <xdr:clientData/>
  </xdr:twoCellAnchor>
  <xdr:twoCellAnchor editAs="oneCell">
    <xdr:from>
      <xdr:col>0</xdr:col>
      <xdr:colOff>71437</xdr:colOff>
      <xdr:row>2</xdr:row>
      <xdr:rowOff>285750</xdr:rowOff>
    </xdr:from>
    <xdr:to>
      <xdr:col>4</xdr:col>
      <xdr:colOff>256711</xdr:colOff>
      <xdr:row>4</xdr:row>
      <xdr:rowOff>36628</xdr:rowOff>
    </xdr:to>
    <xdr:pic>
      <xdr:nvPicPr>
        <xdr:cNvPr id="60" name="Imagen 5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437" y="773906"/>
          <a:ext cx="2018837" cy="358097"/>
        </a:xfrm>
        <a:prstGeom prst="rect">
          <a:avLst/>
        </a:prstGeom>
      </xdr:spPr>
    </xdr:pic>
    <xdr:clientData/>
  </xdr:twoCellAnchor>
  <xdr:twoCellAnchor>
    <xdr:from>
      <xdr:col>2</xdr:col>
      <xdr:colOff>189984</xdr:colOff>
      <xdr:row>44</xdr:row>
      <xdr:rowOff>85725</xdr:rowOff>
    </xdr:from>
    <xdr:to>
      <xdr:col>4</xdr:col>
      <xdr:colOff>2892314</xdr:colOff>
      <xdr:row>45</xdr:row>
      <xdr:rowOff>39160</xdr:rowOff>
    </xdr:to>
    <xdr:sp macro="" textlink="">
      <xdr:nvSpPr>
        <xdr:cNvPr id="61" name="Rectángulo redondeado 60"/>
        <xdr:cNvSpPr/>
      </xdr:nvSpPr>
      <xdr:spPr>
        <a:xfrm>
          <a:off x="609084" y="9925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100" b="0">
              <a:latin typeface="Century Gothic" panose="020B0502020202020204" pitchFamily="34" charset="0"/>
            </a:rPr>
            <a:t>Reconocimiento de Antigüedad </a:t>
          </a:r>
        </a:p>
      </xdr:txBody>
    </xdr:sp>
    <xdr:clientData/>
  </xdr:twoCellAnchor>
  <xdr:twoCellAnchor>
    <xdr:from>
      <xdr:col>2</xdr:col>
      <xdr:colOff>189984</xdr:colOff>
      <xdr:row>45</xdr:row>
      <xdr:rowOff>78368</xdr:rowOff>
    </xdr:from>
    <xdr:to>
      <xdr:col>4</xdr:col>
      <xdr:colOff>2892314</xdr:colOff>
      <xdr:row>46</xdr:row>
      <xdr:rowOff>31803</xdr:rowOff>
    </xdr:to>
    <xdr:sp macro="" textlink="">
      <xdr:nvSpPr>
        <xdr:cNvPr id="62" name="Rectángulo redondeado 61"/>
        <xdr:cNvSpPr/>
      </xdr:nvSpPr>
      <xdr:spPr>
        <a:xfrm>
          <a:off x="609084" y="10165343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Medicamentos Fuera del Hospital </a:t>
          </a:r>
        </a:p>
      </xdr:txBody>
    </xdr:sp>
    <xdr:clientData/>
  </xdr:twoCellAnchor>
  <xdr:twoCellAnchor>
    <xdr:from>
      <xdr:col>2</xdr:col>
      <xdr:colOff>189984</xdr:colOff>
      <xdr:row>46</xdr:row>
      <xdr:rowOff>71011</xdr:rowOff>
    </xdr:from>
    <xdr:to>
      <xdr:col>5</xdr:col>
      <xdr:colOff>6893</xdr:colOff>
      <xdr:row>47</xdr:row>
      <xdr:rowOff>42223</xdr:rowOff>
    </xdr:to>
    <xdr:sp macro="" textlink="">
      <xdr:nvSpPr>
        <xdr:cNvPr id="65" name="Rectángulo redondeado 64"/>
        <xdr:cNvSpPr/>
      </xdr:nvSpPr>
      <xdr:spPr>
        <a:xfrm>
          <a:off x="609084" y="10405636"/>
          <a:ext cx="4112684" cy="218862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Complicaciones de Tratamientos No Amparados</a:t>
          </a:r>
        </a:p>
      </xdr:txBody>
    </xdr:sp>
    <xdr:clientData/>
  </xdr:twoCellAnchor>
  <xdr:twoCellAnchor>
    <xdr:from>
      <xdr:col>2</xdr:col>
      <xdr:colOff>189984</xdr:colOff>
      <xdr:row>47</xdr:row>
      <xdr:rowOff>81431</xdr:rowOff>
    </xdr:from>
    <xdr:to>
      <xdr:col>4</xdr:col>
      <xdr:colOff>2888080</xdr:colOff>
      <xdr:row>48</xdr:row>
      <xdr:rowOff>34866</xdr:rowOff>
    </xdr:to>
    <xdr:sp macro="" textlink="">
      <xdr:nvSpPr>
        <xdr:cNvPr id="66" name="Rectángulo redondeado 65"/>
        <xdr:cNvSpPr/>
      </xdr:nvSpPr>
      <xdr:spPr>
        <a:xfrm>
          <a:off x="609084" y="10663706"/>
          <a:ext cx="409827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Padecimientos Preexistentes Declarados </a:t>
          </a:r>
        </a:p>
      </xdr:txBody>
    </xdr:sp>
    <xdr:clientData/>
  </xdr:twoCellAnchor>
  <xdr:twoCellAnchor>
    <xdr:from>
      <xdr:col>2</xdr:col>
      <xdr:colOff>189984</xdr:colOff>
      <xdr:row>48</xdr:row>
      <xdr:rowOff>74074</xdr:rowOff>
    </xdr:from>
    <xdr:to>
      <xdr:col>4</xdr:col>
      <xdr:colOff>2894430</xdr:colOff>
      <xdr:row>49</xdr:row>
      <xdr:rowOff>27509</xdr:rowOff>
    </xdr:to>
    <xdr:sp macro="" textlink="">
      <xdr:nvSpPr>
        <xdr:cNvPr id="67" name="Rectángulo redondeado 66"/>
        <xdr:cNvSpPr/>
      </xdr:nvSpPr>
      <xdr:spPr>
        <a:xfrm>
          <a:off x="609084" y="10903999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Eliminación de Deducible por Accidente </a:t>
          </a:r>
        </a:p>
      </xdr:txBody>
    </xdr:sp>
    <xdr:clientData/>
  </xdr:twoCellAnchor>
  <xdr:twoCellAnchor>
    <xdr:from>
      <xdr:col>2</xdr:col>
      <xdr:colOff>189984</xdr:colOff>
      <xdr:row>49</xdr:row>
      <xdr:rowOff>66717</xdr:rowOff>
    </xdr:from>
    <xdr:to>
      <xdr:col>4</xdr:col>
      <xdr:colOff>2892314</xdr:colOff>
      <xdr:row>50</xdr:row>
      <xdr:rowOff>20152</xdr:rowOff>
    </xdr:to>
    <xdr:sp macro="" textlink="">
      <xdr:nvSpPr>
        <xdr:cNvPr id="68" name="Rectángulo redondeado 67"/>
        <xdr:cNvSpPr/>
      </xdr:nvSpPr>
      <xdr:spPr>
        <a:xfrm>
          <a:off x="609084" y="11144292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Maternidad Plus </a:t>
          </a:r>
        </a:p>
      </xdr:txBody>
    </xdr:sp>
    <xdr:clientData/>
  </xdr:twoCellAnchor>
  <xdr:twoCellAnchor>
    <xdr:from>
      <xdr:col>2</xdr:col>
      <xdr:colOff>189984</xdr:colOff>
      <xdr:row>50</xdr:row>
      <xdr:rowOff>59360</xdr:rowOff>
    </xdr:from>
    <xdr:to>
      <xdr:col>4</xdr:col>
      <xdr:colOff>2894430</xdr:colOff>
      <xdr:row>51</xdr:row>
      <xdr:rowOff>12795</xdr:rowOff>
    </xdr:to>
    <xdr:sp macro="" textlink="">
      <xdr:nvSpPr>
        <xdr:cNvPr id="69" name="Rectángulo redondeado 68"/>
        <xdr:cNvSpPr/>
      </xdr:nvSpPr>
      <xdr:spPr>
        <a:xfrm>
          <a:off x="609084" y="11384585"/>
          <a:ext cx="4104621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Multiregión </a:t>
          </a:r>
        </a:p>
      </xdr:txBody>
    </xdr:sp>
    <xdr:clientData/>
  </xdr:twoCellAnchor>
  <xdr:twoCellAnchor>
    <xdr:from>
      <xdr:col>2</xdr:col>
      <xdr:colOff>189984</xdr:colOff>
      <xdr:row>51</xdr:row>
      <xdr:rowOff>52003</xdr:rowOff>
    </xdr:from>
    <xdr:to>
      <xdr:col>4</xdr:col>
      <xdr:colOff>2892314</xdr:colOff>
      <xdr:row>52</xdr:row>
      <xdr:rowOff>5438</xdr:rowOff>
    </xdr:to>
    <xdr:sp macro="" textlink="">
      <xdr:nvSpPr>
        <xdr:cNvPr id="70" name="Rectángulo redondeado 69"/>
        <xdr:cNvSpPr/>
      </xdr:nvSpPr>
      <xdr:spPr>
        <a:xfrm>
          <a:off x="609084" y="11624878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Beneficio Hospitalario VIP</a:t>
          </a:r>
        </a:p>
      </xdr:txBody>
    </xdr:sp>
    <xdr:clientData/>
  </xdr:twoCellAnchor>
  <xdr:twoCellAnchor>
    <xdr:from>
      <xdr:col>2</xdr:col>
      <xdr:colOff>189984</xdr:colOff>
      <xdr:row>52</xdr:row>
      <xdr:rowOff>44646</xdr:rowOff>
    </xdr:from>
    <xdr:to>
      <xdr:col>5</xdr:col>
      <xdr:colOff>948</xdr:colOff>
      <xdr:row>52</xdr:row>
      <xdr:rowOff>245731</xdr:rowOff>
    </xdr:to>
    <xdr:sp macro="" textlink="">
      <xdr:nvSpPr>
        <xdr:cNvPr id="72" name="Rectángulo redondeado 71"/>
        <xdr:cNvSpPr/>
      </xdr:nvSpPr>
      <xdr:spPr>
        <a:xfrm>
          <a:off x="609084" y="11865171"/>
          <a:ext cx="4106739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Emergencia Médica en el Extranjero </a:t>
          </a:r>
        </a:p>
      </xdr:txBody>
    </xdr:sp>
    <xdr:clientData/>
  </xdr:twoCellAnchor>
  <xdr:twoCellAnchor>
    <xdr:from>
      <xdr:col>2</xdr:col>
      <xdr:colOff>189984</xdr:colOff>
      <xdr:row>54</xdr:row>
      <xdr:rowOff>29932</xdr:rowOff>
    </xdr:from>
    <xdr:to>
      <xdr:col>4</xdr:col>
      <xdr:colOff>2892314</xdr:colOff>
      <xdr:row>54</xdr:row>
      <xdr:rowOff>231017</xdr:rowOff>
    </xdr:to>
    <xdr:sp macro="" textlink="">
      <xdr:nvSpPr>
        <xdr:cNvPr id="73" name="Rectángulo redondeado 72"/>
        <xdr:cNvSpPr/>
      </xdr:nvSpPr>
      <xdr:spPr>
        <a:xfrm>
          <a:off x="609084" y="12345757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Cobertura Internacional </a:t>
          </a:r>
        </a:p>
      </xdr:txBody>
    </xdr:sp>
    <xdr:clientData/>
  </xdr:twoCellAnchor>
  <xdr:twoCellAnchor>
    <xdr:from>
      <xdr:col>2</xdr:col>
      <xdr:colOff>189984</xdr:colOff>
      <xdr:row>55</xdr:row>
      <xdr:rowOff>22575</xdr:rowOff>
    </xdr:from>
    <xdr:to>
      <xdr:col>4</xdr:col>
      <xdr:colOff>2892314</xdr:colOff>
      <xdr:row>55</xdr:row>
      <xdr:rowOff>223660</xdr:rowOff>
    </xdr:to>
    <xdr:sp macro="" textlink="">
      <xdr:nvSpPr>
        <xdr:cNvPr id="74" name="Rectángulo redondeado 73"/>
        <xdr:cNvSpPr/>
      </xdr:nvSpPr>
      <xdr:spPr>
        <a:xfrm>
          <a:off x="609084" y="12586050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Ampliación de Servicios</a:t>
          </a:r>
        </a:p>
      </xdr:txBody>
    </xdr:sp>
    <xdr:clientData/>
  </xdr:twoCellAnchor>
  <xdr:twoCellAnchor>
    <xdr:from>
      <xdr:col>2</xdr:col>
      <xdr:colOff>189984</xdr:colOff>
      <xdr:row>56</xdr:row>
      <xdr:rowOff>15218</xdr:rowOff>
    </xdr:from>
    <xdr:to>
      <xdr:col>5</xdr:col>
      <xdr:colOff>431</xdr:colOff>
      <xdr:row>56</xdr:row>
      <xdr:rowOff>215321</xdr:rowOff>
    </xdr:to>
    <xdr:sp macro="" textlink="">
      <xdr:nvSpPr>
        <xdr:cNvPr id="75" name="Rectángulo redondeado 74"/>
        <xdr:cNvSpPr/>
      </xdr:nvSpPr>
      <xdr:spPr>
        <a:xfrm>
          <a:off x="609084" y="12826343"/>
          <a:ext cx="4106222" cy="20010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Ayuda Diaria por Hospitalización </a:t>
          </a:r>
        </a:p>
      </xdr:txBody>
    </xdr:sp>
    <xdr:clientData/>
  </xdr:twoCellAnchor>
  <xdr:twoCellAnchor>
    <xdr:from>
      <xdr:col>2</xdr:col>
      <xdr:colOff>189984</xdr:colOff>
      <xdr:row>57</xdr:row>
      <xdr:rowOff>6879</xdr:rowOff>
    </xdr:from>
    <xdr:to>
      <xdr:col>4</xdr:col>
      <xdr:colOff>2891375</xdr:colOff>
      <xdr:row>57</xdr:row>
      <xdr:rowOff>208479</xdr:rowOff>
    </xdr:to>
    <xdr:sp macro="" textlink="">
      <xdr:nvSpPr>
        <xdr:cNvPr id="76" name="Rectángulo redondeado 75"/>
        <xdr:cNvSpPr/>
      </xdr:nvSpPr>
      <xdr:spPr>
        <a:xfrm>
          <a:off x="609084" y="13065654"/>
          <a:ext cx="4101566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Indemnización Enfermedades Graves </a:t>
          </a:r>
        </a:p>
      </xdr:txBody>
    </xdr:sp>
    <xdr:clientData/>
  </xdr:twoCellAnchor>
  <xdr:twoCellAnchor>
    <xdr:from>
      <xdr:col>2</xdr:col>
      <xdr:colOff>189984</xdr:colOff>
      <xdr:row>53</xdr:row>
      <xdr:rowOff>37289</xdr:rowOff>
    </xdr:from>
    <xdr:to>
      <xdr:col>4</xdr:col>
      <xdr:colOff>2892314</xdr:colOff>
      <xdr:row>53</xdr:row>
      <xdr:rowOff>238374</xdr:rowOff>
    </xdr:to>
    <xdr:sp macro="" textlink="">
      <xdr:nvSpPr>
        <xdr:cNvPr id="77" name="Rectángulo redondeado 76"/>
        <xdr:cNvSpPr/>
      </xdr:nvSpPr>
      <xdr:spPr>
        <a:xfrm>
          <a:off x="609084" y="12105464"/>
          <a:ext cx="4102505" cy="201085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Enfermedades</a:t>
          </a:r>
          <a:r>
            <a:rPr lang="es-MX" sz="1100" baseline="0">
              <a:latin typeface="Century Gothic" panose="020B0502020202020204" pitchFamily="34" charset="0"/>
            </a:rPr>
            <a:t> Graves en el Extranjero</a:t>
          </a:r>
          <a:r>
            <a:rPr lang="es-MX" sz="1100">
              <a:latin typeface="Century Gothic" panose="020B0502020202020204" pitchFamily="34" charset="0"/>
            </a:rPr>
            <a:t> </a:t>
          </a:r>
        </a:p>
      </xdr:txBody>
    </xdr:sp>
    <xdr:clientData/>
  </xdr:twoCellAnchor>
  <xdr:twoCellAnchor>
    <xdr:from>
      <xdr:col>4</xdr:col>
      <xdr:colOff>2581275</xdr:colOff>
      <xdr:row>48</xdr:row>
      <xdr:rowOff>161925</xdr:rowOff>
    </xdr:from>
    <xdr:to>
      <xdr:col>6</xdr:col>
      <xdr:colOff>1019175</xdr:colOff>
      <xdr:row>50</xdr:row>
      <xdr:rowOff>0</xdr:rowOff>
    </xdr:to>
    <xdr:sp macro="" textlink="">
      <xdr:nvSpPr>
        <xdr:cNvPr id="2" name="CuadroTexto 1"/>
        <xdr:cNvSpPr txBox="1"/>
      </xdr:nvSpPr>
      <xdr:spPr>
        <a:xfrm>
          <a:off x="4400550" y="9982200"/>
          <a:ext cx="1466850" cy="23812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Suma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 Asegurada: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228600</xdr:rowOff>
        </xdr:from>
        <xdr:to>
          <xdr:col>5</xdr:col>
          <xdr:colOff>0</xdr:colOff>
          <xdr:row>58</xdr:row>
          <xdr:rowOff>184150</xdr:rowOff>
        </xdr:to>
        <xdr:sp macro="" textlink="">
          <xdr:nvSpPr>
            <xdr:cNvPr id="13381" name="Check Box 69" descr="Xtensuz Bx+" hidden="1">
              <a:extLst>
                <a:ext uri="{63B3BB69-23CF-44E3-9099-C40C66FF867C}">
                  <a14:compatExt spid="_x0000_s13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B0F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Xtensuz Bx+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221734</xdr:colOff>
      <xdr:row>58</xdr:row>
      <xdr:rowOff>37</xdr:rowOff>
    </xdr:from>
    <xdr:to>
      <xdr:col>5</xdr:col>
      <xdr:colOff>23291</xdr:colOff>
      <xdr:row>58</xdr:row>
      <xdr:rowOff>201637</xdr:rowOff>
    </xdr:to>
    <xdr:sp macro="" textlink="">
      <xdr:nvSpPr>
        <xdr:cNvPr id="78" name="Rectángulo redondeado 77"/>
        <xdr:cNvSpPr/>
      </xdr:nvSpPr>
      <xdr:spPr>
        <a:xfrm>
          <a:off x="645067" y="13292704"/>
          <a:ext cx="4098391" cy="201600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MX" sz="1100">
              <a:latin typeface="Century Gothic" panose="020B0502020202020204" pitchFamily="34" charset="0"/>
            </a:rPr>
            <a:t>Xtensuz Bx+</a:t>
          </a:r>
        </a:p>
      </xdr:txBody>
    </xdr:sp>
    <xdr:clientData/>
  </xdr:twoCellAnchor>
  <xdr:twoCellAnchor>
    <xdr:from>
      <xdr:col>4</xdr:col>
      <xdr:colOff>2543175</xdr:colOff>
      <xdr:row>57</xdr:row>
      <xdr:rowOff>171450</xdr:rowOff>
    </xdr:from>
    <xdr:to>
      <xdr:col>6</xdr:col>
      <xdr:colOff>981075</xdr:colOff>
      <xdr:row>59</xdr:row>
      <xdr:rowOff>9525</xdr:rowOff>
    </xdr:to>
    <xdr:sp macro="" textlink="">
      <xdr:nvSpPr>
        <xdr:cNvPr id="80" name="CuadroTexto 79"/>
        <xdr:cNvSpPr txBox="1"/>
      </xdr:nvSpPr>
      <xdr:spPr>
        <a:xfrm>
          <a:off x="4362450" y="13230225"/>
          <a:ext cx="1466850" cy="333375"/>
        </a:xfrm>
        <a:prstGeom prst="rect">
          <a:avLst/>
        </a:prstGeom>
        <a:solidFill>
          <a:srgbClr val="00B0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s-MX" sz="1100" b="1">
              <a:solidFill>
                <a:schemeClr val="bg1"/>
              </a:solidFill>
              <a:latin typeface="Century Gothic" panose="020B0502020202020204" pitchFamily="34" charset="0"/>
            </a:rPr>
            <a:t>Deducible</a:t>
          </a:r>
          <a:r>
            <a:rPr lang="es-MX" sz="1100" b="1" baseline="0">
              <a:solidFill>
                <a:schemeClr val="bg1"/>
              </a:solidFill>
              <a:latin typeface="Century Gothic" panose="020B0502020202020204" pitchFamily="34" charset="0"/>
            </a:rPr>
            <a:t>:</a:t>
          </a:r>
          <a:endParaRPr lang="es-MX" sz="1100" b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11</xdr:row>
          <xdr:rowOff>31750</xdr:rowOff>
        </xdr:from>
        <xdr:to>
          <xdr:col>11</xdr:col>
          <xdr:colOff>1155700</xdr:colOff>
          <xdr:row>12</xdr:row>
          <xdr:rowOff>31750</xdr:rowOff>
        </xdr:to>
        <xdr:sp macro="" textlink="">
          <xdr:nvSpPr>
            <xdr:cNvPr id="13382" name="Option Button 70" descr="Póliza Nueva" hidden="1">
              <a:extLst>
                <a:ext uri="{63B3BB69-23CF-44E3-9099-C40C66FF867C}">
                  <a14:compatExt spid="_x0000_s13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Nueva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12</xdr:row>
          <xdr:rowOff>146050</xdr:rowOff>
        </xdr:from>
        <xdr:to>
          <xdr:col>11</xdr:col>
          <xdr:colOff>1143000</xdr:colOff>
          <xdr:row>13</xdr:row>
          <xdr:rowOff>133350</xdr:rowOff>
        </xdr:to>
        <xdr:sp macro="" textlink="">
          <xdr:nvSpPr>
            <xdr:cNvPr id="13383" name="Option Button 71" descr="Póliza de Renovación" hidden="1">
              <a:extLst>
                <a:ext uri="{63B3BB69-23CF-44E3-9099-C40C66FF867C}">
                  <a14:compatExt spid="_x0000_s13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Póliza de Renovación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245404</xdr:colOff>
      <xdr:row>11</xdr:row>
      <xdr:rowOff>34635</xdr:rowOff>
    </xdr:from>
    <xdr:to>
      <xdr:col>11</xdr:col>
      <xdr:colOff>1342159</xdr:colOff>
      <xdr:row>12</xdr:row>
      <xdr:rowOff>43295</xdr:rowOff>
    </xdr:to>
    <xdr:sp macro="" textlink="">
      <xdr:nvSpPr>
        <xdr:cNvPr id="79" name="Rectángulo redondeado 78"/>
        <xdr:cNvSpPr/>
      </xdr:nvSpPr>
      <xdr:spPr>
        <a:xfrm>
          <a:off x="8494054" y="3092160"/>
          <a:ext cx="1096755" cy="227735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Póliza Nueva</a:t>
          </a:r>
        </a:p>
      </xdr:txBody>
    </xdr:sp>
    <xdr:clientData/>
  </xdr:twoCellAnchor>
  <xdr:twoCellAnchor>
    <xdr:from>
      <xdr:col>11</xdr:col>
      <xdr:colOff>233281</xdr:colOff>
      <xdr:row>12</xdr:row>
      <xdr:rowOff>135081</xdr:rowOff>
    </xdr:from>
    <xdr:to>
      <xdr:col>11</xdr:col>
      <xdr:colOff>1316181</xdr:colOff>
      <xdr:row>13</xdr:row>
      <xdr:rowOff>143740</xdr:rowOff>
    </xdr:to>
    <xdr:sp macro="" textlink="">
      <xdr:nvSpPr>
        <xdr:cNvPr id="81" name="Rectángulo redondeado 80"/>
        <xdr:cNvSpPr/>
      </xdr:nvSpPr>
      <xdr:spPr>
        <a:xfrm>
          <a:off x="8481931" y="3411681"/>
          <a:ext cx="1082900" cy="227734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MX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s-MX" sz="1000" b="1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Renovación</a:t>
          </a:r>
          <a:endParaRPr lang="es-MX" sz="1000" b="1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2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12</xdr:row>
      <xdr:rowOff>114300</xdr:rowOff>
    </xdr:to>
    <xdr:pic>
      <xdr:nvPicPr>
        <xdr:cNvPr id="4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281</xdr:col>
      <xdr:colOff>0</xdr:colOff>
      <xdr:row>9</xdr:row>
      <xdr:rowOff>152400</xdr:rowOff>
    </xdr:from>
    <xdr:to>
      <xdr:col>281</xdr:col>
      <xdr:colOff>0</xdr:colOff>
      <xdr:row>10</xdr:row>
      <xdr:rowOff>266700</xdr:rowOff>
    </xdr:to>
    <xdr:pic>
      <xdr:nvPicPr>
        <xdr:cNvPr id="5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563350" y="1485900"/>
          <a:ext cx="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62</xdr:row>
          <xdr:rowOff>0</xdr:rowOff>
        </xdr:from>
        <xdr:to>
          <xdr:col>11</xdr:col>
          <xdr:colOff>1193800</xdr:colOff>
          <xdr:row>63</xdr:row>
          <xdr:rowOff>69850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2" name="Group Box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57150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4" name="Group Box 4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64</xdr:row>
          <xdr:rowOff>50800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62</xdr:row>
          <xdr:rowOff>0</xdr:rowOff>
        </xdr:from>
        <xdr:to>
          <xdr:col>11</xdr:col>
          <xdr:colOff>1295400</xdr:colOff>
          <xdr:row>65</xdr:row>
          <xdr:rowOff>76200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104775</xdr:colOff>
      <xdr:row>83</xdr:row>
      <xdr:rowOff>182655</xdr:rowOff>
    </xdr:from>
    <xdr:to>
      <xdr:col>14</xdr:col>
      <xdr:colOff>1171575</xdr:colOff>
      <xdr:row>87</xdr:row>
      <xdr:rowOff>73269</xdr:rowOff>
    </xdr:to>
    <xdr:sp macro="" textlink="">
      <xdr:nvSpPr>
        <xdr:cNvPr id="12" name="194 CuadroTexto"/>
        <xdr:cNvSpPr txBox="1"/>
      </xdr:nvSpPr>
      <xdr:spPr>
        <a:xfrm>
          <a:off x="152400" y="13279530"/>
          <a:ext cx="11210925" cy="579345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Paseo de la Reforma 243 piso 16, Colonia Cuauhtémoc, Alcaldía Cuauhtémoc C.P. 06500 Ciudad de México.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/>
              <a:ea typeface="Times New Roman"/>
            </a:rPr>
            <a:t>Teléfono 5511021800,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0</xdr:col>
      <xdr:colOff>190501</xdr:colOff>
      <xdr:row>4</xdr:row>
      <xdr:rowOff>0</xdr:rowOff>
    </xdr:from>
    <xdr:to>
      <xdr:col>3</xdr:col>
      <xdr:colOff>257176</xdr:colOff>
      <xdr:row>5</xdr:row>
      <xdr:rowOff>143044</xdr:rowOff>
    </xdr:to>
    <xdr:pic>
      <xdr:nvPicPr>
        <xdr:cNvPr id="13" name="14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857250"/>
          <a:ext cx="1981200" cy="4383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323850</xdr:colOff>
      <xdr:row>1</xdr:row>
      <xdr:rowOff>276225</xdr:rowOff>
    </xdr:from>
    <xdr:to>
      <xdr:col>15</xdr:col>
      <xdr:colOff>36777</xdr:colOff>
      <xdr:row>4</xdr:row>
      <xdr:rowOff>253156</xdr:rowOff>
    </xdr:to>
    <xdr:sp macro="" textlink="">
      <xdr:nvSpPr>
        <xdr:cNvPr id="14" name="18 CuadroTexto"/>
        <xdr:cNvSpPr txBox="1"/>
      </xdr:nvSpPr>
      <xdr:spPr>
        <a:xfrm>
          <a:off x="6276975" y="466725"/>
          <a:ext cx="5275527" cy="643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s-MX" sz="1800" b="0" i="0" u="none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Gastos Médicos Mayores Individual</a:t>
          </a:r>
          <a:r>
            <a:rPr lang="es-MX" sz="1800" b="0" i="0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  <a:p>
          <a:pPr algn="r"/>
          <a:r>
            <a:rPr lang="es-MX" sz="1800" b="0" i="1" u="none" baseline="0">
              <a:solidFill>
                <a:srgbClr val="3BB0C9"/>
              </a:solidFill>
              <a:latin typeface="Arial" panose="020B0604020202020204" pitchFamily="34" charset="0"/>
              <a:cs typeface="Arial" panose="020B0604020202020204" pitchFamily="34" charset="0"/>
            </a:rPr>
            <a:t>                      </a:t>
          </a:r>
          <a:endParaRPr lang="es-MX" sz="1800" b="0" i="1" u="none">
            <a:solidFill>
              <a:srgbClr val="3BB0C9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133350</xdr:rowOff>
    </xdr:from>
    <xdr:to>
      <xdr:col>6</xdr:col>
      <xdr:colOff>256712</xdr:colOff>
      <xdr:row>3</xdr:row>
      <xdr:rowOff>123743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133350"/>
          <a:ext cx="3704762" cy="657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946150</xdr:colOff>
          <xdr:row>167</xdr:row>
          <xdr:rowOff>76200</xdr:rowOff>
        </xdr:from>
        <xdr:to>
          <xdr:col>14</xdr:col>
          <xdr:colOff>1028700</xdr:colOff>
          <xdr:row>169</xdr:row>
          <xdr:rowOff>38100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Cotización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1009650</xdr:colOff>
          <xdr:row>16</xdr:row>
          <xdr:rowOff>127000</xdr:rowOff>
        </xdr:from>
        <xdr:to>
          <xdr:col>3</xdr:col>
          <xdr:colOff>12700</xdr:colOff>
          <xdr:row>18</xdr:row>
          <xdr:rowOff>133350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miguel.avila\Desktop\GMI%20Proyecto\Cotizador_Gastos_Medicos_BX+_PLUS_20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guel.avila/Desktop/GMI%20Proyecto/Cotizador_Gastos_Medicos_BX+_PLUS_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fredo.mejia/Desktop/Cesi&#243;n%20de%20comisi&#243;n/Copia%20de%20Cotizador_Gastos%20M&#233;dicos%20BX+%202019_c_DESBL_Cesi&#243;n%20de%20comisi&#243;n_0411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 refreshError="1"/>
      <sheetData sheetId="1" refreshError="1"/>
      <sheetData sheetId="2" refreshError="1"/>
      <sheetData sheetId="3" refreshError="1">
        <row r="5">
          <cell r="Q5" t="str">
            <v>AGUASCALIENTES</v>
          </cell>
        </row>
        <row r="6">
          <cell r="Q6" t="str">
            <v>BAJA CALIFORNIA NORTE</v>
          </cell>
        </row>
        <row r="7">
          <cell r="Q7" t="str">
            <v>BAJA CALIFORNIA SUR</v>
          </cell>
        </row>
        <row r="8">
          <cell r="Q8" t="str">
            <v>CAMPECHE</v>
          </cell>
        </row>
        <row r="9">
          <cell r="Q9" t="str">
            <v>COAHUILA</v>
          </cell>
        </row>
        <row r="10">
          <cell r="Q10" t="str">
            <v>COLIMA</v>
          </cell>
        </row>
        <row r="11">
          <cell r="Q11" t="str">
            <v>CHIAPAS</v>
          </cell>
        </row>
        <row r="12">
          <cell r="Q12" t="str">
            <v>CHIHUAHUA</v>
          </cell>
        </row>
        <row r="13">
          <cell r="Q13" t="str">
            <v>CIUDAD DE MEXICO</v>
          </cell>
        </row>
        <row r="14">
          <cell r="Q14" t="str">
            <v xml:space="preserve">DURANGO </v>
          </cell>
        </row>
        <row r="15">
          <cell r="Q15" t="str">
            <v>GUANAJUATO</v>
          </cell>
        </row>
        <row r="16">
          <cell r="Q16" t="str">
            <v>GUERRERO</v>
          </cell>
        </row>
        <row r="17">
          <cell r="Q17" t="str">
            <v>HIDALGO</v>
          </cell>
        </row>
        <row r="18">
          <cell r="Q18" t="str">
            <v>JALISCO</v>
          </cell>
        </row>
        <row r="19">
          <cell r="Q19" t="str">
            <v>MEXICO</v>
          </cell>
        </row>
        <row r="20">
          <cell r="Q20" t="str">
            <v>MICHOACAN</v>
          </cell>
        </row>
        <row r="21">
          <cell r="Q21" t="str">
            <v xml:space="preserve">MORELOS </v>
          </cell>
        </row>
        <row r="22">
          <cell r="Q22" t="str">
            <v>NAYARIT</v>
          </cell>
        </row>
        <row r="23">
          <cell r="Q23" t="str">
            <v>NUEVO LEON</v>
          </cell>
        </row>
        <row r="24">
          <cell r="Q24" t="str">
            <v>OAXACA</v>
          </cell>
        </row>
        <row r="25">
          <cell r="Q25" t="str">
            <v>PUEBLA</v>
          </cell>
        </row>
        <row r="26">
          <cell r="Q26" t="str">
            <v>QUERETARO</v>
          </cell>
        </row>
        <row r="27">
          <cell r="Q27" t="str">
            <v>QUINTANA ROO</v>
          </cell>
        </row>
        <row r="28">
          <cell r="Q28" t="str">
            <v>SAN LUIS POTOSI</v>
          </cell>
        </row>
        <row r="29">
          <cell r="Q29" t="str">
            <v>SINALOA</v>
          </cell>
        </row>
        <row r="30">
          <cell r="Q30" t="str">
            <v>SONORA</v>
          </cell>
        </row>
        <row r="31">
          <cell r="Q31" t="str">
            <v>TABASCO</v>
          </cell>
        </row>
        <row r="32">
          <cell r="Q32" t="str">
            <v>TAMAULIPAS</v>
          </cell>
        </row>
        <row r="33">
          <cell r="Q33" t="str">
            <v>TLAXCALA</v>
          </cell>
        </row>
        <row r="34">
          <cell r="Q34" t="str">
            <v>VERACRUZ</v>
          </cell>
        </row>
        <row r="35">
          <cell r="Q35" t="str">
            <v>YUCATAN</v>
          </cell>
        </row>
        <row r="36">
          <cell r="Q36" t="str">
            <v>ZACATECAS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tizador"/>
      <sheetName val="Parametros"/>
      <sheetName val="Cotizacion"/>
      <sheetName val="Tablas"/>
    </sheetNames>
    <sheetDataSet>
      <sheetData sheetId="0">
        <row r="11">
          <cell r="K11" t="str">
            <v>NO</v>
          </cell>
        </row>
      </sheetData>
      <sheetData sheetId="1"/>
      <sheetData sheetId="2"/>
      <sheetData sheetId="3">
        <row r="4">
          <cell r="I4">
            <v>0.45</v>
          </cell>
        </row>
        <row r="5">
          <cell r="L5">
            <v>0.27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C106"/>
  <sheetViews>
    <sheetView zoomScale="80" zoomScaleNormal="80" workbookViewId="0">
      <selection activeCell="N13" sqref="N13"/>
    </sheetView>
  </sheetViews>
  <sheetFormatPr baseColWidth="10" defaultRowHeight="14.5" x14ac:dyDescent="0.35"/>
  <cols>
    <col min="2" max="3" width="11.453125" customWidth="1"/>
    <col min="4" max="5" width="12.26953125" bestFit="1" customWidth="1"/>
    <col min="6" max="7" width="11.453125" customWidth="1"/>
    <col min="8" max="9" width="12.54296875" bestFit="1" customWidth="1"/>
    <col min="10" max="10" width="11.453125" customWidth="1"/>
    <col min="11" max="11" width="14.54296875" customWidth="1"/>
    <col min="12" max="13" width="11.453125" customWidth="1"/>
    <col min="14" max="14" width="15.54296875" customWidth="1"/>
    <col min="15" max="15" width="12" customWidth="1"/>
    <col min="16" max="22" width="11.453125" customWidth="1"/>
    <col min="23" max="23" width="23.26953125" customWidth="1"/>
    <col min="24" max="26" width="11.453125" customWidth="1"/>
    <col min="27" max="27" width="16.1796875" customWidth="1"/>
    <col min="28" max="35" width="11.453125" customWidth="1"/>
    <col min="36" max="36" width="37.54296875" customWidth="1"/>
    <col min="37" max="37" width="11.453125" customWidth="1"/>
    <col min="38" max="38" width="30.81640625" customWidth="1"/>
    <col min="39" max="42" width="11.453125" customWidth="1"/>
    <col min="43" max="43" width="23.26953125" customWidth="1"/>
    <col min="44" max="46" width="11.453125" customWidth="1"/>
    <col min="47" max="47" width="29.7265625" customWidth="1"/>
    <col min="48" max="48" width="11.453125" customWidth="1"/>
    <col min="49" max="49" width="41.26953125" customWidth="1"/>
    <col min="50" max="50" width="11.453125" customWidth="1"/>
    <col min="51" max="51" width="23.26953125" customWidth="1"/>
    <col min="52" max="54" width="11.453125" customWidth="1"/>
    <col min="55" max="55" width="28" customWidth="1"/>
    <col min="56" max="56" width="11.453125" customWidth="1"/>
    <col min="57" max="57" width="13.7265625" customWidth="1"/>
    <col min="58" max="60" width="11.453125" customWidth="1"/>
    <col min="61" max="61" width="35.26953125" customWidth="1"/>
    <col min="64" max="64" width="35.26953125" bestFit="1" customWidth="1"/>
    <col min="65" max="65" width="18.1796875" bestFit="1" customWidth="1"/>
    <col min="68" max="73" width="11.453125" customWidth="1"/>
    <col min="74" max="75" width="12.26953125" bestFit="1" customWidth="1"/>
    <col min="76" max="89" width="11.453125" customWidth="1"/>
    <col min="90" max="90" width="14.54296875" customWidth="1"/>
    <col min="91" max="93" width="13.54296875" customWidth="1"/>
    <col min="94" max="115" width="11.453125" customWidth="1"/>
    <col min="136" max="137" width="11.81640625" bestFit="1" customWidth="1"/>
  </cols>
  <sheetData>
    <row r="1" spans="1:133" x14ac:dyDescent="0.35">
      <c r="A1" s="384" t="s">
        <v>156</v>
      </c>
      <c r="AH1" s="386" t="s">
        <v>157</v>
      </c>
      <c r="BJ1" s="386" t="s">
        <v>141</v>
      </c>
      <c r="CA1">
        <f>IF(BM26&lt;&gt;"NO",1,0)</f>
        <v>0</v>
      </c>
      <c r="CK1">
        <f>IF(BM12="SI",1,0)</f>
        <v>0</v>
      </c>
      <c r="CM1">
        <f>IF(BM13="SI",1,0)</f>
        <v>0</v>
      </c>
      <c r="CO1">
        <f>IF(BM14="SI",1,0)</f>
        <v>0</v>
      </c>
      <c r="CQ1">
        <f>IF(BM15="SI",1,0)</f>
        <v>0</v>
      </c>
      <c r="CR1" s="206"/>
      <c r="CS1">
        <f>IF(BM16="SI",1,0)</f>
        <v>0</v>
      </c>
      <c r="CU1">
        <f>IF(BM17&lt;&gt;"NO",1,0)</f>
        <v>0</v>
      </c>
      <c r="CW1">
        <f>IF(BM18="SI",1,0)</f>
        <v>0</v>
      </c>
      <c r="CY1">
        <f>IF(BM19="SI",1,0)</f>
        <v>0</v>
      </c>
      <c r="DA1">
        <f>IF(BM20="SI",1,0)</f>
        <v>0</v>
      </c>
      <c r="DC1">
        <f>IF(BM21="SI",1,0)</f>
        <v>0</v>
      </c>
      <c r="DE1">
        <f>IF(BM22="SI",1,0)</f>
        <v>0</v>
      </c>
      <c r="DG1">
        <f>IF(BM23="SI",1,0)</f>
        <v>0</v>
      </c>
      <c r="DI1">
        <f>IF(BM24="SI",1,0)</f>
        <v>0</v>
      </c>
      <c r="DK1">
        <f>IF(BM25="SI",1,0)</f>
        <v>0</v>
      </c>
      <c r="DS1">
        <f>IF(BM18="SI",1,0)</f>
        <v>0</v>
      </c>
      <c r="DY1">
        <f>IF(BM22="SI",1,0)</f>
        <v>0</v>
      </c>
    </row>
    <row r="2" spans="1:133" ht="15" thickBot="1" x14ac:dyDescent="0.4">
      <c r="A2" s="385"/>
      <c r="C2" s="369" t="s">
        <v>100</v>
      </c>
      <c r="D2" s="369"/>
      <c r="E2" s="369"/>
      <c r="F2" s="72"/>
      <c r="G2" s="369" t="s">
        <v>193</v>
      </c>
      <c r="H2" s="369"/>
      <c r="I2" s="369"/>
      <c r="K2" s="369" t="s">
        <v>118</v>
      </c>
      <c r="L2" s="369"/>
      <c r="N2" s="369" t="s">
        <v>119</v>
      </c>
      <c r="O2" s="369"/>
      <c r="Q2" s="369" t="s">
        <v>120</v>
      </c>
      <c r="R2" s="369"/>
      <c r="T2" s="369" t="s">
        <v>121</v>
      </c>
      <c r="U2" s="369"/>
      <c r="W2" s="369" t="s">
        <v>122</v>
      </c>
      <c r="X2" s="369"/>
      <c r="Y2" s="369"/>
      <c r="AA2" s="369" t="s">
        <v>123</v>
      </c>
      <c r="AB2" s="369"/>
      <c r="AD2" s="369" t="s">
        <v>126</v>
      </c>
      <c r="AE2" s="369"/>
      <c r="AF2" s="369"/>
      <c r="AH2" s="386"/>
      <c r="AJ2" s="23" t="s">
        <v>127</v>
      </c>
      <c r="AL2" s="23" t="s">
        <v>130</v>
      </c>
      <c r="AN2" s="369" t="s">
        <v>131</v>
      </c>
      <c r="AO2" s="369"/>
      <c r="AQ2" s="369" t="s">
        <v>162</v>
      </c>
      <c r="AR2" s="369"/>
      <c r="AS2" s="369"/>
      <c r="AU2" s="23" t="s">
        <v>133</v>
      </c>
      <c r="AW2" s="23" t="s">
        <v>134</v>
      </c>
      <c r="AY2" s="369" t="s">
        <v>166</v>
      </c>
      <c r="AZ2" s="369"/>
      <c r="BA2" s="369"/>
      <c r="BC2" s="23" t="s">
        <v>137</v>
      </c>
      <c r="BE2" s="383" t="s">
        <v>138</v>
      </c>
      <c r="BF2" s="383"/>
      <c r="BG2" s="383"/>
      <c r="BI2" s="23" t="s">
        <v>139</v>
      </c>
      <c r="BJ2" s="386"/>
      <c r="BT2" s="26"/>
      <c r="BZ2" t="s">
        <v>14</v>
      </c>
      <c r="CA2">
        <f>IF(CA1=1,VLOOKUP($BM$26,$AJ$15:$AK$18,2,0),0)</f>
        <v>0</v>
      </c>
      <c r="CR2" t="s">
        <v>14</v>
      </c>
      <c r="CS2">
        <f>IF($CS$1=1,VLOOKUP($BM$8,$AU$15:$AV$19,2,0),1)</f>
        <v>1</v>
      </c>
      <c r="CT2" t="s">
        <v>46</v>
      </c>
      <c r="CU2" s="24">
        <f>IF(BM17&lt;&gt; "NO",$BM$17-15000,0)</f>
        <v>0</v>
      </c>
      <c r="CV2" t="s">
        <v>14</v>
      </c>
      <c r="CW2" s="71" t="e">
        <f>ROUND(VLOOKUP(BM4,$AQ$4:$AS$36,3,0),3)</f>
        <v>#N/A</v>
      </c>
      <c r="DD2" t="s">
        <v>14</v>
      </c>
      <c r="DE2" s="28" t="e">
        <f>VLOOKUP(BM4,$AY$42:$BA$76,3,0)</f>
        <v>#N/A</v>
      </c>
      <c r="DJ2" t="s">
        <v>46</v>
      </c>
      <c r="DK2" s="25">
        <v>100000</v>
      </c>
      <c r="DR2" t="s">
        <v>14</v>
      </c>
      <c r="DS2" t="e">
        <f>VLOOKUP(BM4,$AQ$42:$AS$74,3,0)</f>
        <v>#N/A</v>
      </c>
      <c r="DX2" t="s">
        <v>14</v>
      </c>
      <c r="DY2" s="28" t="e">
        <f>VLOOKUP(BM4,$AY$4:$BA$37,3,0)</f>
        <v>#N/A</v>
      </c>
    </row>
    <row r="3" spans="1:133" x14ac:dyDescent="0.35">
      <c r="A3" s="385"/>
      <c r="C3" s="30" t="s">
        <v>12</v>
      </c>
      <c r="D3" s="30" t="s">
        <v>98</v>
      </c>
      <c r="E3" s="30" t="s">
        <v>99</v>
      </c>
      <c r="F3" s="72"/>
      <c r="G3" s="30" t="s">
        <v>12</v>
      </c>
      <c r="H3" s="30" t="s">
        <v>98</v>
      </c>
      <c r="I3" s="30" t="s">
        <v>99</v>
      </c>
      <c r="K3" s="30" t="s">
        <v>109</v>
      </c>
      <c r="L3" s="30" t="s">
        <v>110</v>
      </c>
      <c r="N3" s="30" t="s">
        <v>101</v>
      </c>
      <c r="O3" s="30" t="s">
        <v>102</v>
      </c>
      <c r="Q3" s="30" t="s">
        <v>103</v>
      </c>
      <c r="R3" s="30" t="s">
        <v>102</v>
      </c>
      <c r="T3" s="30" t="s">
        <v>8</v>
      </c>
      <c r="U3" s="30" t="s">
        <v>14</v>
      </c>
      <c r="W3" s="30" t="s">
        <v>104</v>
      </c>
      <c r="X3" s="30" t="s">
        <v>105</v>
      </c>
      <c r="Y3" s="30" t="s">
        <v>102</v>
      </c>
      <c r="AA3" s="30" t="s">
        <v>106</v>
      </c>
      <c r="AB3" s="30" t="s">
        <v>14</v>
      </c>
      <c r="AD3" s="30" t="s">
        <v>125</v>
      </c>
      <c r="AE3" s="30" t="s">
        <v>66</v>
      </c>
      <c r="AF3" s="30" t="s">
        <v>67</v>
      </c>
      <c r="AH3" s="386"/>
      <c r="AJ3" s="43">
        <v>0.20471103868386598</v>
      </c>
      <c r="AL3" s="45">
        <v>25000</v>
      </c>
      <c r="AN3" s="30" t="s">
        <v>12</v>
      </c>
      <c r="AO3" s="30" t="s">
        <v>14</v>
      </c>
      <c r="AQ3" s="30" t="s">
        <v>104</v>
      </c>
      <c r="AR3" s="30" t="s">
        <v>132</v>
      </c>
      <c r="AS3" s="30" t="s">
        <v>102</v>
      </c>
      <c r="AU3" s="44">
        <v>8.9819705999999999E-2</v>
      </c>
      <c r="AW3" s="44">
        <v>1.2516293427348835E-2</v>
      </c>
      <c r="AY3" s="30" t="s">
        <v>104</v>
      </c>
      <c r="AZ3" s="30" t="s">
        <v>105</v>
      </c>
      <c r="BA3" s="30" t="s">
        <v>14</v>
      </c>
      <c r="BC3" s="44">
        <v>2.6641837306831843E-2</v>
      </c>
      <c r="BE3" s="30" t="s">
        <v>12</v>
      </c>
      <c r="BF3" s="30" t="s">
        <v>98</v>
      </c>
      <c r="BG3" s="30" t="s">
        <v>99</v>
      </c>
      <c r="BI3" s="38">
        <v>3.44E-2</v>
      </c>
      <c r="BJ3" s="386"/>
      <c r="BL3" s="5" t="s">
        <v>142</v>
      </c>
      <c r="BM3" s="5" t="s">
        <v>83</v>
      </c>
      <c r="BN3" s="5" t="s">
        <v>14</v>
      </c>
      <c r="BR3" s="379" t="s">
        <v>84</v>
      </c>
      <c r="BS3" s="379"/>
      <c r="BT3" s="26"/>
      <c r="BV3" s="379" t="s">
        <v>84</v>
      </c>
      <c r="BW3" s="379"/>
      <c r="BZ3" s="379" t="s">
        <v>84</v>
      </c>
      <c r="CA3" s="379"/>
      <c r="CD3" s="379" t="s">
        <v>84</v>
      </c>
      <c r="CE3" s="379"/>
      <c r="CG3" s="388" t="s">
        <v>9</v>
      </c>
      <c r="CH3" s="370" t="s">
        <v>84</v>
      </c>
      <c r="CI3" s="370"/>
      <c r="CJ3" s="370" t="s">
        <v>84</v>
      </c>
      <c r="CK3" s="370"/>
      <c r="CL3" s="370" t="s">
        <v>84</v>
      </c>
      <c r="CM3" s="370"/>
      <c r="CN3" s="370" t="s">
        <v>84</v>
      </c>
      <c r="CO3" s="370"/>
      <c r="CP3" s="370" t="s">
        <v>84</v>
      </c>
      <c r="CQ3" s="370"/>
      <c r="CR3" s="370" t="s">
        <v>84</v>
      </c>
      <c r="CS3" s="370"/>
      <c r="CT3" s="370" t="s">
        <v>84</v>
      </c>
      <c r="CU3" s="370"/>
      <c r="CV3" s="370" t="s">
        <v>84</v>
      </c>
      <c r="CW3" s="370"/>
      <c r="CX3" s="370" t="s">
        <v>84</v>
      </c>
      <c r="CY3" s="370"/>
      <c r="CZ3" s="370" t="s">
        <v>84</v>
      </c>
      <c r="DA3" s="370"/>
      <c r="DB3" s="370" t="s">
        <v>84</v>
      </c>
      <c r="DC3" s="370"/>
      <c r="DD3" s="370" t="s">
        <v>84</v>
      </c>
      <c r="DE3" s="370"/>
      <c r="DF3" s="370" t="s">
        <v>84</v>
      </c>
      <c r="DG3" s="370"/>
      <c r="DH3" s="370" t="s">
        <v>84</v>
      </c>
      <c r="DI3" s="370"/>
      <c r="DJ3" s="370" t="s">
        <v>84</v>
      </c>
      <c r="DK3" s="370"/>
      <c r="DR3" s="370" t="s">
        <v>84</v>
      </c>
      <c r="DS3" s="370"/>
      <c r="DT3" s="60"/>
      <c r="DU3" s="60"/>
      <c r="DV3" s="377" t="s">
        <v>254</v>
      </c>
      <c r="DW3" s="378"/>
      <c r="DX3" s="370" t="s">
        <v>84</v>
      </c>
      <c r="DY3" s="370"/>
      <c r="DZ3" s="370" t="s">
        <v>84</v>
      </c>
      <c r="EA3" s="370"/>
      <c r="EB3" s="377" t="s">
        <v>189</v>
      </c>
      <c r="EC3" s="378"/>
    </row>
    <row r="4" spans="1:133" ht="24.75" customHeight="1" x14ac:dyDescent="0.35">
      <c r="A4" s="385"/>
      <c r="C4" s="31">
        <v>0</v>
      </c>
      <c r="D4" s="32">
        <v>6533.46</v>
      </c>
      <c r="E4" s="32">
        <v>6574.88</v>
      </c>
      <c r="F4" s="72"/>
      <c r="G4" s="31">
        <v>0</v>
      </c>
      <c r="H4" s="73">
        <v>11666.89</v>
      </c>
      <c r="I4" s="73">
        <v>11740.86</v>
      </c>
      <c r="K4" s="33" t="s">
        <v>47</v>
      </c>
      <c r="L4" s="34">
        <v>0.1</v>
      </c>
      <c r="N4" s="35">
        <v>2000000</v>
      </c>
      <c r="O4" s="36">
        <v>0.83</v>
      </c>
      <c r="Q4" s="35">
        <v>10000</v>
      </c>
      <c r="R4" s="36">
        <v>1</v>
      </c>
      <c r="T4" s="42">
        <v>0.1</v>
      </c>
      <c r="U4" s="36">
        <v>1</v>
      </c>
      <c r="W4" s="40" t="s">
        <v>15</v>
      </c>
      <c r="X4" s="40">
        <v>3</v>
      </c>
      <c r="Y4" s="41">
        <f t="shared" ref="Y4:Y36" si="0">VLOOKUP(X4,$AA$21:$AB$27,2,0)</f>
        <v>0.62</v>
      </c>
      <c r="AA4" s="40" t="s">
        <v>43</v>
      </c>
      <c r="AB4" s="40">
        <v>1</v>
      </c>
      <c r="AD4" s="40" t="s">
        <v>63</v>
      </c>
      <c r="AE4" s="41">
        <v>0</v>
      </c>
      <c r="AF4" s="40">
        <v>1</v>
      </c>
      <c r="AH4" s="386"/>
      <c r="AL4" s="45">
        <v>30000</v>
      </c>
      <c r="AN4" s="40">
        <v>0</v>
      </c>
      <c r="AO4" s="46">
        <v>0</v>
      </c>
      <c r="AQ4" s="40" t="s">
        <v>15</v>
      </c>
      <c r="AR4" s="40">
        <v>3</v>
      </c>
      <c r="AS4" s="49">
        <f t="shared" ref="AS4:AS36" si="1">VLOOKUP(AR4,$AU$30:$AV$36,2,0)</f>
        <v>6.9000000000000006E-2</v>
      </c>
      <c r="AT4" s="50"/>
      <c r="AY4" s="40" t="s">
        <v>15</v>
      </c>
      <c r="AZ4" s="40">
        <v>2</v>
      </c>
      <c r="BA4" s="40">
        <v>0.47649999999999998</v>
      </c>
      <c r="BE4" s="40">
        <v>18</v>
      </c>
      <c r="BF4" s="40">
        <v>0.53500000000000003</v>
      </c>
      <c r="BG4" s="40">
        <v>0.58499999999999996</v>
      </c>
      <c r="BJ4" s="386"/>
      <c r="BL4" s="6" t="s">
        <v>2</v>
      </c>
      <c r="BM4" s="74" t="str">
        <f>+Cotizador!E13</f>
        <v/>
      </c>
      <c r="BN4" s="7" t="e">
        <f>VLOOKUP(BM4,$W$4:$Y$38,3,0)</f>
        <v>#N/A</v>
      </c>
      <c r="BR4" s="381" t="s">
        <v>144</v>
      </c>
      <c r="BS4" s="382"/>
      <c r="BT4" s="26"/>
      <c r="BV4" s="381" t="s">
        <v>155</v>
      </c>
      <c r="BW4" s="382"/>
      <c r="BZ4" s="381" t="s">
        <v>295</v>
      </c>
      <c r="CA4" s="382"/>
      <c r="CD4" s="381" t="s">
        <v>296</v>
      </c>
      <c r="CE4" s="382"/>
      <c r="CG4" s="389"/>
      <c r="CH4" s="371" t="s">
        <v>145</v>
      </c>
      <c r="CI4" s="372"/>
      <c r="CJ4" s="371" t="s">
        <v>154</v>
      </c>
      <c r="CK4" s="380"/>
      <c r="CL4" s="371" t="s">
        <v>146</v>
      </c>
      <c r="CM4" s="372"/>
      <c r="CN4" s="371" t="s">
        <v>147</v>
      </c>
      <c r="CO4" s="372"/>
      <c r="CP4" s="371" t="s">
        <v>59</v>
      </c>
      <c r="CQ4" s="372"/>
      <c r="CR4" s="371" t="s">
        <v>148</v>
      </c>
      <c r="CS4" s="372"/>
      <c r="CT4" s="373" t="s">
        <v>58</v>
      </c>
      <c r="CU4" s="374"/>
      <c r="CV4" s="393" t="s">
        <v>251</v>
      </c>
      <c r="CW4" s="394"/>
      <c r="CX4" s="371" t="s">
        <v>179</v>
      </c>
      <c r="CY4" s="372"/>
      <c r="CZ4" s="371" t="s">
        <v>149</v>
      </c>
      <c r="DA4" s="372"/>
      <c r="DB4" s="371" t="s">
        <v>150</v>
      </c>
      <c r="DC4" s="372"/>
      <c r="DD4" s="371" t="s">
        <v>287</v>
      </c>
      <c r="DE4" s="372"/>
      <c r="DF4" s="371" t="s">
        <v>152</v>
      </c>
      <c r="DG4" s="372"/>
      <c r="DH4" s="373" t="s">
        <v>151</v>
      </c>
      <c r="DI4" s="374"/>
      <c r="DJ4" s="373" t="s">
        <v>153</v>
      </c>
      <c r="DK4" s="374"/>
      <c r="DR4" s="393" t="s">
        <v>165</v>
      </c>
      <c r="DS4" s="394"/>
      <c r="DT4" s="375" t="s">
        <v>164</v>
      </c>
      <c r="DU4" s="376"/>
      <c r="DV4" s="375" t="s">
        <v>253</v>
      </c>
      <c r="DW4" s="376"/>
      <c r="DX4" s="371" t="s">
        <v>177</v>
      </c>
      <c r="DY4" s="372"/>
      <c r="DZ4" s="371" t="s">
        <v>286</v>
      </c>
      <c r="EA4" s="372"/>
      <c r="EB4" s="375" t="s">
        <v>253</v>
      </c>
      <c r="EC4" s="376"/>
    </row>
    <row r="5" spans="1:133" ht="15" thickBot="1" x14ac:dyDescent="0.4">
      <c r="A5" s="385"/>
      <c r="C5" s="31">
        <v>1</v>
      </c>
      <c r="D5" s="32">
        <v>6538.91</v>
      </c>
      <c r="E5" s="32">
        <v>6583.6</v>
      </c>
      <c r="F5" s="72"/>
      <c r="G5" s="31">
        <v>1</v>
      </c>
      <c r="H5" s="73">
        <v>11676.63</v>
      </c>
      <c r="I5" s="73">
        <v>11756.43</v>
      </c>
      <c r="K5" s="33" t="s">
        <v>111</v>
      </c>
      <c r="L5" s="34">
        <v>0.27</v>
      </c>
      <c r="N5" s="35">
        <v>5000000</v>
      </c>
      <c r="O5" s="37">
        <v>0.96699999999999997</v>
      </c>
      <c r="Q5" s="35">
        <v>15000</v>
      </c>
      <c r="R5" s="39">
        <v>0.85499999999999998</v>
      </c>
      <c r="T5" s="42">
        <v>0.15</v>
      </c>
      <c r="U5" s="36">
        <v>0.92900000000000005</v>
      </c>
      <c r="W5" s="40" t="s">
        <v>16</v>
      </c>
      <c r="X5" s="40">
        <v>2</v>
      </c>
      <c r="Y5" s="41">
        <f t="shared" si="0"/>
        <v>0.52</v>
      </c>
      <c r="AA5" s="40" t="s">
        <v>11</v>
      </c>
      <c r="AB5" s="40">
        <v>0.76</v>
      </c>
      <c r="AD5" s="40" t="s">
        <v>68</v>
      </c>
      <c r="AE5" s="41">
        <v>0.04</v>
      </c>
      <c r="AF5" s="40">
        <v>2</v>
      </c>
      <c r="AH5" s="386"/>
      <c r="AL5" s="45">
        <v>40000</v>
      </c>
      <c r="AN5" s="40">
        <v>1</v>
      </c>
      <c r="AO5" s="46">
        <v>0</v>
      </c>
      <c r="AQ5" s="40" t="s">
        <v>16</v>
      </c>
      <c r="AR5" s="40">
        <v>2</v>
      </c>
      <c r="AS5" s="49">
        <f t="shared" si="1"/>
        <v>0.09</v>
      </c>
      <c r="AT5" s="50"/>
      <c r="AY5" s="40" t="s">
        <v>16</v>
      </c>
      <c r="AZ5" s="40">
        <v>1</v>
      </c>
      <c r="BA5" s="40">
        <v>0.95299999999999996</v>
      </c>
      <c r="BE5" s="40">
        <v>19</v>
      </c>
      <c r="BF5" s="40">
        <v>0.53500000000000003</v>
      </c>
      <c r="BG5" s="40">
        <v>0.58499999999999996</v>
      </c>
      <c r="BJ5" s="386"/>
      <c r="BL5" s="6" t="s">
        <v>4</v>
      </c>
      <c r="BM5" s="8">
        <f>+Cotizador!E37</f>
        <v>0</v>
      </c>
      <c r="BN5" s="7" t="e">
        <f>VLOOKUP(BM5,$AA$4:$AB$6,2,0)</f>
        <v>#N/A</v>
      </c>
      <c r="BQ5" s="1" t="s">
        <v>12</v>
      </c>
      <c r="BR5" s="22" t="s">
        <v>0</v>
      </c>
      <c r="BS5" s="22" t="s">
        <v>1</v>
      </c>
      <c r="BT5" s="26"/>
      <c r="BU5" s="1" t="s">
        <v>12</v>
      </c>
      <c r="BV5" s="22" t="s">
        <v>0</v>
      </c>
      <c r="BW5" s="22" t="s">
        <v>1</v>
      </c>
      <c r="BY5" s="1" t="s">
        <v>12</v>
      </c>
      <c r="BZ5" s="22" t="s">
        <v>0</v>
      </c>
      <c r="CA5" s="22" t="s">
        <v>1</v>
      </c>
      <c r="CC5" s="1" t="s">
        <v>12</v>
      </c>
      <c r="CD5" s="22" t="s">
        <v>0</v>
      </c>
      <c r="CE5" s="22" t="s">
        <v>1</v>
      </c>
      <c r="CG5" s="390"/>
      <c r="CH5" s="1" t="s">
        <v>0</v>
      </c>
      <c r="CI5" s="1" t="s">
        <v>1</v>
      </c>
      <c r="CJ5" s="1" t="s">
        <v>0</v>
      </c>
      <c r="CK5" s="1" t="s">
        <v>1</v>
      </c>
      <c r="CL5" s="1" t="s">
        <v>0</v>
      </c>
      <c r="CM5" s="1" t="s">
        <v>1</v>
      </c>
      <c r="CN5" s="1" t="s">
        <v>0</v>
      </c>
      <c r="CO5" s="1" t="s">
        <v>1</v>
      </c>
      <c r="CP5" s="1" t="s">
        <v>0</v>
      </c>
      <c r="CQ5" s="1" t="s">
        <v>1</v>
      </c>
      <c r="CR5" s="1" t="s">
        <v>0</v>
      </c>
      <c r="CS5" s="1" t="s">
        <v>1</v>
      </c>
      <c r="CT5" s="1" t="s">
        <v>0</v>
      </c>
      <c r="CU5" s="1" t="s">
        <v>1</v>
      </c>
      <c r="CV5" s="1" t="s">
        <v>0</v>
      </c>
      <c r="CW5" s="1" t="s">
        <v>1</v>
      </c>
      <c r="CX5" s="1" t="s">
        <v>0</v>
      </c>
      <c r="CY5" s="1" t="s">
        <v>1</v>
      </c>
      <c r="CZ5" s="1" t="s">
        <v>0</v>
      </c>
      <c r="DA5" s="1" t="s">
        <v>1</v>
      </c>
      <c r="DB5" s="1" t="s">
        <v>0</v>
      </c>
      <c r="DC5" s="1" t="s">
        <v>1</v>
      </c>
      <c r="DD5" s="1" t="s">
        <v>0</v>
      </c>
      <c r="DE5" s="1" t="s">
        <v>1</v>
      </c>
      <c r="DF5" s="1" t="s">
        <v>0</v>
      </c>
      <c r="DG5" s="1" t="s">
        <v>1</v>
      </c>
      <c r="DH5" s="1" t="s">
        <v>0</v>
      </c>
      <c r="DI5" s="1" t="s">
        <v>1</v>
      </c>
      <c r="DJ5" s="1" t="s">
        <v>0</v>
      </c>
      <c r="DK5" s="1" t="s">
        <v>1</v>
      </c>
      <c r="DR5" s="1" t="s">
        <v>0</v>
      </c>
      <c r="DS5" s="1" t="s">
        <v>1</v>
      </c>
      <c r="DT5" s="1" t="s">
        <v>0</v>
      </c>
      <c r="DU5" s="1" t="s">
        <v>1</v>
      </c>
      <c r="DV5" s="1" t="s">
        <v>0</v>
      </c>
      <c r="DW5" s="1" t="s">
        <v>1</v>
      </c>
      <c r="DX5" s="1" t="s">
        <v>0</v>
      </c>
      <c r="DY5" s="1" t="s">
        <v>1</v>
      </c>
      <c r="DZ5" s="1" t="s">
        <v>0</v>
      </c>
      <c r="EA5" s="1" t="s">
        <v>1</v>
      </c>
      <c r="EB5" s="1" t="s">
        <v>0</v>
      </c>
      <c r="EC5" s="1" t="s">
        <v>1</v>
      </c>
    </row>
    <row r="6" spans="1:133" x14ac:dyDescent="0.35">
      <c r="A6" s="385"/>
      <c r="C6" s="31">
        <v>2</v>
      </c>
      <c r="D6" s="32">
        <v>6544.36</v>
      </c>
      <c r="E6" s="32">
        <v>6592.32</v>
      </c>
      <c r="F6" s="72"/>
      <c r="G6" s="31">
        <v>2</v>
      </c>
      <c r="H6" s="73">
        <v>11686.36</v>
      </c>
      <c r="I6" s="73">
        <v>11772</v>
      </c>
      <c r="K6" s="33" t="s">
        <v>48</v>
      </c>
      <c r="L6" s="34">
        <v>7.0000000000000007E-2</v>
      </c>
      <c r="N6" s="35">
        <v>10000000</v>
      </c>
      <c r="O6" s="37">
        <v>0.98699999999999999</v>
      </c>
      <c r="Q6" s="35">
        <v>20000</v>
      </c>
      <c r="R6" s="36">
        <v>0.72199999999999998</v>
      </c>
      <c r="T6" s="42">
        <v>0.2</v>
      </c>
      <c r="U6" s="36">
        <v>0.9</v>
      </c>
      <c r="W6" s="40" t="s">
        <v>17</v>
      </c>
      <c r="X6" s="40">
        <v>1</v>
      </c>
      <c r="Y6" s="41">
        <f t="shared" si="0"/>
        <v>0.44</v>
      </c>
      <c r="AA6" s="40" t="s">
        <v>44</v>
      </c>
      <c r="AB6" s="40">
        <v>0.62</v>
      </c>
      <c r="AD6" s="40" t="s">
        <v>69</v>
      </c>
      <c r="AE6" s="41">
        <v>4.7500000000000001E-2</v>
      </c>
      <c r="AF6" s="40">
        <v>4</v>
      </c>
      <c r="AH6" s="386"/>
      <c r="AJ6" s="23" t="s">
        <v>128</v>
      </c>
      <c r="AL6" s="45">
        <v>50000</v>
      </c>
      <c r="AN6" s="40">
        <v>2</v>
      </c>
      <c r="AO6" s="46">
        <v>0</v>
      </c>
      <c r="AQ6" s="40" t="s">
        <v>17</v>
      </c>
      <c r="AR6" s="40">
        <v>1</v>
      </c>
      <c r="AS6" s="49">
        <f t="shared" si="1"/>
        <v>0.104</v>
      </c>
      <c r="AT6" s="50"/>
      <c r="AW6" s="23" t="s">
        <v>135</v>
      </c>
      <c r="AY6" s="40" t="s">
        <v>17</v>
      </c>
      <c r="AZ6" s="40">
        <v>1</v>
      </c>
      <c r="BA6" s="40">
        <v>0.95299999999999996</v>
      </c>
      <c r="BC6" s="23" t="s">
        <v>136</v>
      </c>
      <c r="BE6" s="40">
        <v>20</v>
      </c>
      <c r="BF6" s="40">
        <v>0.53500000000000003</v>
      </c>
      <c r="BG6" s="40">
        <v>0.58499999999999996</v>
      </c>
      <c r="BI6" s="23" t="s">
        <v>140</v>
      </c>
      <c r="BJ6" s="386"/>
      <c r="BL6" s="6" t="s">
        <v>5</v>
      </c>
      <c r="BM6" s="8">
        <f>+Cotizador!E38</f>
        <v>0</v>
      </c>
      <c r="BN6" s="7" t="e">
        <f>VLOOKUP(BM6,$AA$11:$AB$16,2,0)</f>
        <v>#N/A</v>
      </c>
      <c r="BQ6">
        <v>0</v>
      </c>
      <c r="BR6" s="26" t="e">
        <f>CH6+CJ6+CL6+CP6+CN6+CT6+CV6+CR6+CZ6+CX6+DB6+DD6+DH6+DF6+DJ6</f>
        <v>#N/A</v>
      </c>
      <c r="BS6" s="26" t="e">
        <f>CI6+CK6+CM6+CQ6+CO6+CU6+CW6+CS6+DA6+CY6+DC6+DE6+DI6+DG6+DK6</f>
        <v>#N/A</v>
      </c>
      <c r="BT6" s="26"/>
      <c r="BU6" s="29">
        <v>0</v>
      </c>
      <c r="BV6" s="26" t="e">
        <f t="shared" ref="BV6:BV37" si="2">BR6-CH6</f>
        <v>#N/A</v>
      </c>
      <c r="BW6" s="26" t="e">
        <f t="shared" ref="BW6:BW37" si="3">BS6-CI6</f>
        <v>#N/A</v>
      </c>
      <c r="BY6" s="29">
        <v>0</v>
      </c>
      <c r="BZ6" s="26" t="e">
        <f>CH6*$CA$2</f>
        <v>#N/A</v>
      </c>
      <c r="CA6" s="26" t="e">
        <f>CI6*$CA$2</f>
        <v>#N/A</v>
      </c>
      <c r="CC6" s="29">
        <v>0</v>
      </c>
      <c r="CD6" s="26" t="e">
        <f>BV6*$CA$2</f>
        <v>#N/A</v>
      </c>
      <c r="CE6" s="26" t="e">
        <f>BW6*$CA$2</f>
        <v>#N/A</v>
      </c>
      <c r="CF6" s="27"/>
      <c r="CG6">
        <v>0</v>
      </c>
      <c r="CH6" s="24" t="e">
        <f t="shared" ref="CH6:CH37" si="4">ROUND((H4*$BN$4*$BN$5*$BN$6*$BN$7*$BN$8*$BN$9),4)</f>
        <v>#N/A</v>
      </c>
      <c r="CI6" s="24" t="e">
        <f t="shared" ref="CI6:CI37" si="5">ROUND((I4*$BN$4*$BN$5*$BN$6*$BN$7*$BN$8*$BN$9),4)</f>
        <v>#N/A</v>
      </c>
      <c r="CJ6" s="27">
        <f>ROUND(IF($CK$1=1,CH6*$BI$7,0),4)</f>
        <v>0</v>
      </c>
      <c r="CK6" s="27">
        <f t="shared" ref="CK6:CK37" si="6">ROUND(IF($CK$1=1,CI6*$BI$7,0),4)</f>
        <v>0</v>
      </c>
      <c r="CL6" s="26">
        <f t="shared" ref="CL6:CL37" si="7">ROUND(IF($CM$1=1,((D4*$BN$4*$BN$5*$BN$7*$BN$8*$BN$9)/(1-$L$7))*$AJ$3,0),4)</f>
        <v>0</v>
      </c>
      <c r="CM6" s="26">
        <f t="shared" ref="CM6:CM37" si="8">ROUND(IF($CM$1=1,((E4*$BN$4*$BN$5*$BN$7*$BN$8*$BN$9)/(1-$L$7))*$AJ$3,0),4)</f>
        <v>0</v>
      </c>
      <c r="CN6" s="27">
        <f t="shared" ref="CN6:CN37" si="9">ROUND(IF($CO$1=1,((D4*$BN$4*$BN$5*$BN$6*$BN$8*$BN$9)/(1-$L$7))*$AJ$11,0),4)</f>
        <v>0</v>
      </c>
      <c r="CO6" s="27">
        <f t="shared" ref="CO6:CO37" si="10">ROUND(IF($CO$1=1,((E4*$BN$4*$BN$5*$BN$6*$BN$8*$BN$9)/(1-$L$7))*$AJ$11,0),4)</f>
        <v>0</v>
      </c>
      <c r="CP6" s="27">
        <f t="shared" ref="CP6:CP37" si="11">ROUND(IF($CQ$1=1,CH6*$AJ$7,0),4)</f>
        <v>0</v>
      </c>
      <c r="CQ6" s="27">
        <f t="shared" ref="CQ6:CQ37" si="12">ROUND(IF($CQ$1=1,CI6*$AJ$7,0),4)</f>
        <v>0</v>
      </c>
      <c r="CR6" s="24">
        <f t="shared" ref="CR6:CR37" si="13">ROUND(IF($CS$1=1,((D4*$CS$2*$BN$4*$BN$5)/(1-$L$7)),0),4)</f>
        <v>0</v>
      </c>
      <c r="CS6" s="24">
        <f t="shared" ref="CS6:CS37" si="14">ROUND(IF($CS$1=1,((E4*$CS$2*$BN$4*$BN$5)/(1-$L$7)),0),4)</f>
        <v>0</v>
      </c>
      <c r="CT6">
        <v>0</v>
      </c>
      <c r="CU6">
        <v>0</v>
      </c>
      <c r="CV6" s="27">
        <f t="shared" ref="CV6:CV37" si="15">ROUND(IF($CW$1=1,(D4*$BN$5*$BN$6*$BN$7*$BN$8*$BN$9*$CW$2)/(1-$L$7),0),4)</f>
        <v>0</v>
      </c>
      <c r="CW6" s="27">
        <f t="shared" ref="CW6:CW37" si="16">ROUND(IF($CW$1=1,(E4*$BN$5*$BN$6*$BN$7*$BN$8*$BN$9*$CW$2)/(1-$L$7),0),4)</f>
        <v>0</v>
      </c>
      <c r="CX6" s="27">
        <f t="shared" ref="CX6:CX37" si="17">ROUND(IF($CY$1=1,(D4*$BN$4*$BN$5*$BI$3)/(1-$L$7),0),4)</f>
        <v>0</v>
      </c>
      <c r="CY6" s="27">
        <f t="shared" ref="CY6:CY37" si="18">ROUND(IF($CY$1=1,(E4*$BN$4*$BN$5*$BI$3)/(1-$L$7),0),4)</f>
        <v>0</v>
      </c>
      <c r="CZ6" s="24">
        <f t="shared" ref="CZ6:CZ37" si="19">ROUND(IF($DA$1=1,(D4*$AW$3)/(1-$L$7),0),4)</f>
        <v>0</v>
      </c>
      <c r="DA6" s="24">
        <f t="shared" ref="DA6:DA37" si="20">ROUND(IF($DA$1=1,(E4*$AW$3)/(1-$L$7),0),4)</f>
        <v>0</v>
      </c>
      <c r="DB6" s="27">
        <f t="shared" ref="DB6:DB37" si="21">ROUND(IF($DC$1=1,CH6*$AW$7,0),4)</f>
        <v>0</v>
      </c>
      <c r="DC6" s="27">
        <f t="shared" ref="DC6:DC37" si="22">ROUND(IF($DC$1=1,CI6*$AW$7,0),4)</f>
        <v>0</v>
      </c>
      <c r="DD6" s="27">
        <f t="shared" ref="DD6:DD37" si="23">ROUND(IF($DE$1=1,(D4*$BN$4*$BN$5*$BN$7*$BN$8*$BN$9*$DE$2)/(1-$L$7),0),4)</f>
        <v>0</v>
      </c>
      <c r="DE6" s="27">
        <f t="shared" ref="DE6:DE37" si="24">ROUND(IF($DE$1=1,(E4*$BN$4*$BN$5*$BN$7*$BN$8*$BN$9*$DE$2)/(1-$L$7),0),4)</f>
        <v>0</v>
      </c>
      <c r="DF6" s="24">
        <f t="shared" ref="DF6:DF37" si="25">ROUND(IF($DG$1=1,((D4*$BN$4*$BN$5*$BN$6*$BN$9)/(1-$L$7))*$BC$7,0),4)</f>
        <v>0</v>
      </c>
      <c r="DG6" s="24">
        <f t="shared" ref="DG6:DG37" si="26">ROUND(IF($DG$1=1,((E4*$BN$4*$BN$5*$BN$6*$BN$9)/(1-$L$7))*$BC$7,0),4)</f>
        <v>0</v>
      </c>
      <c r="DH6" s="24">
        <f t="shared" ref="DH6:DH37" si="27">ROUND(IF($DI$1=1,(D4*$BC$3)/(1-$L$7),0),4)</f>
        <v>0</v>
      </c>
      <c r="DI6" s="24">
        <f t="shared" ref="DI6:DI37" si="28">ROUND(IF($DI$1=1,(E4*$BC$3)/(1-$L$7),0),4)</f>
        <v>0</v>
      </c>
      <c r="DJ6" s="24">
        <v>0</v>
      </c>
      <c r="DK6" s="24">
        <v>0</v>
      </c>
      <c r="DP6" s="27"/>
      <c r="DQ6" s="27"/>
      <c r="DR6" s="27">
        <f t="shared" ref="DR6:DR37" si="29">+CV6</f>
        <v>0</v>
      </c>
      <c r="DS6" s="27">
        <f t="shared" ref="DS6:DS37" si="30">+CW6</f>
        <v>0</v>
      </c>
      <c r="DT6" s="27">
        <f t="shared" ref="DT6:DT37" si="31">ROUND(IF($DS$1=1,CH6*$DS$2,0),4)</f>
        <v>0</v>
      </c>
      <c r="DU6" s="27">
        <f t="shared" ref="DU6:DU37" si="32">ROUND(IF($DS$1=1,CI6*$DS$2,0),4)</f>
        <v>0</v>
      </c>
      <c r="DV6" s="27">
        <f>DR6-DT6</f>
        <v>0</v>
      </c>
      <c r="DW6" s="27">
        <f>DS6-DU6</f>
        <v>0</v>
      </c>
      <c r="DX6" s="27">
        <f t="shared" ref="DX6:DX37" si="33">ROUND(IF($DY$1=1,(D4*$BN$5*$BN$7*$BN$8*$BN$9*$DY$2)/(1-$L$7),0),4)</f>
        <v>0</v>
      </c>
      <c r="DY6" s="27">
        <f t="shared" ref="DY6:DY37" si="34">ROUND(IF($DY$1=1,(E4*$BN$5*$BN$7*$BN$8*$BN$9*$DY$2)/(1-$L$7),0),4)</f>
        <v>0</v>
      </c>
      <c r="DZ6" s="27">
        <f t="shared" ref="DZ6:DZ37" si="35">DD6</f>
        <v>0</v>
      </c>
      <c r="EA6" s="27">
        <f t="shared" ref="EA6:EA37" si="36">DE6</f>
        <v>0</v>
      </c>
      <c r="EB6" s="27">
        <f>DX6-DZ6</f>
        <v>0</v>
      </c>
      <c r="EC6" s="27">
        <f>DY6-EA6</f>
        <v>0</v>
      </c>
    </row>
    <row r="7" spans="1:133" x14ac:dyDescent="0.35">
      <c r="A7" s="385"/>
      <c r="C7" s="31">
        <v>3</v>
      </c>
      <c r="D7" s="32">
        <v>6549.81</v>
      </c>
      <c r="E7" s="32">
        <v>6601.04</v>
      </c>
      <c r="F7" s="72"/>
      <c r="G7" s="31">
        <v>3</v>
      </c>
      <c r="H7" s="73">
        <v>11696.09</v>
      </c>
      <c r="I7" s="73">
        <v>11787.57</v>
      </c>
      <c r="K7" s="33" t="s">
        <v>13</v>
      </c>
      <c r="L7" s="34">
        <f>SUM(L4:L6)</f>
        <v>0.44</v>
      </c>
      <c r="N7" s="35">
        <v>30000000</v>
      </c>
      <c r="O7" s="37">
        <v>1</v>
      </c>
      <c r="Q7" s="35">
        <v>25000</v>
      </c>
      <c r="R7" s="36">
        <v>0.63100000000000001</v>
      </c>
      <c r="T7" s="42">
        <v>0.25</v>
      </c>
      <c r="U7" s="36">
        <v>0.86699999999999999</v>
      </c>
      <c r="W7" s="40" t="s">
        <v>18</v>
      </c>
      <c r="X7" s="40">
        <v>2</v>
      </c>
      <c r="Y7" s="41">
        <f t="shared" si="0"/>
        <v>0.52</v>
      </c>
      <c r="AD7" s="40" t="s">
        <v>299</v>
      </c>
      <c r="AE7" s="41">
        <v>5.5E-2</v>
      </c>
      <c r="AF7" s="40">
        <v>6</v>
      </c>
      <c r="AH7" s="386"/>
      <c r="AJ7" s="44">
        <v>6.5901162329252111E-2</v>
      </c>
      <c r="AN7" s="40">
        <v>3</v>
      </c>
      <c r="AO7" s="46">
        <v>0</v>
      </c>
      <c r="AQ7" s="40" t="s">
        <v>18</v>
      </c>
      <c r="AR7" s="40">
        <v>2</v>
      </c>
      <c r="AS7" s="49">
        <f t="shared" si="1"/>
        <v>0.09</v>
      </c>
      <c r="AT7" s="50"/>
      <c r="AW7" s="44">
        <v>5.2014232103080003E-2</v>
      </c>
      <c r="AY7" s="40" t="s">
        <v>18</v>
      </c>
      <c r="AZ7" s="40">
        <v>1</v>
      </c>
      <c r="BA7" s="40">
        <v>0.95299999999999996</v>
      </c>
      <c r="BC7" s="44">
        <v>1.5949890335401617E-2</v>
      </c>
      <c r="BE7" s="40">
        <v>21</v>
      </c>
      <c r="BF7" s="40">
        <v>0.55600000000000005</v>
      </c>
      <c r="BG7" s="40">
        <v>0.66500000000000004</v>
      </c>
      <c r="BI7" s="38">
        <v>7.4999999999999997E-2</v>
      </c>
      <c r="BJ7" s="386"/>
      <c r="BL7" s="6" t="s">
        <v>6</v>
      </c>
      <c r="BM7" s="19">
        <f>+Cotizador!E39</f>
        <v>0</v>
      </c>
      <c r="BN7" s="7" t="e">
        <f>VLOOKUP(BM7,$N$4:$O$9,2,0)</f>
        <v>#N/A</v>
      </c>
      <c r="BQ7">
        <v>1</v>
      </c>
      <c r="BR7" s="26" t="e">
        <f t="shared" ref="BR7:BR70" si="37">CH7+CJ7+CL7+CP7+CN7+CT7+CV7+CR7+CZ7+CX7+DB7+DD7+DH7+DF7+DJ7</f>
        <v>#N/A</v>
      </c>
      <c r="BS7" s="26" t="e">
        <f t="shared" ref="BS7:BS70" si="38">CI7+CK7+CM7+CQ7+CO7+CU7+CW7+CS7+DA7+CY7+DC7+DE7+DI7+DG7+DK7</f>
        <v>#N/A</v>
      </c>
      <c r="BT7" s="26"/>
      <c r="BU7" s="29">
        <v>1</v>
      </c>
      <c r="BV7" s="26" t="e">
        <f t="shared" si="2"/>
        <v>#N/A</v>
      </c>
      <c r="BW7" s="26" t="e">
        <f t="shared" si="3"/>
        <v>#N/A</v>
      </c>
      <c r="BY7" s="29">
        <v>1</v>
      </c>
      <c r="BZ7" s="26" t="e">
        <f t="shared" ref="BZ7:BZ70" si="39">CH7*$CA$2</f>
        <v>#N/A</v>
      </c>
      <c r="CA7" s="26" t="e">
        <f t="shared" ref="CA7:CA70" si="40">CI7*$CA$2</f>
        <v>#N/A</v>
      </c>
      <c r="CC7" s="29">
        <v>1</v>
      </c>
      <c r="CD7" s="26" t="e">
        <f t="shared" ref="CD7:CD70" si="41">BV7*$CA$2</f>
        <v>#N/A</v>
      </c>
      <c r="CE7" s="26" t="e">
        <f t="shared" ref="CE7:CE70" si="42">BW7*$CA$2</f>
        <v>#N/A</v>
      </c>
      <c r="CG7">
        <v>1</v>
      </c>
      <c r="CH7" s="24" t="e">
        <f t="shared" si="4"/>
        <v>#N/A</v>
      </c>
      <c r="CI7" s="24" t="e">
        <f t="shared" si="5"/>
        <v>#N/A</v>
      </c>
      <c r="CJ7" s="27">
        <f t="shared" ref="CJ7:CJ37" si="43">ROUND(IF($CK$1=1,CH7*$BI$7,0),4)</f>
        <v>0</v>
      </c>
      <c r="CK7" s="27">
        <f t="shared" si="6"/>
        <v>0</v>
      </c>
      <c r="CL7" s="26">
        <f t="shared" si="7"/>
        <v>0</v>
      </c>
      <c r="CM7" s="26">
        <f t="shared" si="8"/>
        <v>0</v>
      </c>
      <c r="CN7" s="27">
        <f t="shared" si="9"/>
        <v>0</v>
      </c>
      <c r="CO7" s="27">
        <f t="shared" si="10"/>
        <v>0</v>
      </c>
      <c r="CP7" s="27">
        <f t="shared" si="11"/>
        <v>0</v>
      </c>
      <c r="CQ7" s="27">
        <f t="shared" si="12"/>
        <v>0</v>
      </c>
      <c r="CR7" s="24">
        <f t="shared" si="13"/>
        <v>0</v>
      </c>
      <c r="CS7" s="24">
        <f t="shared" si="14"/>
        <v>0</v>
      </c>
      <c r="CT7">
        <v>0</v>
      </c>
      <c r="CU7">
        <v>0</v>
      </c>
      <c r="CV7" s="27">
        <f t="shared" si="15"/>
        <v>0</v>
      </c>
      <c r="CW7" s="27">
        <f t="shared" si="16"/>
        <v>0</v>
      </c>
      <c r="CX7" s="27">
        <f t="shared" si="17"/>
        <v>0</v>
      </c>
      <c r="CY7" s="27">
        <f t="shared" si="18"/>
        <v>0</v>
      </c>
      <c r="CZ7" s="24">
        <f t="shared" si="19"/>
        <v>0</v>
      </c>
      <c r="DA7" s="24">
        <f t="shared" si="20"/>
        <v>0</v>
      </c>
      <c r="DB7" s="27">
        <f t="shared" si="21"/>
        <v>0</v>
      </c>
      <c r="DC7" s="27">
        <f t="shared" si="22"/>
        <v>0</v>
      </c>
      <c r="DD7" s="27">
        <f t="shared" si="23"/>
        <v>0</v>
      </c>
      <c r="DE7" s="27">
        <f t="shared" si="24"/>
        <v>0</v>
      </c>
      <c r="DF7" s="24">
        <f t="shared" si="25"/>
        <v>0</v>
      </c>
      <c r="DG7" s="24">
        <f t="shared" si="26"/>
        <v>0</v>
      </c>
      <c r="DH7" s="24">
        <f t="shared" si="27"/>
        <v>0</v>
      </c>
      <c r="DI7" s="24">
        <f t="shared" si="28"/>
        <v>0</v>
      </c>
      <c r="DJ7" s="24">
        <v>0</v>
      </c>
      <c r="DK7" s="24">
        <v>0</v>
      </c>
      <c r="DP7" s="27"/>
      <c r="DQ7" s="27"/>
      <c r="DR7" s="27">
        <f t="shared" si="29"/>
        <v>0</v>
      </c>
      <c r="DS7" s="27">
        <f t="shared" si="30"/>
        <v>0</v>
      </c>
      <c r="DT7" s="27">
        <f t="shared" si="31"/>
        <v>0</v>
      </c>
      <c r="DU7" s="27">
        <f t="shared" si="32"/>
        <v>0</v>
      </c>
      <c r="DV7" s="27">
        <f t="shared" ref="DV7:DV70" si="44">DR7-DT7</f>
        <v>0</v>
      </c>
      <c r="DW7" s="27">
        <f t="shared" ref="DW7:DW70" si="45">DS7-DU7</f>
        <v>0</v>
      </c>
      <c r="DX7" s="27">
        <f t="shared" si="33"/>
        <v>0</v>
      </c>
      <c r="DY7" s="27">
        <f t="shared" si="34"/>
        <v>0</v>
      </c>
      <c r="DZ7" s="27">
        <f t="shared" si="35"/>
        <v>0</v>
      </c>
      <c r="EA7" s="27">
        <f t="shared" si="36"/>
        <v>0</v>
      </c>
      <c r="EB7" s="27">
        <f t="shared" ref="EB7:EB70" si="46">DX7-DZ7</f>
        <v>0</v>
      </c>
      <c r="EC7" s="27">
        <f t="shared" ref="EC7:EC70" si="47">DY7-EA7</f>
        <v>0</v>
      </c>
    </row>
    <row r="8" spans="1:133" x14ac:dyDescent="0.35">
      <c r="A8" s="385"/>
      <c r="C8" s="31">
        <v>4</v>
      </c>
      <c r="D8" s="32">
        <v>6555.26</v>
      </c>
      <c r="E8" s="32">
        <v>6609.76</v>
      </c>
      <c r="F8" s="72"/>
      <c r="G8" s="31">
        <v>4</v>
      </c>
      <c r="H8" s="73">
        <v>11705.82</v>
      </c>
      <c r="I8" s="73">
        <v>11803.14</v>
      </c>
      <c r="N8" s="35">
        <v>50000000</v>
      </c>
      <c r="O8" s="37">
        <v>1.0169999999999999</v>
      </c>
      <c r="Q8" s="35">
        <v>30000</v>
      </c>
      <c r="R8" s="36">
        <v>0.54600000000000004</v>
      </c>
      <c r="T8" s="42">
        <v>0.3</v>
      </c>
      <c r="U8" s="36">
        <v>0.83299999999999996</v>
      </c>
      <c r="W8" s="40" t="s">
        <v>21</v>
      </c>
      <c r="X8" s="40">
        <v>2</v>
      </c>
      <c r="Y8" s="41">
        <f t="shared" si="0"/>
        <v>0.52</v>
      </c>
      <c r="AD8" s="40" t="s">
        <v>70</v>
      </c>
      <c r="AE8" s="41">
        <v>6.5000000000000002E-2</v>
      </c>
      <c r="AF8" s="40">
        <v>12</v>
      </c>
      <c r="AH8" s="386"/>
      <c r="AN8" s="40">
        <v>4</v>
      </c>
      <c r="AO8" s="46">
        <v>0</v>
      </c>
      <c r="AQ8" s="40" t="s">
        <v>21</v>
      </c>
      <c r="AR8" s="40">
        <v>2</v>
      </c>
      <c r="AS8" s="49">
        <f t="shared" si="1"/>
        <v>0.09</v>
      </c>
      <c r="AT8" s="50"/>
      <c r="AY8" s="40" t="s">
        <v>21</v>
      </c>
      <c r="AZ8" s="40">
        <v>1</v>
      </c>
      <c r="BA8" s="40">
        <v>0.95299999999999996</v>
      </c>
      <c r="BE8" s="40">
        <v>22</v>
      </c>
      <c r="BF8" s="40">
        <v>0.57699999999999996</v>
      </c>
      <c r="BG8" s="40">
        <v>0.74399999999999999</v>
      </c>
      <c r="BJ8" s="386"/>
      <c r="BL8" s="6" t="s">
        <v>7</v>
      </c>
      <c r="BM8" s="19">
        <f>+Cotizador!E40</f>
        <v>0</v>
      </c>
      <c r="BN8" s="7" t="e">
        <f>VLOOKUP(BM8,$Q$4:$R$14,2,0)</f>
        <v>#N/A</v>
      </c>
      <c r="BQ8">
        <v>2</v>
      </c>
      <c r="BR8" s="26" t="e">
        <f t="shared" si="37"/>
        <v>#N/A</v>
      </c>
      <c r="BS8" s="26" t="e">
        <f t="shared" si="38"/>
        <v>#N/A</v>
      </c>
      <c r="BT8" s="26"/>
      <c r="BU8" s="29">
        <v>2</v>
      </c>
      <c r="BV8" s="26" t="e">
        <f t="shared" si="2"/>
        <v>#N/A</v>
      </c>
      <c r="BW8" s="26" t="e">
        <f t="shared" si="3"/>
        <v>#N/A</v>
      </c>
      <c r="BY8" s="29">
        <v>2</v>
      </c>
      <c r="BZ8" s="26" t="e">
        <f t="shared" si="39"/>
        <v>#N/A</v>
      </c>
      <c r="CA8" s="26" t="e">
        <f t="shared" si="40"/>
        <v>#N/A</v>
      </c>
      <c r="CC8" s="29">
        <v>2</v>
      </c>
      <c r="CD8" s="26" t="e">
        <f t="shared" si="41"/>
        <v>#N/A</v>
      </c>
      <c r="CE8" s="26" t="e">
        <f t="shared" si="42"/>
        <v>#N/A</v>
      </c>
      <c r="CG8">
        <v>2</v>
      </c>
      <c r="CH8" s="24" t="e">
        <f t="shared" si="4"/>
        <v>#N/A</v>
      </c>
      <c r="CI8" s="24" t="e">
        <f t="shared" si="5"/>
        <v>#N/A</v>
      </c>
      <c r="CJ8" s="27">
        <f t="shared" si="43"/>
        <v>0</v>
      </c>
      <c r="CK8" s="27">
        <f t="shared" si="6"/>
        <v>0</v>
      </c>
      <c r="CL8" s="26">
        <f t="shared" si="7"/>
        <v>0</v>
      </c>
      <c r="CM8" s="26">
        <f t="shared" si="8"/>
        <v>0</v>
      </c>
      <c r="CN8" s="27">
        <f t="shared" si="9"/>
        <v>0</v>
      </c>
      <c r="CO8" s="27">
        <f t="shared" si="10"/>
        <v>0</v>
      </c>
      <c r="CP8" s="27">
        <f t="shared" si="11"/>
        <v>0</v>
      </c>
      <c r="CQ8" s="27">
        <f t="shared" si="12"/>
        <v>0</v>
      </c>
      <c r="CR8" s="24">
        <f t="shared" si="13"/>
        <v>0</v>
      </c>
      <c r="CS8" s="24">
        <f t="shared" si="14"/>
        <v>0</v>
      </c>
      <c r="CT8">
        <v>0</v>
      </c>
      <c r="CU8">
        <v>0</v>
      </c>
      <c r="CV8" s="27">
        <f t="shared" si="15"/>
        <v>0</v>
      </c>
      <c r="CW8" s="27">
        <f t="shared" si="16"/>
        <v>0</v>
      </c>
      <c r="CX8" s="27">
        <f t="shared" si="17"/>
        <v>0</v>
      </c>
      <c r="CY8" s="27">
        <f t="shared" si="18"/>
        <v>0</v>
      </c>
      <c r="CZ8" s="24">
        <f t="shared" si="19"/>
        <v>0</v>
      </c>
      <c r="DA8" s="24">
        <f t="shared" si="20"/>
        <v>0</v>
      </c>
      <c r="DB8" s="27">
        <f t="shared" si="21"/>
        <v>0</v>
      </c>
      <c r="DC8" s="27">
        <f t="shared" si="22"/>
        <v>0</v>
      </c>
      <c r="DD8" s="27">
        <f t="shared" si="23"/>
        <v>0</v>
      </c>
      <c r="DE8" s="27">
        <f t="shared" si="24"/>
        <v>0</v>
      </c>
      <c r="DF8" s="24">
        <f t="shared" si="25"/>
        <v>0</v>
      </c>
      <c r="DG8" s="24">
        <f t="shared" si="26"/>
        <v>0</v>
      </c>
      <c r="DH8" s="24">
        <f t="shared" si="27"/>
        <v>0</v>
      </c>
      <c r="DI8" s="24">
        <f t="shared" si="28"/>
        <v>0</v>
      </c>
      <c r="DJ8" s="24">
        <v>0</v>
      </c>
      <c r="DK8" s="24">
        <v>0</v>
      </c>
      <c r="DP8" s="27"/>
      <c r="DQ8" s="27"/>
      <c r="DR8" s="27">
        <f t="shared" si="29"/>
        <v>0</v>
      </c>
      <c r="DS8" s="27">
        <f t="shared" si="30"/>
        <v>0</v>
      </c>
      <c r="DT8" s="27">
        <f t="shared" si="31"/>
        <v>0</v>
      </c>
      <c r="DU8" s="27">
        <f t="shared" si="32"/>
        <v>0</v>
      </c>
      <c r="DV8" s="27">
        <f t="shared" si="44"/>
        <v>0</v>
      </c>
      <c r="DW8" s="27">
        <f t="shared" si="45"/>
        <v>0</v>
      </c>
      <c r="DX8" s="27">
        <f t="shared" si="33"/>
        <v>0</v>
      </c>
      <c r="DY8" s="27">
        <f t="shared" si="34"/>
        <v>0</v>
      </c>
      <c r="DZ8" s="27">
        <f t="shared" si="35"/>
        <v>0</v>
      </c>
      <c r="EA8" s="27">
        <f t="shared" si="36"/>
        <v>0</v>
      </c>
      <c r="EB8" s="27">
        <f t="shared" si="46"/>
        <v>0</v>
      </c>
      <c r="EC8" s="27">
        <f t="shared" si="47"/>
        <v>0</v>
      </c>
    </row>
    <row r="9" spans="1:133" x14ac:dyDescent="0.35">
      <c r="A9" s="385"/>
      <c r="C9" s="31">
        <v>5</v>
      </c>
      <c r="D9" s="32">
        <v>6560.71</v>
      </c>
      <c r="E9" s="32">
        <v>6618.48</v>
      </c>
      <c r="F9" s="72"/>
      <c r="G9" s="31">
        <v>5</v>
      </c>
      <c r="H9" s="73">
        <v>11715.55</v>
      </c>
      <c r="I9" s="73">
        <v>11818.71</v>
      </c>
      <c r="N9" s="35">
        <v>125000000</v>
      </c>
      <c r="O9" s="37">
        <v>1.0329999999999999</v>
      </c>
      <c r="Q9" s="35">
        <v>35000</v>
      </c>
      <c r="R9" s="36">
        <v>0.47</v>
      </c>
      <c r="W9" s="40" t="s">
        <v>22</v>
      </c>
      <c r="X9" s="40">
        <v>2</v>
      </c>
      <c r="Y9" s="41">
        <f t="shared" si="0"/>
        <v>0.52</v>
      </c>
      <c r="AA9" s="369" t="s">
        <v>124</v>
      </c>
      <c r="AB9" s="369"/>
      <c r="AH9" s="386"/>
      <c r="AN9" s="40">
        <v>5</v>
      </c>
      <c r="AO9" s="46">
        <v>0</v>
      </c>
      <c r="AQ9" s="40" t="s">
        <v>22</v>
      </c>
      <c r="AR9" s="40">
        <v>2</v>
      </c>
      <c r="AS9" s="49">
        <f t="shared" si="1"/>
        <v>0.09</v>
      </c>
      <c r="AT9" s="50"/>
      <c r="AY9" s="40" t="s">
        <v>22</v>
      </c>
      <c r="AZ9" s="40">
        <v>1</v>
      </c>
      <c r="BA9" s="40">
        <v>0.95299999999999996</v>
      </c>
      <c r="BE9" s="40">
        <v>23</v>
      </c>
      <c r="BF9" s="40">
        <v>0.59499999999999997</v>
      </c>
      <c r="BG9" s="40">
        <v>0.81499999999999995</v>
      </c>
      <c r="BJ9" s="386"/>
      <c r="BL9" s="6" t="s">
        <v>8</v>
      </c>
      <c r="BM9" s="20">
        <f>+Cotizador!E41</f>
        <v>0</v>
      </c>
      <c r="BN9" s="7" t="e">
        <f>VLOOKUP(BM9,$T$4:$U$8,2,0)</f>
        <v>#N/A</v>
      </c>
      <c r="BQ9">
        <v>3</v>
      </c>
      <c r="BR9" s="26" t="e">
        <f t="shared" si="37"/>
        <v>#N/A</v>
      </c>
      <c r="BS9" s="26" t="e">
        <f t="shared" si="38"/>
        <v>#N/A</v>
      </c>
      <c r="BT9" s="26"/>
      <c r="BU9" s="29">
        <v>3</v>
      </c>
      <c r="BV9" s="26" t="e">
        <f t="shared" si="2"/>
        <v>#N/A</v>
      </c>
      <c r="BW9" s="26" t="e">
        <f t="shared" si="3"/>
        <v>#N/A</v>
      </c>
      <c r="BY9" s="29">
        <v>3</v>
      </c>
      <c r="BZ9" s="26" t="e">
        <f t="shared" si="39"/>
        <v>#N/A</v>
      </c>
      <c r="CA9" s="26" t="e">
        <f t="shared" si="40"/>
        <v>#N/A</v>
      </c>
      <c r="CC9" s="29">
        <v>3</v>
      </c>
      <c r="CD9" s="26" t="e">
        <f t="shared" si="41"/>
        <v>#N/A</v>
      </c>
      <c r="CE9" s="26" t="e">
        <f t="shared" si="42"/>
        <v>#N/A</v>
      </c>
      <c r="CG9">
        <v>3</v>
      </c>
      <c r="CH9" s="24" t="e">
        <f t="shared" si="4"/>
        <v>#N/A</v>
      </c>
      <c r="CI9" s="24" t="e">
        <f t="shared" si="5"/>
        <v>#N/A</v>
      </c>
      <c r="CJ9" s="27">
        <f t="shared" si="43"/>
        <v>0</v>
      </c>
      <c r="CK9" s="27">
        <f t="shared" si="6"/>
        <v>0</v>
      </c>
      <c r="CL9" s="26">
        <f t="shared" si="7"/>
        <v>0</v>
      </c>
      <c r="CM9" s="26">
        <f t="shared" si="8"/>
        <v>0</v>
      </c>
      <c r="CN9" s="27">
        <f t="shared" si="9"/>
        <v>0</v>
      </c>
      <c r="CO9" s="27">
        <f t="shared" si="10"/>
        <v>0</v>
      </c>
      <c r="CP9" s="27">
        <f t="shared" si="11"/>
        <v>0</v>
      </c>
      <c r="CQ9" s="27">
        <f t="shared" si="12"/>
        <v>0</v>
      </c>
      <c r="CR9" s="24">
        <f t="shared" si="13"/>
        <v>0</v>
      </c>
      <c r="CS9" s="24">
        <f t="shared" si="14"/>
        <v>0</v>
      </c>
      <c r="CT9">
        <v>0</v>
      </c>
      <c r="CU9">
        <v>0</v>
      </c>
      <c r="CV9" s="27">
        <f t="shared" si="15"/>
        <v>0</v>
      </c>
      <c r="CW9" s="27">
        <f t="shared" si="16"/>
        <v>0</v>
      </c>
      <c r="CX9" s="27">
        <f t="shared" si="17"/>
        <v>0</v>
      </c>
      <c r="CY9" s="27">
        <f t="shared" si="18"/>
        <v>0</v>
      </c>
      <c r="CZ9" s="24">
        <f t="shared" si="19"/>
        <v>0</v>
      </c>
      <c r="DA9" s="24">
        <f t="shared" si="20"/>
        <v>0</v>
      </c>
      <c r="DB9" s="27">
        <f t="shared" si="21"/>
        <v>0</v>
      </c>
      <c r="DC9" s="27">
        <f t="shared" si="22"/>
        <v>0</v>
      </c>
      <c r="DD9" s="27">
        <f t="shared" si="23"/>
        <v>0</v>
      </c>
      <c r="DE9" s="27">
        <f t="shared" si="24"/>
        <v>0</v>
      </c>
      <c r="DF9" s="24">
        <f t="shared" si="25"/>
        <v>0</v>
      </c>
      <c r="DG9" s="24">
        <f t="shared" si="26"/>
        <v>0</v>
      </c>
      <c r="DH9" s="24">
        <f t="shared" si="27"/>
        <v>0</v>
      </c>
      <c r="DI9" s="24">
        <f t="shared" si="28"/>
        <v>0</v>
      </c>
      <c r="DJ9" s="24">
        <v>0</v>
      </c>
      <c r="DK9" s="24">
        <v>0</v>
      </c>
      <c r="DP9" s="27"/>
      <c r="DQ9" s="27"/>
      <c r="DR9" s="27">
        <f t="shared" si="29"/>
        <v>0</v>
      </c>
      <c r="DS9" s="27">
        <f t="shared" si="30"/>
        <v>0</v>
      </c>
      <c r="DT9" s="27">
        <f t="shared" si="31"/>
        <v>0</v>
      </c>
      <c r="DU9" s="27">
        <f t="shared" si="32"/>
        <v>0</v>
      </c>
      <c r="DV9" s="27">
        <f t="shared" si="44"/>
        <v>0</v>
      </c>
      <c r="DW9" s="27">
        <f t="shared" si="45"/>
        <v>0</v>
      </c>
      <c r="DX9" s="27">
        <f t="shared" si="33"/>
        <v>0</v>
      </c>
      <c r="DY9" s="27">
        <f t="shared" si="34"/>
        <v>0</v>
      </c>
      <c r="DZ9" s="27">
        <f t="shared" si="35"/>
        <v>0</v>
      </c>
      <c r="EA9" s="27">
        <f t="shared" si="36"/>
        <v>0</v>
      </c>
      <c r="EB9" s="27">
        <f t="shared" si="46"/>
        <v>0</v>
      </c>
      <c r="EC9" s="27">
        <f t="shared" si="47"/>
        <v>0</v>
      </c>
    </row>
    <row r="10" spans="1:133" x14ac:dyDescent="0.35">
      <c r="A10" s="385"/>
      <c r="C10" s="31">
        <v>6</v>
      </c>
      <c r="D10" s="32">
        <v>6574.88</v>
      </c>
      <c r="E10" s="32">
        <v>6627.2</v>
      </c>
      <c r="F10" s="72"/>
      <c r="G10" s="31">
        <v>6</v>
      </c>
      <c r="H10" s="73">
        <v>11740.86</v>
      </c>
      <c r="I10" s="73">
        <v>11834.29</v>
      </c>
      <c r="Q10" s="35">
        <v>40000</v>
      </c>
      <c r="R10" s="36">
        <v>0.39500000000000002</v>
      </c>
      <c r="W10" s="40" t="s">
        <v>3</v>
      </c>
      <c r="X10" s="40">
        <v>6</v>
      </c>
      <c r="Y10" s="41">
        <f t="shared" si="0"/>
        <v>1</v>
      </c>
      <c r="AA10" s="30" t="s">
        <v>107</v>
      </c>
      <c r="AB10" s="30" t="s">
        <v>102</v>
      </c>
      <c r="AH10" s="386"/>
      <c r="AJ10" s="23" t="s">
        <v>129</v>
      </c>
      <c r="AN10" s="40">
        <v>6</v>
      </c>
      <c r="AO10" s="46">
        <v>0</v>
      </c>
      <c r="AQ10" s="40" t="s">
        <v>3</v>
      </c>
      <c r="AR10" s="40">
        <v>6</v>
      </c>
      <c r="AS10" s="49">
        <f t="shared" si="1"/>
        <v>0</v>
      </c>
      <c r="AT10" s="50"/>
      <c r="AY10" s="40" t="s">
        <v>3</v>
      </c>
      <c r="AZ10" s="40">
        <v>2</v>
      </c>
      <c r="BA10" s="40">
        <v>0.47649999999999998</v>
      </c>
      <c r="BE10" s="40">
        <v>24</v>
      </c>
      <c r="BF10" s="40">
        <v>0.61599999999999999</v>
      </c>
      <c r="BG10" s="40">
        <v>0.88500000000000001</v>
      </c>
      <c r="BJ10" s="386"/>
      <c r="BQ10">
        <v>4</v>
      </c>
      <c r="BR10" s="26" t="e">
        <f t="shared" si="37"/>
        <v>#N/A</v>
      </c>
      <c r="BS10" s="26" t="e">
        <f t="shared" si="38"/>
        <v>#N/A</v>
      </c>
      <c r="BT10" s="26"/>
      <c r="BU10" s="29">
        <v>4</v>
      </c>
      <c r="BV10" s="26" t="e">
        <f t="shared" si="2"/>
        <v>#N/A</v>
      </c>
      <c r="BW10" s="26" t="e">
        <f t="shared" si="3"/>
        <v>#N/A</v>
      </c>
      <c r="BY10" s="29">
        <v>4</v>
      </c>
      <c r="BZ10" s="26" t="e">
        <f t="shared" si="39"/>
        <v>#N/A</v>
      </c>
      <c r="CA10" s="26" t="e">
        <f t="shared" si="40"/>
        <v>#N/A</v>
      </c>
      <c r="CC10" s="29">
        <v>4</v>
      </c>
      <c r="CD10" s="26" t="e">
        <f t="shared" si="41"/>
        <v>#N/A</v>
      </c>
      <c r="CE10" s="26" t="e">
        <f t="shared" si="42"/>
        <v>#N/A</v>
      </c>
      <c r="CG10">
        <v>4</v>
      </c>
      <c r="CH10" s="24" t="e">
        <f t="shared" si="4"/>
        <v>#N/A</v>
      </c>
      <c r="CI10" s="24" t="e">
        <f t="shared" si="5"/>
        <v>#N/A</v>
      </c>
      <c r="CJ10" s="27">
        <f t="shared" si="43"/>
        <v>0</v>
      </c>
      <c r="CK10" s="27">
        <f t="shared" si="6"/>
        <v>0</v>
      </c>
      <c r="CL10" s="26">
        <f t="shared" si="7"/>
        <v>0</v>
      </c>
      <c r="CM10" s="26">
        <f t="shared" si="8"/>
        <v>0</v>
      </c>
      <c r="CN10" s="27">
        <f t="shared" si="9"/>
        <v>0</v>
      </c>
      <c r="CO10" s="27">
        <f t="shared" si="10"/>
        <v>0</v>
      </c>
      <c r="CP10" s="27">
        <f t="shared" si="11"/>
        <v>0</v>
      </c>
      <c r="CQ10" s="27">
        <f t="shared" si="12"/>
        <v>0</v>
      </c>
      <c r="CR10" s="24">
        <f t="shared" si="13"/>
        <v>0</v>
      </c>
      <c r="CS10" s="24">
        <f t="shared" si="14"/>
        <v>0</v>
      </c>
      <c r="CT10">
        <v>0</v>
      </c>
      <c r="CU10">
        <v>0</v>
      </c>
      <c r="CV10" s="27">
        <f t="shared" si="15"/>
        <v>0</v>
      </c>
      <c r="CW10" s="27">
        <f t="shared" si="16"/>
        <v>0</v>
      </c>
      <c r="CX10" s="27">
        <f t="shared" si="17"/>
        <v>0</v>
      </c>
      <c r="CY10" s="27">
        <f t="shared" si="18"/>
        <v>0</v>
      </c>
      <c r="CZ10" s="24">
        <f t="shared" si="19"/>
        <v>0</v>
      </c>
      <c r="DA10" s="24">
        <f t="shared" si="20"/>
        <v>0</v>
      </c>
      <c r="DB10" s="27">
        <f t="shared" si="21"/>
        <v>0</v>
      </c>
      <c r="DC10" s="27">
        <f t="shared" si="22"/>
        <v>0</v>
      </c>
      <c r="DD10" s="27">
        <f t="shared" si="23"/>
        <v>0</v>
      </c>
      <c r="DE10" s="27">
        <f t="shared" si="24"/>
        <v>0</v>
      </c>
      <c r="DF10" s="24">
        <f t="shared" si="25"/>
        <v>0</v>
      </c>
      <c r="DG10" s="24">
        <f t="shared" si="26"/>
        <v>0</v>
      </c>
      <c r="DH10" s="24">
        <f t="shared" si="27"/>
        <v>0</v>
      </c>
      <c r="DI10" s="24">
        <f t="shared" si="28"/>
        <v>0</v>
      </c>
      <c r="DJ10" s="24">
        <v>0</v>
      </c>
      <c r="DK10" s="24">
        <v>0</v>
      </c>
      <c r="DP10" s="27"/>
      <c r="DQ10" s="27"/>
      <c r="DR10" s="27">
        <f t="shared" si="29"/>
        <v>0</v>
      </c>
      <c r="DS10" s="27">
        <f t="shared" si="30"/>
        <v>0</v>
      </c>
      <c r="DT10" s="27">
        <f t="shared" si="31"/>
        <v>0</v>
      </c>
      <c r="DU10" s="27">
        <f t="shared" si="32"/>
        <v>0</v>
      </c>
      <c r="DV10" s="27">
        <f t="shared" si="44"/>
        <v>0</v>
      </c>
      <c r="DW10" s="27">
        <f t="shared" si="45"/>
        <v>0</v>
      </c>
      <c r="DX10" s="27">
        <f t="shared" si="33"/>
        <v>0</v>
      </c>
      <c r="DY10" s="27">
        <f t="shared" si="34"/>
        <v>0</v>
      </c>
      <c r="DZ10" s="27">
        <f t="shared" si="35"/>
        <v>0</v>
      </c>
      <c r="EA10" s="27">
        <f t="shared" si="36"/>
        <v>0</v>
      </c>
      <c r="EB10" s="27">
        <f t="shared" si="46"/>
        <v>0</v>
      </c>
      <c r="EC10" s="27">
        <f t="shared" si="47"/>
        <v>0</v>
      </c>
    </row>
    <row r="11" spans="1:133" x14ac:dyDescent="0.35">
      <c r="A11" s="385"/>
      <c r="C11" s="31">
        <v>7</v>
      </c>
      <c r="D11" s="32">
        <v>6594.5</v>
      </c>
      <c r="E11" s="32">
        <v>6653.36</v>
      </c>
      <c r="F11" s="72"/>
      <c r="G11" s="31">
        <v>7</v>
      </c>
      <c r="H11" s="73">
        <v>11775.89</v>
      </c>
      <c r="I11" s="73">
        <v>11881</v>
      </c>
      <c r="Q11" s="35">
        <v>45000</v>
      </c>
      <c r="R11" s="36">
        <v>0.33300000000000002</v>
      </c>
      <c r="T11" s="369" t="s">
        <v>290</v>
      </c>
      <c r="U11" s="369"/>
      <c r="W11" s="40" t="s">
        <v>19</v>
      </c>
      <c r="X11" s="321">
        <v>1</v>
      </c>
      <c r="Y11" s="41">
        <f t="shared" si="0"/>
        <v>0.44</v>
      </c>
      <c r="AA11" s="40" t="s">
        <v>112</v>
      </c>
      <c r="AB11" s="49">
        <v>0.97099999999999997</v>
      </c>
      <c r="AC11" s="48"/>
      <c r="AH11" s="386"/>
      <c r="AJ11" s="44">
        <v>2.3782778207990334E-2</v>
      </c>
      <c r="AN11" s="40">
        <v>7</v>
      </c>
      <c r="AO11" s="46">
        <v>0</v>
      </c>
      <c r="AQ11" s="40" t="s">
        <v>19</v>
      </c>
      <c r="AR11" s="321">
        <v>1</v>
      </c>
      <c r="AS11" s="49">
        <f t="shared" si="1"/>
        <v>0.104</v>
      </c>
      <c r="AT11" s="50"/>
      <c r="AY11" s="40" t="s">
        <v>19</v>
      </c>
      <c r="AZ11" s="321">
        <v>1</v>
      </c>
      <c r="BA11" s="40">
        <v>0.95299999999999996</v>
      </c>
      <c r="BE11" s="40">
        <v>25</v>
      </c>
      <c r="BF11" s="40">
        <v>0.63700000000000001</v>
      </c>
      <c r="BG11" s="40">
        <v>0.95499999999999996</v>
      </c>
      <c r="BJ11" s="386"/>
      <c r="BL11" s="387" t="s">
        <v>143</v>
      </c>
      <c r="BM11" s="387"/>
      <c r="BQ11">
        <v>5</v>
      </c>
      <c r="BR11" s="26" t="e">
        <f t="shared" si="37"/>
        <v>#N/A</v>
      </c>
      <c r="BS11" s="26" t="e">
        <f t="shared" si="38"/>
        <v>#N/A</v>
      </c>
      <c r="BT11" s="26"/>
      <c r="BU11" s="29">
        <v>5</v>
      </c>
      <c r="BV11" s="26" t="e">
        <f t="shared" si="2"/>
        <v>#N/A</v>
      </c>
      <c r="BW11" s="26" t="e">
        <f t="shared" si="3"/>
        <v>#N/A</v>
      </c>
      <c r="BY11" s="29">
        <v>5</v>
      </c>
      <c r="BZ11" s="26" t="e">
        <f t="shared" si="39"/>
        <v>#N/A</v>
      </c>
      <c r="CA11" s="26" t="e">
        <f t="shared" si="40"/>
        <v>#N/A</v>
      </c>
      <c r="CC11" s="29">
        <v>5</v>
      </c>
      <c r="CD11" s="26" t="e">
        <f t="shared" si="41"/>
        <v>#N/A</v>
      </c>
      <c r="CE11" s="26" t="e">
        <f t="shared" si="42"/>
        <v>#N/A</v>
      </c>
      <c r="CG11">
        <v>5</v>
      </c>
      <c r="CH11" s="24" t="e">
        <f t="shared" si="4"/>
        <v>#N/A</v>
      </c>
      <c r="CI11" s="24" t="e">
        <f t="shared" si="5"/>
        <v>#N/A</v>
      </c>
      <c r="CJ11" s="27">
        <f t="shared" si="43"/>
        <v>0</v>
      </c>
      <c r="CK11" s="27">
        <f t="shared" si="6"/>
        <v>0</v>
      </c>
      <c r="CL11" s="26">
        <f t="shared" si="7"/>
        <v>0</v>
      </c>
      <c r="CM11" s="26">
        <f t="shared" si="8"/>
        <v>0</v>
      </c>
      <c r="CN11" s="27">
        <f t="shared" si="9"/>
        <v>0</v>
      </c>
      <c r="CO11" s="27">
        <f t="shared" si="10"/>
        <v>0</v>
      </c>
      <c r="CP11" s="27">
        <f t="shared" si="11"/>
        <v>0</v>
      </c>
      <c r="CQ11" s="27">
        <f t="shared" si="12"/>
        <v>0</v>
      </c>
      <c r="CR11" s="24">
        <f t="shared" si="13"/>
        <v>0</v>
      </c>
      <c r="CS11" s="24">
        <f t="shared" si="14"/>
        <v>0</v>
      </c>
      <c r="CT11">
        <v>0</v>
      </c>
      <c r="CU11">
        <v>0</v>
      </c>
      <c r="CV11" s="27">
        <f t="shared" si="15"/>
        <v>0</v>
      </c>
      <c r="CW11" s="27">
        <f t="shared" si="16"/>
        <v>0</v>
      </c>
      <c r="CX11" s="27">
        <f t="shared" si="17"/>
        <v>0</v>
      </c>
      <c r="CY11" s="27">
        <f t="shared" si="18"/>
        <v>0</v>
      </c>
      <c r="CZ11" s="24">
        <f t="shared" si="19"/>
        <v>0</v>
      </c>
      <c r="DA11" s="24">
        <f t="shared" si="20"/>
        <v>0</v>
      </c>
      <c r="DB11" s="27">
        <f t="shared" si="21"/>
        <v>0</v>
      </c>
      <c r="DC11" s="27">
        <f t="shared" si="22"/>
        <v>0</v>
      </c>
      <c r="DD11" s="27">
        <f t="shared" si="23"/>
        <v>0</v>
      </c>
      <c r="DE11" s="27">
        <f t="shared" si="24"/>
        <v>0</v>
      </c>
      <c r="DF11" s="24">
        <f t="shared" si="25"/>
        <v>0</v>
      </c>
      <c r="DG11" s="24">
        <f t="shared" si="26"/>
        <v>0</v>
      </c>
      <c r="DH11" s="24">
        <f t="shared" si="27"/>
        <v>0</v>
      </c>
      <c r="DI11" s="24">
        <f t="shared" si="28"/>
        <v>0</v>
      </c>
      <c r="DJ11" s="24">
        <v>0</v>
      </c>
      <c r="DK11" s="24">
        <v>0</v>
      </c>
      <c r="DP11" s="27"/>
      <c r="DQ11" s="27"/>
      <c r="DR11" s="27">
        <f t="shared" si="29"/>
        <v>0</v>
      </c>
      <c r="DS11" s="27">
        <f t="shared" si="30"/>
        <v>0</v>
      </c>
      <c r="DT11" s="27">
        <f t="shared" si="31"/>
        <v>0</v>
      </c>
      <c r="DU11" s="27">
        <f t="shared" si="32"/>
        <v>0</v>
      </c>
      <c r="DV11" s="27">
        <f t="shared" si="44"/>
        <v>0</v>
      </c>
      <c r="DW11" s="27">
        <f t="shared" si="45"/>
        <v>0</v>
      </c>
      <c r="DX11" s="27">
        <f t="shared" si="33"/>
        <v>0</v>
      </c>
      <c r="DY11" s="27">
        <f t="shared" si="34"/>
        <v>0</v>
      </c>
      <c r="DZ11" s="27">
        <f t="shared" si="35"/>
        <v>0</v>
      </c>
      <c r="EA11" s="27">
        <f t="shared" si="36"/>
        <v>0</v>
      </c>
      <c r="EB11" s="27">
        <f t="shared" si="46"/>
        <v>0</v>
      </c>
      <c r="EC11" s="27">
        <f t="shared" si="47"/>
        <v>0</v>
      </c>
    </row>
    <row r="12" spans="1:133" ht="15" thickBot="1" x14ac:dyDescent="0.4">
      <c r="A12" s="385"/>
      <c r="C12" s="31">
        <v>8</v>
      </c>
      <c r="D12" s="32">
        <v>6621.75</v>
      </c>
      <c r="E12" s="32">
        <v>6695.87</v>
      </c>
      <c r="F12" s="72"/>
      <c r="G12" s="31">
        <v>8</v>
      </c>
      <c r="H12" s="73">
        <v>11824.55</v>
      </c>
      <c r="I12" s="73">
        <v>11956.91</v>
      </c>
      <c r="Q12" s="35">
        <v>50000</v>
      </c>
      <c r="R12" s="47">
        <v>0.32600000000000001</v>
      </c>
      <c r="T12" s="30" t="s">
        <v>8</v>
      </c>
      <c r="U12" s="30" t="s">
        <v>291</v>
      </c>
      <c r="W12" s="40" t="s">
        <v>20</v>
      </c>
      <c r="X12" s="324">
        <v>1</v>
      </c>
      <c r="Y12" s="41">
        <f t="shared" si="0"/>
        <v>0.44</v>
      </c>
      <c r="AA12" s="40" t="s">
        <v>113</v>
      </c>
      <c r="AB12" s="49">
        <v>1</v>
      </c>
      <c r="AC12" s="48"/>
      <c r="AH12" s="386"/>
      <c r="AN12" s="40">
        <v>8</v>
      </c>
      <c r="AO12" s="46">
        <v>0</v>
      </c>
      <c r="AQ12" s="40" t="s">
        <v>20</v>
      </c>
      <c r="AR12" s="324">
        <v>1</v>
      </c>
      <c r="AS12" s="49">
        <f t="shared" si="1"/>
        <v>0.104</v>
      </c>
      <c r="AT12" s="50"/>
      <c r="AY12" s="40" t="s">
        <v>20</v>
      </c>
      <c r="AZ12" s="40">
        <v>2</v>
      </c>
      <c r="BA12" s="40">
        <v>0.47649999999999998</v>
      </c>
      <c r="BE12" s="40">
        <v>26</v>
      </c>
      <c r="BF12" s="40">
        <v>0.65700000000000003</v>
      </c>
      <c r="BG12" s="40">
        <v>1.026</v>
      </c>
      <c r="BJ12" s="386"/>
      <c r="BL12" s="21" t="s">
        <v>97</v>
      </c>
      <c r="BM12" t="str">
        <f>IF(Cotizador!J45=TRUE,"SI","NO")</f>
        <v>NO</v>
      </c>
      <c r="BQ12">
        <v>6</v>
      </c>
      <c r="BR12" s="26" t="e">
        <f t="shared" si="37"/>
        <v>#N/A</v>
      </c>
      <c r="BS12" s="26" t="e">
        <f t="shared" si="38"/>
        <v>#N/A</v>
      </c>
      <c r="BT12" s="26"/>
      <c r="BU12" s="29">
        <v>6</v>
      </c>
      <c r="BV12" s="26" t="e">
        <f t="shared" si="2"/>
        <v>#N/A</v>
      </c>
      <c r="BW12" s="26" t="e">
        <f t="shared" si="3"/>
        <v>#N/A</v>
      </c>
      <c r="BY12" s="29">
        <v>6</v>
      </c>
      <c r="BZ12" s="26" t="e">
        <f t="shared" si="39"/>
        <v>#N/A</v>
      </c>
      <c r="CA12" s="26" t="e">
        <f t="shared" si="40"/>
        <v>#N/A</v>
      </c>
      <c r="CC12" s="29">
        <v>6</v>
      </c>
      <c r="CD12" s="26" t="e">
        <f t="shared" si="41"/>
        <v>#N/A</v>
      </c>
      <c r="CE12" s="26" t="e">
        <f t="shared" si="42"/>
        <v>#N/A</v>
      </c>
      <c r="CG12">
        <v>6</v>
      </c>
      <c r="CH12" s="24" t="e">
        <f t="shared" si="4"/>
        <v>#N/A</v>
      </c>
      <c r="CI12" s="24" t="e">
        <f t="shared" si="5"/>
        <v>#N/A</v>
      </c>
      <c r="CJ12" s="27">
        <f t="shared" si="43"/>
        <v>0</v>
      </c>
      <c r="CK12" s="27">
        <f t="shared" si="6"/>
        <v>0</v>
      </c>
      <c r="CL12" s="26">
        <f t="shared" si="7"/>
        <v>0</v>
      </c>
      <c r="CM12" s="26">
        <f t="shared" si="8"/>
        <v>0</v>
      </c>
      <c r="CN12" s="27">
        <f t="shared" si="9"/>
        <v>0</v>
      </c>
      <c r="CO12" s="27">
        <f t="shared" si="10"/>
        <v>0</v>
      </c>
      <c r="CP12" s="27">
        <f t="shared" si="11"/>
        <v>0</v>
      </c>
      <c r="CQ12" s="27">
        <f t="shared" si="12"/>
        <v>0</v>
      </c>
      <c r="CR12" s="24">
        <f t="shared" si="13"/>
        <v>0</v>
      </c>
      <c r="CS12" s="24">
        <f t="shared" si="14"/>
        <v>0</v>
      </c>
      <c r="CT12">
        <v>0</v>
      </c>
      <c r="CU12">
        <v>0</v>
      </c>
      <c r="CV12" s="27">
        <f t="shared" si="15"/>
        <v>0</v>
      </c>
      <c r="CW12" s="27">
        <f t="shared" si="16"/>
        <v>0</v>
      </c>
      <c r="CX12" s="27">
        <f t="shared" si="17"/>
        <v>0</v>
      </c>
      <c r="CY12" s="27">
        <f t="shared" si="18"/>
        <v>0</v>
      </c>
      <c r="CZ12" s="24">
        <f t="shared" si="19"/>
        <v>0</v>
      </c>
      <c r="DA12" s="24">
        <f t="shared" si="20"/>
        <v>0</v>
      </c>
      <c r="DB12" s="27">
        <f t="shared" si="21"/>
        <v>0</v>
      </c>
      <c r="DC12" s="27">
        <f t="shared" si="22"/>
        <v>0</v>
      </c>
      <c r="DD12" s="27">
        <f t="shared" si="23"/>
        <v>0</v>
      </c>
      <c r="DE12" s="27">
        <f t="shared" si="24"/>
        <v>0</v>
      </c>
      <c r="DF12" s="24">
        <f t="shared" si="25"/>
        <v>0</v>
      </c>
      <c r="DG12" s="24">
        <f t="shared" si="26"/>
        <v>0</v>
      </c>
      <c r="DH12" s="24">
        <f t="shared" si="27"/>
        <v>0</v>
      </c>
      <c r="DI12" s="24">
        <f t="shared" si="28"/>
        <v>0</v>
      </c>
      <c r="DJ12" s="24">
        <v>0</v>
      </c>
      <c r="DK12" s="24">
        <v>0</v>
      </c>
      <c r="DP12" s="27"/>
      <c r="DQ12" s="27"/>
      <c r="DR12" s="27">
        <f t="shared" si="29"/>
        <v>0</v>
      </c>
      <c r="DS12" s="27">
        <f t="shared" si="30"/>
        <v>0</v>
      </c>
      <c r="DT12" s="27">
        <f t="shared" si="31"/>
        <v>0</v>
      </c>
      <c r="DU12" s="27">
        <f t="shared" si="32"/>
        <v>0</v>
      </c>
      <c r="DV12" s="27">
        <f t="shared" si="44"/>
        <v>0</v>
      </c>
      <c r="DW12" s="27">
        <f t="shared" si="45"/>
        <v>0</v>
      </c>
      <c r="DX12" s="27">
        <f t="shared" si="33"/>
        <v>0</v>
      </c>
      <c r="DY12" s="27">
        <f t="shared" si="34"/>
        <v>0</v>
      </c>
      <c r="DZ12" s="27">
        <f t="shared" si="35"/>
        <v>0</v>
      </c>
      <c r="EA12" s="27">
        <f t="shared" si="36"/>
        <v>0</v>
      </c>
      <c r="EB12" s="27">
        <f t="shared" si="46"/>
        <v>0</v>
      </c>
      <c r="EC12" s="27">
        <f t="shared" si="47"/>
        <v>0</v>
      </c>
    </row>
    <row r="13" spans="1:133" ht="15" thickBot="1" x14ac:dyDescent="0.4">
      <c r="A13" s="385"/>
      <c r="C13" s="31">
        <v>9</v>
      </c>
      <c r="D13" s="32">
        <v>6655.54</v>
      </c>
      <c r="E13" s="32">
        <v>6751.46</v>
      </c>
      <c r="F13" s="72"/>
      <c r="G13" s="31">
        <v>9</v>
      </c>
      <c r="H13" s="73">
        <v>11884.89</v>
      </c>
      <c r="I13" s="73">
        <v>12056.18</v>
      </c>
      <c r="Q13" s="35">
        <v>75000</v>
      </c>
      <c r="R13" s="47">
        <v>0.32100000000000001</v>
      </c>
      <c r="T13" s="42">
        <v>0.1</v>
      </c>
      <c r="U13" s="332">
        <v>40000</v>
      </c>
      <c r="W13" s="40" t="s">
        <v>243</v>
      </c>
      <c r="X13" s="40">
        <v>2</v>
      </c>
      <c r="Y13" s="41">
        <f t="shared" si="0"/>
        <v>0.52</v>
      </c>
      <c r="AA13" s="40" t="s">
        <v>114</v>
      </c>
      <c r="AB13" s="49">
        <v>1.0589999999999999</v>
      </c>
      <c r="AC13" s="48"/>
      <c r="AH13" s="386"/>
      <c r="AJ13" s="369" t="s">
        <v>297</v>
      </c>
      <c r="AK13" s="369"/>
      <c r="AN13" s="40">
        <v>9</v>
      </c>
      <c r="AO13" s="46">
        <v>0</v>
      </c>
      <c r="AQ13" s="40" t="s">
        <v>243</v>
      </c>
      <c r="AR13" s="40">
        <v>2</v>
      </c>
      <c r="AS13" s="49">
        <f t="shared" si="1"/>
        <v>0.09</v>
      </c>
      <c r="AT13" s="50"/>
      <c r="AU13" s="391" t="s">
        <v>133</v>
      </c>
      <c r="AV13" s="392"/>
      <c r="AY13" s="40" t="s">
        <v>243</v>
      </c>
      <c r="AZ13" s="40">
        <v>2</v>
      </c>
      <c r="BA13" s="40">
        <v>0.47649999999999998</v>
      </c>
      <c r="BE13" s="40">
        <v>27</v>
      </c>
      <c r="BF13" s="40">
        <v>0.66700000000000004</v>
      </c>
      <c r="BG13" s="40">
        <v>1.0840000000000001</v>
      </c>
      <c r="BJ13" s="386"/>
      <c r="BL13" s="21" t="s">
        <v>55</v>
      </c>
      <c r="BM13" t="str">
        <f>IF(Cotizador!J46=TRUE,"SI","NO")</f>
        <v>NO</v>
      </c>
      <c r="BQ13">
        <v>7</v>
      </c>
      <c r="BR13" s="26" t="e">
        <f t="shared" si="37"/>
        <v>#N/A</v>
      </c>
      <c r="BS13" s="26" t="e">
        <f t="shared" si="38"/>
        <v>#N/A</v>
      </c>
      <c r="BT13" s="26"/>
      <c r="BU13" s="29">
        <v>7</v>
      </c>
      <c r="BV13" s="26" t="e">
        <f t="shared" si="2"/>
        <v>#N/A</v>
      </c>
      <c r="BW13" s="26" t="e">
        <f t="shared" si="3"/>
        <v>#N/A</v>
      </c>
      <c r="BY13" s="29">
        <v>7</v>
      </c>
      <c r="BZ13" s="26" t="e">
        <f t="shared" si="39"/>
        <v>#N/A</v>
      </c>
      <c r="CA13" s="26" t="e">
        <f t="shared" si="40"/>
        <v>#N/A</v>
      </c>
      <c r="CC13" s="29">
        <v>7</v>
      </c>
      <c r="CD13" s="26" t="e">
        <f t="shared" si="41"/>
        <v>#N/A</v>
      </c>
      <c r="CE13" s="26" t="e">
        <f t="shared" si="42"/>
        <v>#N/A</v>
      </c>
      <c r="CG13">
        <v>7</v>
      </c>
      <c r="CH13" s="24" t="e">
        <f t="shared" si="4"/>
        <v>#N/A</v>
      </c>
      <c r="CI13" s="24" t="e">
        <f t="shared" si="5"/>
        <v>#N/A</v>
      </c>
      <c r="CJ13" s="27">
        <f t="shared" si="43"/>
        <v>0</v>
      </c>
      <c r="CK13" s="27">
        <f t="shared" si="6"/>
        <v>0</v>
      </c>
      <c r="CL13" s="26">
        <f t="shared" si="7"/>
        <v>0</v>
      </c>
      <c r="CM13" s="26">
        <f t="shared" si="8"/>
        <v>0</v>
      </c>
      <c r="CN13" s="27">
        <f t="shared" si="9"/>
        <v>0</v>
      </c>
      <c r="CO13" s="27">
        <f t="shared" si="10"/>
        <v>0</v>
      </c>
      <c r="CP13" s="27">
        <f t="shared" si="11"/>
        <v>0</v>
      </c>
      <c r="CQ13" s="27">
        <f t="shared" si="12"/>
        <v>0</v>
      </c>
      <c r="CR13" s="24">
        <f t="shared" si="13"/>
        <v>0</v>
      </c>
      <c r="CS13" s="24">
        <f t="shared" si="14"/>
        <v>0</v>
      </c>
      <c r="CT13">
        <v>0</v>
      </c>
      <c r="CU13">
        <v>0</v>
      </c>
      <c r="CV13" s="27">
        <f t="shared" si="15"/>
        <v>0</v>
      </c>
      <c r="CW13" s="27">
        <f t="shared" si="16"/>
        <v>0</v>
      </c>
      <c r="CX13" s="27">
        <f t="shared" si="17"/>
        <v>0</v>
      </c>
      <c r="CY13" s="27">
        <f t="shared" si="18"/>
        <v>0</v>
      </c>
      <c r="CZ13" s="24">
        <f t="shared" si="19"/>
        <v>0</v>
      </c>
      <c r="DA13" s="24">
        <f t="shared" si="20"/>
        <v>0</v>
      </c>
      <c r="DB13" s="27">
        <f t="shared" si="21"/>
        <v>0</v>
      </c>
      <c r="DC13" s="27">
        <f t="shared" si="22"/>
        <v>0</v>
      </c>
      <c r="DD13" s="27">
        <f t="shared" si="23"/>
        <v>0</v>
      </c>
      <c r="DE13" s="27">
        <f t="shared" si="24"/>
        <v>0</v>
      </c>
      <c r="DF13" s="24">
        <f t="shared" si="25"/>
        <v>0</v>
      </c>
      <c r="DG13" s="24">
        <f t="shared" si="26"/>
        <v>0</v>
      </c>
      <c r="DH13" s="24">
        <f t="shared" si="27"/>
        <v>0</v>
      </c>
      <c r="DI13" s="24">
        <f t="shared" si="28"/>
        <v>0</v>
      </c>
      <c r="DJ13" s="24">
        <v>0</v>
      </c>
      <c r="DK13" s="24">
        <v>0</v>
      </c>
      <c r="DP13" s="27"/>
      <c r="DQ13" s="27"/>
      <c r="DR13" s="27">
        <f t="shared" si="29"/>
        <v>0</v>
      </c>
      <c r="DS13" s="27">
        <f t="shared" si="30"/>
        <v>0</v>
      </c>
      <c r="DT13" s="27">
        <f t="shared" si="31"/>
        <v>0</v>
      </c>
      <c r="DU13" s="27">
        <f t="shared" si="32"/>
        <v>0</v>
      </c>
      <c r="DV13" s="27">
        <f t="shared" si="44"/>
        <v>0</v>
      </c>
      <c r="DW13" s="27">
        <f t="shared" si="45"/>
        <v>0</v>
      </c>
      <c r="DX13" s="27">
        <f t="shared" si="33"/>
        <v>0</v>
      </c>
      <c r="DY13" s="27">
        <f t="shared" si="34"/>
        <v>0</v>
      </c>
      <c r="DZ13" s="27">
        <f t="shared" si="35"/>
        <v>0</v>
      </c>
      <c r="EA13" s="27">
        <f t="shared" si="36"/>
        <v>0</v>
      </c>
      <c r="EB13" s="27">
        <f t="shared" si="46"/>
        <v>0</v>
      </c>
      <c r="EC13" s="27">
        <f t="shared" si="47"/>
        <v>0</v>
      </c>
    </row>
    <row r="14" spans="1:133" ht="15" thickBot="1" x14ac:dyDescent="0.4">
      <c r="A14" s="385"/>
      <c r="C14" s="31">
        <v>10</v>
      </c>
      <c r="D14" s="32">
        <v>6695.87</v>
      </c>
      <c r="E14" s="32">
        <v>6821.22</v>
      </c>
      <c r="F14" s="72"/>
      <c r="G14" s="31">
        <v>10</v>
      </c>
      <c r="H14" s="73">
        <v>11956.91</v>
      </c>
      <c r="I14" s="73">
        <v>12180.75</v>
      </c>
      <c r="Q14" s="35">
        <v>100000</v>
      </c>
      <c r="R14" s="47">
        <v>0.30299999999999999</v>
      </c>
      <c r="T14" s="42">
        <v>0.15</v>
      </c>
      <c r="U14" s="332">
        <v>50000</v>
      </c>
      <c r="W14" s="40" t="s">
        <v>245</v>
      </c>
      <c r="X14" s="40">
        <v>6</v>
      </c>
      <c r="Y14" s="41">
        <f t="shared" si="0"/>
        <v>1</v>
      </c>
      <c r="AA14" s="40" t="s">
        <v>115</v>
      </c>
      <c r="AB14" s="49">
        <v>1.0880000000000001</v>
      </c>
      <c r="AC14" s="48"/>
      <c r="AH14" s="386"/>
      <c r="AJ14" s="30" t="s">
        <v>7</v>
      </c>
      <c r="AK14" s="30" t="s">
        <v>14</v>
      </c>
      <c r="AN14" s="40">
        <v>10</v>
      </c>
      <c r="AO14" s="46">
        <v>0</v>
      </c>
      <c r="AQ14" s="40" t="s">
        <v>245</v>
      </c>
      <c r="AR14" s="40">
        <v>6</v>
      </c>
      <c r="AS14" s="49">
        <f t="shared" si="1"/>
        <v>0</v>
      </c>
      <c r="AT14" s="50"/>
      <c r="AU14" s="52" t="s">
        <v>10</v>
      </c>
      <c r="AV14" s="53" t="s">
        <v>160</v>
      </c>
      <c r="AY14" s="40" t="s">
        <v>245</v>
      </c>
      <c r="AZ14" s="40">
        <v>2</v>
      </c>
      <c r="BA14" s="40">
        <v>0.47649999999999998</v>
      </c>
      <c r="BE14" s="40">
        <v>28</v>
      </c>
      <c r="BF14" s="40">
        <v>0.68700000000000006</v>
      </c>
      <c r="BG14" s="40">
        <v>1.155</v>
      </c>
      <c r="BJ14" s="386"/>
      <c r="BL14" s="21" t="s">
        <v>62</v>
      </c>
      <c r="BM14" t="str">
        <f>IF(Cotizador!J47=TRUE,"SI","NO")</f>
        <v>NO</v>
      </c>
      <c r="BQ14">
        <v>8</v>
      </c>
      <c r="BR14" s="26" t="e">
        <f t="shared" si="37"/>
        <v>#N/A</v>
      </c>
      <c r="BS14" s="26" t="e">
        <f t="shared" si="38"/>
        <v>#N/A</v>
      </c>
      <c r="BT14" s="26"/>
      <c r="BU14" s="29">
        <v>8</v>
      </c>
      <c r="BV14" s="26" t="e">
        <f t="shared" si="2"/>
        <v>#N/A</v>
      </c>
      <c r="BW14" s="26" t="e">
        <f t="shared" si="3"/>
        <v>#N/A</v>
      </c>
      <c r="BY14" s="29">
        <v>8</v>
      </c>
      <c r="BZ14" s="26" t="e">
        <f t="shared" si="39"/>
        <v>#N/A</v>
      </c>
      <c r="CA14" s="26" t="e">
        <f t="shared" si="40"/>
        <v>#N/A</v>
      </c>
      <c r="CC14" s="29">
        <v>8</v>
      </c>
      <c r="CD14" s="26" t="e">
        <f t="shared" si="41"/>
        <v>#N/A</v>
      </c>
      <c r="CE14" s="26" t="e">
        <f t="shared" si="42"/>
        <v>#N/A</v>
      </c>
      <c r="CG14">
        <v>8</v>
      </c>
      <c r="CH14" s="24" t="e">
        <f t="shared" si="4"/>
        <v>#N/A</v>
      </c>
      <c r="CI14" s="24" t="e">
        <f t="shared" si="5"/>
        <v>#N/A</v>
      </c>
      <c r="CJ14" s="27">
        <f t="shared" si="43"/>
        <v>0</v>
      </c>
      <c r="CK14" s="27">
        <f t="shared" si="6"/>
        <v>0</v>
      </c>
      <c r="CL14" s="26">
        <f t="shared" si="7"/>
        <v>0</v>
      </c>
      <c r="CM14" s="26">
        <f t="shared" si="8"/>
        <v>0</v>
      </c>
      <c r="CN14" s="27">
        <f t="shared" si="9"/>
        <v>0</v>
      </c>
      <c r="CO14" s="27">
        <f t="shared" si="10"/>
        <v>0</v>
      </c>
      <c r="CP14" s="27">
        <f t="shared" si="11"/>
        <v>0</v>
      </c>
      <c r="CQ14" s="27">
        <f t="shared" si="12"/>
        <v>0</v>
      </c>
      <c r="CR14" s="24">
        <f t="shared" si="13"/>
        <v>0</v>
      </c>
      <c r="CS14" s="24">
        <f t="shared" si="14"/>
        <v>0</v>
      </c>
      <c r="CT14">
        <v>0</v>
      </c>
      <c r="CU14">
        <v>0</v>
      </c>
      <c r="CV14" s="27">
        <f t="shared" si="15"/>
        <v>0</v>
      </c>
      <c r="CW14" s="27">
        <f t="shared" si="16"/>
        <v>0</v>
      </c>
      <c r="CX14" s="27">
        <f t="shared" si="17"/>
        <v>0</v>
      </c>
      <c r="CY14" s="27">
        <f t="shared" si="18"/>
        <v>0</v>
      </c>
      <c r="CZ14" s="24">
        <f t="shared" si="19"/>
        <v>0</v>
      </c>
      <c r="DA14" s="24">
        <f t="shared" si="20"/>
        <v>0</v>
      </c>
      <c r="DB14" s="27">
        <f t="shared" si="21"/>
        <v>0</v>
      </c>
      <c r="DC14" s="27">
        <f t="shared" si="22"/>
        <v>0</v>
      </c>
      <c r="DD14" s="27">
        <f t="shared" si="23"/>
        <v>0</v>
      </c>
      <c r="DE14" s="27">
        <f t="shared" si="24"/>
        <v>0</v>
      </c>
      <c r="DF14" s="24">
        <f t="shared" si="25"/>
        <v>0</v>
      </c>
      <c r="DG14" s="24">
        <f t="shared" si="26"/>
        <v>0</v>
      </c>
      <c r="DH14" s="24">
        <f t="shared" si="27"/>
        <v>0</v>
      </c>
      <c r="DI14" s="24">
        <f t="shared" si="28"/>
        <v>0</v>
      </c>
      <c r="DJ14" s="24">
        <v>0</v>
      </c>
      <c r="DK14" s="24">
        <v>0</v>
      </c>
      <c r="DP14" s="27"/>
      <c r="DQ14" s="27"/>
      <c r="DR14" s="27">
        <f t="shared" si="29"/>
        <v>0</v>
      </c>
      <c r="DS14" s="27">
        <f t="shared" si="30"/>
        <v>0</v>
      </c>
      <c r="DT14" s="27">
        <f t="shared" si="31"/>
        <v>0</v>
      </c>
      <c r="DU14" s="27">
        <f t="shared" si="32"/>
        <v>0</v>
      </c>
      <c r="DV14" s="27">
        <f t="shared" si="44"/>
        <v>0</v>
      </c>
      <c r="DW14" s="27">
        <f t="shared" si="45"/>
        <v>0</v>
      </c>
      <c r="DX14" s="27">
        <f t="shared" si="33"/>
        <v>0</v>
      </c>
      <c r="DY14" s="27">
        <f t="shared" si="34"/>
        <v>0</v>
      </c>
      <c r="DZ14" s="27">
        <f t="shared" si="35"/>
        <v>0</v>
      </c>
      <c r="EA14" s="27">
        <f t="shared" si="36"/>
        <v>0</v>
      </c>
      <c r="EB14" s="27">
        <f t="shared" si="46"/>
        <v>0</v>
      </c>
      <c r="EC14" s="27">
        <f t="shared" si="47"/>
        <v>0</v>
      </c>
    </row>
    <row r="15" spans="1:133" x14ac:dyDescent="0.35">
      <c r="A15" s="385"/>
      <c r="C15" s="31">
        <v>11</v>
      </c>
      <c r="D15" s="32">
        <v>6741.65</v>
      </c>
      <c r="E15" s="32">
        <v>6900.79</v>
      </c>
      <c r="F15" s="72"/>
      <c r="G15" s="31">
        <v>11</v>
      </c>
      <c r="H15" s="73">
        <v>12038.66</v>
      </c>
      <c r="I15" s="73">
        <v>12322.84</v>
      </c>
      <c r="T15" s="42">
        <v>0.2</v>
      </c>
      <c r="U15" s="332">
        <v>60000</v>
      </c>
      <c r="W15" s="40" t="s">
        <v>23</v>
      </c>
      <c r="X15" s="324">
        <v>1</v>
      </c>
      <c r="Y15" s="41">
        <f t="shared" si="0"/>
        <v>0.44</v>
      </c>
      <c r="AA15" s="40" t="s">
        <v>116</v>
      </c>
      <c r="AB15" s="49">
        <v>1.147</v>
      </c>
      <c r="AC15" s="48"/>
      <c r="AH15" s="386"/>
      <c r="AJ15" s="360">
        <v>500000</v>
      </c>
      <c r="AK15" s="361">
        <v>0.28100000000000003</v>
      </c>
      <c r="AN15" s="40">
        <v>11</v>
      </c>
      <c r="AO15" s="46">
        <v>0</v>
      </c>
      <c r="AQ15" s="40" t="s">
        <v>23</v>
      </c>
      <c r="AR15" s="324">
        <v>1</v>
      </c>
      <c r="AS15" s="49">
        <f t="shared" si="1"/>
        <v>0.104</v>
      </c>
      <c r="AT15" s="50"/>
      <c r="AU15" s="54">
        <v>10000</v>
      </c>
      <c r="AV15" s="55">
        <v>4.8899999999999999E-2</v>
      </c>
      <c r="AY15" s="40" t="s">
        <v>23</v>
      </c>
      <c r="AZ15" s="40">
        <v>2</v>
      </c>
      <c r="BA15" s="40">
        <v>0.47649999999999998</v>
      </c>
      <c r="BE15" s="40">
        <v>29</v>
      </c>
      <c r="BF15" s="40">
        <v>0.70799999999999996</v>
      </c>
      <c r="BG15" s="40">
        <v>1.2150000000000001</v>
      </c>
      <c r="BJ15" s="386"/>
      <c r="BL15" s="21" t="s">
        <v>59</v>
      </c>
      <c r="BM15" t="str">
        <f>IF(Cotizador!J48=TRUE,"SI","NO")</f>
        <v>NO</v>
      </c>
      <c r="BQ15">
        <v>9</v>
      </c>
      <c r="BR15" s="26" t="e">
        <f t="shared" si="37"/>
        <v>#N/A</v>
      </c>
      <c r="BS15" s="26" t="e">
        <f t="shared" si="38"/>
        <v>#N/A</v>
      </c>
      <c r="BT15" s="26"/>
      <c r="BU15" s="29">
        <v>9</v>
      </c>
      <c r="BV15" s="26" t="e">
        <f t="shared" si="2"/>
        <v>#N/A</v>
      </c>
      <c r="BW15" s="26" t="e">
        <f t="shared" si="3"/>
        <v>#N/A</v>
      </c>
      <c r="BY15" s="29">
        <v>9</v>
      </c>
      <c r="BZ15" s="26" t="e">
        <f t="shared" si="39"/>
        <v>#N/A</v>
      </c>
      <c r="CA15" s="26" t="e">
        <f t="shared" si="40"/>
        <v>#N/A</v>
      </c>
      <c r="CC15" s="29">
        <v>9</v>
      </c>
      <c r="CD15" s="26" t="e">
        <f t="shared" si="41"/>
        <v>#N/A</v>
      </c>
      <c r="CE15" s="26" t="e">
        <f t="shared" si="42"/>
        <v>#N/A</v>
      </c>
      <c r="CG15">
        <v>9</v>
      </c>
      <c r="CH15" s="24" t="e">
        <f t="shared" si="4"/>
        <v>#N/A</v>
      </c>
      <c r="CI15" s="24" t="e">
        <f t="shared" si="5"/>
        <v>#N/A</v>
      </c>
      <c r="CJ15" s="27">
        <f t="shared" si="43"/>
        <v>0</v>
      </c>
      <c r="CK15" s="27">
        <f t="shared" si="6"/>
        <v>0</v>
      </c>
      <c r="CL15" s="26">
        <f t="shared" si="7"/>
        <v>0</v>
      </c>
      <c r="CM15" s="26">
        <f t="shared" si="8"/>
        <v>0</v>
      </c>
      <c r="CN15" s="27">
        <f t="shared" si="9"/>
        <v>0</v>
      </c>
      <c r="CO15" s="27">
        <f t="shared" si="10"/>
        <v>0</v>
      </c>
      <c r="CP15" s="27">
        <f t="shared" si="11"/>
        <v>0</v>
      </c>
      <c r="CQ15" s="27">
        <f t="shared" si="12"/>
        <v>0</v>
      </c>
      <c r="CR15" s="24">
        <f t="shared" si="13"/>
        <v>0</v>
      </c>
      <c r="CS15" s="24">
        <f t="shared" si="14"/>
        <v>0</v>
      </c>
      <c r="CT15">
        <v>0</v>
      </c>
      <c r="CU15">
        <v>0</v>
      </c>
      <c r="CV15" s="27">
        <f t="shared" si="15"/>
        <v>0</v>
      </c>
      <c r="CW15" s="27">
        <f t="shared" si="16"/>
        <v>0</v>
      </c>
      <c r="CX15" s="27">
        <f t="shared" si="17"/>
        <v>0</v>
      </c>
      <c r="CY15" s="27">
        <f t="shared" si="18"/>
        <v>0</v>
      </c>
      <c r="CZ15" s="24">
        <f t="shared" si="19"/>
        <v>0</v>
      </c>
      <c r="DA15" s="24">
        <f t="shared" si="20"/>
        <v>0</v>
      </c>
      <c r="DB15" s="27">
        <f t="shared" si="21"/>
        <v>0</v>
      </c>
      <c r="DC15" s="27">
        <f t="shared" si="22"/>
        <v>0</v>
      </c>
      <c r="DD15" s="27">
        <f t="shared" si="23"/>
        <v>0</v>
      </c>
      <c r="DE15" s="27">
        <f t="shared" si="24"/>
        <v>0</v>
      </c>
      <c r="DF15" s="24">
        <f t="shared" si="25"/>
        <v>0</v>
      </c>
      <c r="DG15" s="24">
        <f t="shared" si="26"/>
        <v>0</v>
      </c>
      <c r="DH15" s="24">
        <f t="shared" si="27"/>
        <v>0</v>
      </c>
      <c r="DI15" s="24">
        <f t="shared" si="28"/>
        <v>0</v>
      </c>
      <c r="DJ15" s="24">
        <v>0</v>
      </c>
      <c r="DK15" s="24">
        <v>0</v>
      </c>
      <c r="DP15" s="27"/>
      <c r="DQ15" s="27"/>
      <c r="DR15" s="27">
        <f t="shared" si="29"/>
        <v>0</v>
      </c>
      <c r="DS15" s="27">
        <f t="shared" si="30"/>
        <v>0</v>
      </c>
      <c r="DT15" s="27">
        <f t="shared" si="31"/>
        <v>0</v>
      </c>
      <c r="DU15" s="27">
        <f t="shared" si="32"/>
        <v>0</v>
      </c>
      <c r="DV15" s="27">
        <f t="shared" si="44"/>
        <v>0</v>
      </c>
      <c r="DW15" s="27">
        <f t="shared" si="45"/>
        <v>0</v>
      </c>
      <c r="DX15" s="27">
        <f t="shared" si="33"/>
        <v>0</v>
      </c>
      <c r="DY15" s="27">
        <f t="shared" si="34"/>
        <v>0</v>
      </c>
      <c r="DZ15" s="27">
        <f t="shared" si="35"/>
        <v>0</v>
      </c>
      <c r="EA15" s="27">
        <f t="shared" si="36"/>
        <v>0</v>
      </c>
      <c r="EB15" s="27">
        <f t="shared" si="46"/>
        <v>0</v>
      </c>
      <c r="EC15" s="27">
        <f t="shared" si="47"/>
        <v>0</v>
      </c>
    </row>
    <row r="16" spans="1:133" x14ac:dyDescent="0.35">
      <c r="A16" s="385"/>
      <c r="C16" s="31">
        <v>12</v>
      </c>
      <c r="D16" s="32">
        <v>6791.79</v>
      </c>
      <c r="E16" s="32">
        <v>6991.26</v>
      </c>
      <c r="F16" s="72"/>
      <c r="G16" s="31">
        <v>12</v>
      </c>
      <c r="H16" s="73">
        <v>12128.2</v>
      </c>
      <c r="I16" s="73">
        <v>12484.39</v>
      </c>
      <c r="T16" s="42">
        <v>0.25</v>
      </c>
      <c r="U16" s="332">
        <v>70000</v>
      </c>
      <c r="W16" s="40" t="s">
        <v>24</v>
      </c>
      <c r="X16" s="40">
        <v>3</v>
      </c>
      <c r="Y16" s="41">
        <f t="shared" si="0"/>
        <v>0.62</v>
      </c>
      <c r="AA16" s="40" t="s">
        <v>117</v>
      </c>
      <c r="AB16" s="49">
        <v>1.1759999999999999</v>
      </c>
      <c r="AC16" s="48"/>
      <c r="AH16" s="386"/>
      <c r="AJ16" s="360">
        <v>1000000</v>
      </c>
      <c r="AK16" s="361">
        <v>0.17799999999999999</v>
      </c>
      <c r="AN16" s="40">
        <v>12</v>
      </c>
      <c r="AO16" s="46">
        <v>0</v>
      </c>
      <c r="AQ16" s="40" t="s">
        <v>24</v>
      </c>
      <c r="AR16" s="40">
        <v>3</v>
      </c>
      <c r="AS16" s="49">
        <f t="shared" si="1"/>
        <v>6.9000000000000006E-2</v>
      </c>
      <c r="AT16" s="50"/>
      <c r="AU16" s="54">
        <v>15000</v>
      </c>
      <c r="AV16" s="55">
        <v>7.3300000000000004E-2</v>
      </c>
      <c r="AY16" s="40" t="s">
        <v>24</v>
      </c>
      <c r="AZ16" s="40">
        <v>2</v>
      </c>
      <c r="BA16" s="40">
        <v>0.47649999999999998</v>
      </c>
      <c r="BE16" s="40">
        <v>30</v>
      </c>
      <c r="BF16" s="40">
        <v>0.80700000000000005</v>
      </c>
      <c r="BG16" s="40">
        <v>1.335</v>
      </c>
      <c r="BJ16" s="386"/>
      <c r="BL16" s="21" t="s">
        <v>56</v>
      </c>
      <c r="BM16" t="str">
        <f>IF(Cotizador!J49=TRUE,"SI","NO")</f>
        <v>NO</v>
      </c>
      <c r="BQ16">
        <v>10</v>
      </c>
      <c r="BR16" s="26" t="e">
        <f t="shared" si="37"/>
        <v>#N/A</v>
      </c>
      <c r="BS16" s="26" t="e">
        <f t="shared" si="38"/>
        <v>#N/A</v>
      </c>
      <c r="BT16" s="26"/>
      <c r="BU16" s="29">
        <v>10</v>
      </c>
      <c r="BV16" s="26" t="e">
        <f t="shared" si="2"/>
        <v>#N/A</v>
      </c>
      <c r="BW16" s="26" t="e">
        <f t="shared" si="3"/>
        <v>#N/A</v>
      </c>
      <c r="BY16" s="29">
        <v>10</v>
      </c>
      <c r="BZ16" s="26" t="e">
        <f t="shared" si="39"/>
        <v>#N/A</v>
      </c>
      <c r="CA16" s="26" t="e">
        <f t="shared" si="40"/>
        <v>#N/A</v>
      </c>
      <c r="CC16" s="29">
        <v>10</v>
      </c>
      <c r="CD16" s="26" t="e">
        <f t="shared" si="41"/>
        <v>#N/A</v>
      </c>
      <c r="CE16" s="26" t="e">
        <f t="shared" si="42"/>
        <v>#N/A</v>
      </c>
      <c r="CG16">
        <v>10</v>
      </c>
      <c r="CH16" s="24" t="e">
        <f t="shared" si="4"/>
        <v>#N/A</v>
      </c>
      <c r="CI16" s="24" t="e">
        <f t="shared" si="5"/>
        <v>#N/A</v>
      </c>
      <c r="CJ16" s="27">
        <f t="shared" si="43"/>
        <v>0</v>
      </c>
      <c r="CK16" s="27">
        <f t="shared" si="6"/>
        <v>0</v>
      </c>
      <c r="CL16" s="26">
        <f t="shared" si="7"/>
        <v>0</v>
      </c>
      <c r="CM16" s="26">
        <f t="shared" si="8"/>
        <v>0</v>
      </c>
      <c r="CN16" s="27">
        <f t="shared" si="9"/>
        <v>0</v>
      </c>
      <c r="CO16" s="27">
        <f t="shared" si="10"/>
        <v>0</v>
      </c>
      <c r="CP16" s="27">
        <f t="shared" si="11"/>
        <v>0</v>
      </c>
      <c r="CQ16" s="27">
        <f t="shared" si="12"/>
        <v>0</v>
      </c>
      <c r="CR16" s="24">
        <f t="shared" si="13"/>
        <v>0</v>
      </c>
      <c r="CS16" s="24">
        <f t="shared" si="14"/>
        <v>0</v>
      </c>
      <c r="CT16">
        <v>0</v>
      </c>
      <c r="CU16">
        <v>0</v>
      </c>
      <c r="CV16" s="27">
        <f t="shared" si="15"/>
        <v>0</v>
      </c>
      <c r="CW16" s="27">
        <f t="shared" si="16"/>
        <v>0</v>
      </c>
      <c r="CX16" s="27">
        <f t="shared" si="17"/>
        <v>0</v>
      </c>
      <c r="CY16" s="27">
        <f t="shared" si="18"/>
        <v>0</v>
      </c>
      <c r="CZ16" s="24">
        <f t="shared" si="19"/>
        <v>0</v>
      </c>
      <c r="DA16" s="24">
        <f t="shared" si="20"/>
        <v>0</v>
      </c>
      <c r="DB16" s="27">
        <f t="shared" si="21"/>
        <v>0</v>
      </c>
      <c r="DC16" s="27">
        <f t="shared" si="22"/>
        <v>0</v>
      </c>
      <c r="DD16" s="27">
        <f t="shared" si="23"/>
        <v>0</v>
      </c>
      <c r="DE16" s="27">
        <f t="shared" si="24"/>
        <v>0</v>
      </c>
      <c r="DF16" s="24">
        <f t="shared" si="25"/>
        <v>0</v>
      </c>
      <c r="DG16" s="24">
        <f t="shared" si="26"/>
        <v>0</v>
      </c>
      <c r="DH16" s="24">
        <f t="shared" si="27"/>
        <v>0</v>
      </c>
      <c r="DI16" s="24">
        <f t="shared" si="28"/>
        <v>0</v>
      </c>
      <c r="DJ16" s="24">
        <v>0</v>
      </c>
      <c r="DK16" s="24">
        <v>0</v>
      </c>
      <c r="DP16" s="27"/>
      <c r="DQ16" s="27"/>
      <c r="DR16" s="27">
        <f t="shared" si="29"/>
        <v>0</v>
      </c>
      <c r="DS16" s="27">
        <f t="shared" si="30"/>
        <v>0</v>
      </c>
      <c r="DT16" s="27">
        <f t="shared" si="31"/>
        <v>0</v>
      </c>
      <c r="DU16" s="27">
        <f t="shared" si="32"/>
        <v>0</v>
      </c>
      <c r="DV16" s="27">
        <f t="shared" si="44"/>
        <v>0</v>
      </c>
      <c r="DW16" s="27">
        <f t="shared" si="45"/>
        <v>0</v>
      </c>
      <c r="DX16" s="27">
        <f t="shared" si="33"/>
        <v>0</v>
      </c>
      <c r="DY16" s="27">
        <f t="shared" si="34"/>
        <v>0</v>
      </c>
      <c r="DZ16" s="27">
        <f t="shared" si="35"/>
        <v>0</v>
      </c>
      <c r="EA16" s="27">
        <f t="shared" si="36"/>
        <v>0</v>
      </c>
      <c r="EB16" s="27">
        <f t="shared" si="46"/>
        <v>0</v>
      </c>
      <c r="EC16" s="27">
        <f t="shared" si="47"/>
        <v>0</v>
      </c>
    </row>
    <row r="17" spans="1:133" x14ac:dyDescent="0.35">
      <c r="A17" s="385"/>
      <c r="C17" s="31">
        <v>13</v>
      </c>
      <c r="D17" s="32">
        <v>6848.47</v>
      </c>
      <c r="E17" s="32">
        <v>7090.45</v>
      </c>
      <c r="F17" s="72"/>
      <c r="G17" s="31">
        <v>13</v>
      </c>
      <c r="H17" s="73">
        <v>12229.41</v>
      </c>
      <c r="I17" s="73">
        <v>12661.52</v>
      </c>
      <c r="T17" s="42">
        <v>0.3</v>
      </c>
      <c r="U17" s="332">
        <v>80000</v>
      </c>
      <c r="W17" s="40" t="s">
        <v>25</v>
      </c>
      <c r="X17" s="40">
        <v>3</v>
      </c>
      <c r="Y17" s="41">
        <f t="shared" si="0"/>
        <v>0.62</v>
      </c>
      <c r="AH17" s="386"/>
      <c r="AJ17" s="360">
        <v>2000000</v>
      </c>
      <c r="AK17" s="361">
        <v>9.9000000000000005E-2</v>
      </c>
      <c r="AN17" s="40">
        <v>13</v>
      </c>
      <c r="AO17" s="46">
        <v>0</v>
      </c>
      <c r="AQ17" s="40" t="s">
        <v>25</v>
      </c>
      <c r="AR17" s="40">
        <v>3</v>
      </c>
      <c r="AS17" s="49">
        <f t="shared" si="1"/>
        <v>6.9000000000000006E-2</v>
      </c>
      <c r="AT17" s="50"/>
      <c r="AU17" s="54">
        <v>20000</v>
      </c>
      <c r="AV17" s="55">
        <v>9.7699999999999995E-2</v>
      </c>
      <c r="AY17" s="40" t="s">
        <v>25</v>
      </c>
      <c r="AZ17" s="40">
        <v>2</v>
      </c>
      <c r="BA17" s="40">
        <v>0.47649999999999998</v>
      </c>
      <c r="BE17" s="40">
        <v>31</v>
      </c>
      <c r="BF17" s="40">
        <v>0.93700000000000006</v>
      </c>
      <c r="BG17" s="40">
        <v>1.4730000000000001</v>
      </c>
      <c r="BJ17" s="386"/>
      <c r="BL17" s="21" t="s">
        <v>58</v>
      </c>
      <c r="BM17" t="str">
        <f>IF(Cotizador!J50=TRUE,Cotizador!$H$50,"NO")</f>
        <v>NO</v>
      </c>
      <c r="BQ17">
        <v>11</v>
      </c>
      <c r="BR17" s="26" t="e">
        <f t="shared" si="37"/>
        <v>#N/A</v>
      </c>
      <c r="BS17" s="26" t="e">
        <f t="shared" si="38"/>
        <v>#N/A</v>
      </c>
      <c r="BT17" s="26"/>
      <c r="BU17" s="29">
        <v>11</v>
      </c>
      <c r="BV17" s="26" t="e">
        <f t="shared" si="2"/>
        <v>#N/A</v>
      </c>
      <c r="BW17" s="26" t="e">
        <f t="shared" si="3"/>
        <v>#N/A</v>
      </c>
      <c r="BY17" s="29">
        <v>11</v>
      </c>
      <c r="BZ17" s="26" t="e">
        <f t="shared" si="39"/>
        <v>#N/A</v>
      </c>
      <c r="CA17" s="26" t="e">
        <f t="shared" si="40"/>
        <v>#N/A</v>
      </c>
      <c r="CC17" s="29">
        <v>11</v>
      </c>
      <c r="CD17" s="26" t="e">
        <f t="shared" si="41"/>
        <v>#N/A</v>
      </c>
      <c r="CE17" s="26" t="e">
        <f t="shared" si="42"/>
        <v>#N/A</v>
      </c>
      <c r="CG17">
        <v>11</v>
      </c>
      <c r="CH17" s="24" t="e">
        <f t="shared" si="4"/>
        <v>#N/A</v>
      </c>
      <c r="CI17" s="24" t="e">
        <f t="shared" si="5"/>
        <v>#N/A</v>
      </c>
      <c r="CJ17" s="27">
        <f t="shared" si="43"/>
        <v>0</v>
      </c>
      <c r="CK17" s="27">
        <f t="shared" si="6"/>
        <v>0</v>
      </c>
      <c r="CL17" s="26">
        <f t="shared" si="7"/>
        <v>0</v>
      </c>
      <c r="CM17" s="26">
        <f t="shared" si="8"/>
        <v>0</v>
      </c>
      <c r="CN17" s="27">
        <f t="shared" si="9"/>
        <v>0</v>
      </c>
      <c r="CO17" s="27">
        <f t="shared" si="10"/>
        <v>0</v>
      </c>
      <c r="CP17" s="27">
        <f t="shared" si="11"/>
        <v>0</v>
      </c>
      <c r="CQ17" s="27">
        <f t="shared" si="12"/>
        <v>0</v>
      </c>
      <c r="CR17" s="24">
        <f t="shared" si="13"/>
        <v>0</v>
      </c>
      <c r="CS17" s="24">
        <f t="shared" si="14"/>
        <v>0</v>
      </c>
      <c r="CT17">
        <v>0</v>
      </c>
      <c r="CU17">
        <v>0</v>
      </c>
      <c r="CV17" s="27">
        <f t="shared" si="15"/>
        <v>0</v>
      </c>
      <c r="CW17" s="27">
        <f t="shared" si="16"/>
        <v>0</v>
      </c>
      <c r="CX17" s="27">
        <f t="shared" si="17"/>
        <v>0</v>
      </c>
      <c r="CY17" s="27">
        <f t="shared" si="18"/>
        <v>0</v>
      </c>
      <c r="CZ17" s="24">
        <f t="shared" si="19"/>
        <v>0</v>
      </c>
      <c r="DA17" s="24">
        <f t="shared" si="20"/>
        <v>0</v>
      </c>
      <c r="DB17" s="27">
        <f t="shared" si="21"/>
        <v>0</v>
      </c>
      <c r="DC17" s="27">
        <f t="shared" si="22"/>
        <v>0</v>
      </c>
      <c r="DD17" s="27">
        <f t="shared" si="23"/>
        <v>0</v>
      </c>
      <c r="DE17" s="27">
        <f t="shared" si="24"/>
        <v>0</v>
      </c>
      <c r="DF17" s="24">
        <f t="shared" si="25"/>
        <v>0</v>
      </c>
      <c r="DG17" s="24">
        <f t="shared" si="26"/>
        <v>0</v>
      </c>
      <c r="DH17" s="24">
        <f t="shared" si="27"/>
        <v>0</v>
      </c>
      <c r="DI17" s="24">
        <f t="shared" si="28"/>
        <v>0</v>
      </c>
      <c r="DJ17" s="24">
        <v>0</v>
      </c>
      <c r="DK17" s="24">
        <v>0</v>
      </c>
      <c r="DP17" s="27"/>
      <c r="DQ17" s="27"/>
      <c r="DR17" s="27">
        <f t="shared" si="29"/>
        <v>0</v>
      </c>
      <c r="DS17" s="27">
        <f t="shared" si="30"/>
        <v>0</v>
      </c>
      <c r="DT17" s="27">
        <f t="shared" si="31"/>
        <v>0</v>
      </c>
      <c r="DU17" s="27">
        <f t="shared" si="32"/>
        <v>0</v>
      </c>
      <c r="DV17" s="27">
        <f t="shared" si="44"/>
        <v>0</v>
      </c>
      <c r="DW17" s="27">
        <f t="shared" si="45"/>
        <v>0</v>
      </c>
      <c r="DX17" s="27">
        <f t="shared" si="33"/>
        <v>0</v>
      </c>
      <c r="DY17" s="27">
        <f t="shared" si="34"/>
        <v>0</v>
      </c>
      <c r="DZ17" s="27">
        <f t="shared" si="35"/>
        <v>0</v>
      </c>
      <c r="EA17" s="27">
        <f t="shared" si="36"/>
        <v>0</v>
      </c>
      <c r="EB17" s="27">
        <f t="shared" si="46"/>
        <v>0</v>
      </c>
      <c r="EC17" s="27">
        <f t="shared" si="47"/>
        <v>0</v>
      </c>
    </row>
    <row r="18" spans="1:133" x14ac:dyDescent="0.35">
      <c r="A18" s="385"/>
      <c r="C18" s="31">
        <v>14</v>
      </c>
      <c r="D18" s="32">
        <v>6909.51</v>
      </c>
      <c r="E18" s="32">
        <v>7198.36</v>
      </c>
      <c r="F18" s="72"/>
      <c r="G18" s="31">
        <v>14</v>
      </c>
      <c r="H18" s="73">
        <v>12338.41</v>
      </c>
      <c r="I18" s="73">
        <v>12854.21</v>
      </c>
      <c r="U18" t="s">
        <v>282</v>
      </c>
      <c r="W18" s="40" t="s">
        <v>282</v>
      </c>
      <c r="X18" s="40">
        <v>5</v>
      </c>
      <c r="Y18" s="41">
        <f t="shared" si="0"/>
        <v>0.68</v>
      </c>
      <c r="AH18" s="386"/>
      <c r="AJ18" s="360">
        <v>3500000</v>
      </c>
      <c r="AK18" s="361">
        <v>4.9000000000000002E-2</v>
      </c>
      <c r="AN18" s="40">
        <v>14</v>
      </c>
      <c r="AO18" s="46">
        <v>0</v>
      </c>
      <c r="AQ18" s="40" t="s">
        <v>282</v>
      </c>
      <c r="AR18" s="40">
        <v>5</v>
      </c>
      <c r="AS18" s="49">
        <f t="shared" si="1"/>
        <v>6.2100000000000002E-2</v>
      </c>
      <c r="AT18" s="50"/>
      <c r="AU18" s="54">
        <v>25000</v>
      </c>
      <c r="AV18" s="55">
        <v>0.1222</v>
      </c>
      <c r="AY18" s="40" t="s">
        <v>282</v>
      </c>
      <c r="AZ18" s="40">
        <v>2</v>
      </c>
      <c r="BA18" s="40">
        <v>0.47649999999999998</v>
      </c>
      <c r="BE18" s="40">
        <v>32</v>
      </c>
      <c r="BF18" s="40">
        <v>1.0860000000000001</v>
      </c>
      <c r="BG18" s="40">
        <v>1.643</v>
      </c>
      <c r="BJ18" s="386"/>
      <c r="BL18" s="21" t="s">
        <v>49</v>
      </c>
      <c r="BM18" t="str">
        <f>IF(Cotizador!J51=TRUE,"SI","NO")</f>
        <v>NO</v>
      </c>
      <c r="BQ18">
        <v>12</v>
      </c>
      <c r="BR18" s="26" t="e">
        <f t="shared" si="37"/>
        <v>#N/A</v>
      </c>
      <c r="BS18" s="26" t="e">
        <f t="shared" si="38"/>
        <v>#N/A</v>
      </c>
      <c r="BT18" s="26"/>
      <c r="BU18" s="29">
        <v>12</v>
      </c>
      <c r="BV18" s="26" t="e">
        <f t="shared" si="2"/>
        <v>#N/A</v>
      </c>
      <c r="BW18" s="26" t="e">
        <f t="shared" si="3"/>
        <v>#N/A</v>
      </c>
      <c r="BY18" s="29">
        <v>12</v>
      </c>
      <c r="BZ18" s="26" t="e">
        <f t="shared" si="39"/>
        <v>#N/A</v>
      </c>
      <c r="CA18" s="26" t="e">
        <f t="shared" si="40"/>
        <v>#N/A</v>
      </c>
      <c r="CC18" s="29">
        <v>12</v>
      </c>
      <c r="CD18" s="26" t="e">
        <f t="shared" si="41"/>
        <v>#N/A</v>
      </c>
      <c r="CE18" s="26" t="e">
        <f t="shared" si="42"/>
        <v>#N/A</v>
      </c>
      <c r="CG18">
        <v>12</v>
      </c>
      <c r="CH18" s="24" t="e">
        <f t="shared" si="4"/>
        <v>#N/A</v>
      </c>
      <c r="CI18" s="24" t="e">
        <f t="shared" si="5"/>
        <v>#N/A</v>
      </c>
      <c r="CJ18" s="27">
        <f t="shared" si="43"/>
        <v>0</v>
      </c>
      <c r="CK18" s="27">
        <f t="shared" si="6"/>
        <v>0</v>
      </c>
      <c r="CL18" s="26">
        <f t="shared" si="7"/>
        <v>0</v>
      </c>
      <c r="CM18" s="26">
        <f t="shared" si="8"/>
        <v>0</v>
      </c>
      <c r="CN18" s="27">
        <f t="shared" si="9"/>
        <v>0</v>
      </c>
      <c r="CO18" s="27">
        <f t="shared" si="10"/>
        <v>0</v>
      </c>
      <c r="CP18" s="27">
        <f t="shared" si="11"/>
        <v>0</v>
      </c>
      <c r="CQ18" s="27">
        <f t="shared" si="12"/>
        <v>0</v>
      </c>
      <c r="CR18" s="24">
        <f t="shared" si="13"/>
        <v>0</v>
      </c>
      <c r="CS18" s="24">
        <f t="shared" si="14"/>
        <v>0</v>
      </c>
      <c r="CT18">
        <v>0</v>
      </c>
      <c r="CU18">
        <v>0</v>
      </c>
      <c r="CV18" s="27">
        <f t="shared" si="15"/>
        <v>0</v>
      </c>
      <c r="CW18" s="27">
        <f t="shared" si="16"/>
        <v>0</v>
      </c>
      <c r="CX18" s="27">
        <f t="shared" si="17"/>
        <v>0</v>
      </c>
      <c r="CY18" s="27">
        <f t="shared" si="18"/>
        <v>0</v>
      </c>
      <c r="CZ18" s="24">
        <f t="shared" si="19"/>
        <v>0</v>
      </c>
      <c r="DA18" s="24">
        <f t="shared" si="20"/>
        <v>0</v>
      </c>
      <c r="DB18" s="27">
        <f t="shared" si="21"/>
        <v>0</v>
      </c>
      <c r="DC18" s="27">
        <f t="shared" si="22"/>
        <v>0</v>
      </c>
      <c r="DD18" s="27">
        <f t="shared" si="23"/>
        <v>0</v>
      </c>
      <c r="DE18" s="27">
        <f t="shared" si="24"/>
        <v>0</v>
      </c>
      <c r="DF18" s="24">
        <f t="shared" si="25"/>
        <v>0</v>
      </c>
      <c r="DG18" s="24">
        <f t="shared" si="26"/>
        <v>0</v>
      </c>
      <c r="DH18" s="24">
        <f t="shared" si="27"/>
        <v>0</v>
      </c>
      <c r="DI18" s="24">
        <f t="shared" si="28"/>
        <v>0</v>
      </c>
      <c r="DJ18" s="24">
        <v>0</v>
      </c>
      <c r="DK18" s="24">
        <v>0</v>
      </c>
      <c r="DP18" s="27"/>
      <c r="DQ18" s="27"/>
      <c r="DR18" s="27">
        <f t="shared" si="29"/>
        <v>0</v>
      </c>
      <c r="DS18" s="27">
        <f t="shared" si="30"/>
        <v>0</v>
      </c>
      <c r="DT18" s="27">
        <f t="shared" si="31"/>
        <v>0</v>
      </c>
      <c r="DU18" s="27">
        <f t="shared" si="32"/>
        <v>0</v>
      </c>
      <c r="DV18" s="27">
        <f t="shared" si="44"/>
        <v>0</v>
      </c>
      <c r="DW18" s="27">
        <f t="shared" si="45"/>
        <v>0</v>
      </c>
      <c r="DX18" s="27">
        <f t="shared" si="33"/>
        <v>0</v>
      </c>
      <c r="DY18" s="27">
        <f t="shared" si="34"/>
        <v>0</v>
      </c>
      <c r="DZ18" s="27">
        <f t="shared" si="35"/>
        <v>0</v>
      </c>
      <c r="EA18" s="27">
        <f t="shared" si="36"/>
        <v>0</v>
      </c>
      <c r="EB18" s="27">
        <f t="shared" si="46"/>
        <v>0</v>
      </c>
      <c r="EC18" s="27">
        <f t="shared" si="47"/>
        <v>0</v>
      </c>
    </row>
    <row r="19" spans="1:133" x14ac:dyDescent="0.35">
      <c r="A19" s="385"/>
      <c r="C19" s="31">
        <v>15</v>
      </c>
      <c r="D19" s="32">
        <v>6974.91</v>
      </c>
      <c r="E19" s="32">
        <v>7313.9</v>
      </c>
      <c r="F19" s="72"/>
      <c r="G19" s="31">
        <v>15</v>
      </c>
      <c r="H19" s="73">
        <v>12455.2</v>
      </c>
      <c r="I19" s="73">
        <v>13060.54</v>
      </c>
      <c r="U19" t="s">
        <v>283</v>
      </c>
      <c r="W19" s="40" t="s">
        <v>283</v>
      </c>
      <c r="X19" s="40">
        <v>3</v>
      </c>
      <c r="Y19" s="41">
        <f t="shared" si="0"/>
        <v>0.62</v>
      </c>
      <c r="AA19" s="369" t="s">
        <v>158</v>
      </c>
      <c r="AB19" s="369"/>
      <c r="AH19" s="386"/>
      <c r="AN19" s="40">
        <v>15</v>
      </c>
      <c r="AO19" s="46">
        <v>7.4460000000000004E-3</v>
      </c>
      <c r="AQ19" s="40" t="s">
        <v>283</v>
      </c>
      <c r="AR19" s="40">
        <v>3</v>
      </c>
      <c r="AS19" s="49">
        <f t="shared" si="1"/>
        <v>6.9000000000000006E-2</v>
      </c>
      <c r="AT19" s="50"/>
      <c r="AU19" s="54">
        <v>30000</v>
      </c>
      <c r="AV19" s="55">
        <v>0.14660000000000001</v>
      </c>
      <c r="AY19" s="40" t="s">
        <v>283</v>
      </c>
      <c r="AZ19" s="40">
        <v>2</v>
      </c>
      <c r="BA19" s="40">
        <v>0.47649999999999998</v>
      </c>
      <c r="BE19" s="40">
        <v>33</v>
      </c>
      <c r="BF19" s="40">
        <v>1.1950000000000001</v>
      </c>
      <c r="BG19" s="40">
        <v>1.8420000000000001</v>
      </c>
      <c r="BJ19" s="386"/>
      <c r="BL19" s="21" t="s">
        <v>178</v>
      </c>
      <c r="BM19" t="str">
        <f>IF(Cotizador!J52=TRUE,"SI","NO")</f>
        <v>NO</v>
      </c>
      <c r="BQ19">
        <v>13</v>
      </c>
      <c r="BR19" s="26" t="e">
        <f t="shared" si="37"/>
        <v>#N/A</v>
      </c>
      <c r="BS19" s="26" t="e">
        <f t="shared" si="38"/>
        <v>#N/A</v>
      </c>
      <c r="BT19" s="26"/>
      <c r="BU19" s="29">
        <v>13</v>
      </c>
      <c r="BV19" s="26" t="e">
        <f t="shared" si="2"/>
        <v>#N/A</v>
      </c>
      <c r="BW19" s="26" t="e">
        <f t="shared" si="3"/>
        <v>#N/A</v>
      </c>
      <c r="BY19" s="29">
        <v>13</v>
      </c>
      <c r="BZ19" s="26" t="e">
        <f t="shared" si="39"/>
        <v>#N/A</v>
      </c>
      <c r="CA19" s="26" t="e">
        <f t="shared" si="40"/>
        <v>#N/A</v>
      </c>
      <c r="CC19" s="29">
        <v>13</v>
      </c>
      <c r="CD19" s="26" t="e">
        <f t="shared" si="41"/>
        <v>#N/A</v>
      </c>
      <c r="CE19" s="26" t="e">
        <f t="shared" si="42"/>
        <v>#N/A</v>
      </c>
      <c r="CG19">
        <v>13</v>
      </c>
      <c r="CH19" s="24" t="e">
        <f t="shared" si="4"/>
        <v>#N/A</v>
      </c>
      <c r="CI19" s="24" t="e">
        <f t="shared" si="5"/>
        <v>#N/A</v>
      </c>
      <c r="CJ19" s="27">
        <f t="shared" si="43"/>
        <v>0</v>
      </c>
      <c r="CK19" s="27">
        <f t="shared" si="6"/>
        <v>0</v>
      </c>
      <c r="CL19" s="26">
        <f t="shared" si="7"/>
        <v>0</v>
      </c>
      <c r="CM19" s="26">
        <f t="shared" si="8"/>
        <v>0</v>
      </c>
      <c r="CN19" s="27">
        <f t="shared" si="9"/>
        <v>0</v>
      </c>
      <c r="CO19" s="27">
        <f t="shared" si="10"/>
        <v>0</v>
      </c>
      <c r="CP19" s="27">
        <f t="shared" si="11"/>
        <v>0</v>
      </c>
      <c r="CQ19" s="27">
        <f t="shared" si="12"/>
        <v>0</v>
      </c>
      <c r="CR19" s="24">
        <f t="shared" si="13"/>
        <v>0</v>
      </c>
      <c r="CS19" s="24">
        <f t="shared" si="14"/>
        <v>0</v>
      </c>
      <c r="CT19">
        <v>0</v>
      </c>
      <c r="CU19">
        <v>0</v>
      </c>
      <c r="CV19" s="27">
        <f t="shared" si="15"/>
        <v>0</v>
      </c>
      <c r="CW19" s="27">
        <f t="shared" si="16"/>
        <v>0</v>
      </c>
      <c r="CX19" s="27">
        <f t="shared" si="17"/>
        <v>0</v>
      </c>
      <c r="CY19" s="27">
        <f t="shared" si="18"/>
        <v>0</v>
      </c>
      <c r="CZ19" s="24">
        <f t="shared" si="19"/>
        <v>0</v>
      </c>
      <c r="DA19" s="24">
        <f t="shared" si="20"/>
        <v>0</v>
      </c>
      <c r="DB19" s="27">
        <f t="shared" si="21"/>
        <v>0</v>
      </c>
      <c r="DC19" s="27">
        <f t="shared" si="22"/>
        <v>0</v>
      </c>
      <c r="DD19" s="27">
        <f t="shared" si="23"/>
        <v>0</v>
      </c>
      <c r="DE19" s="27">
        <f t="shared" si="24"/>
        <v>0</v>
      </c>
      <c r="DF19" s="24">
        <f t="shared" si="25"/>
        <v>0</v>
      </c>
      <c r="DG19" s="24">
        <f t="shared" si="26"/>
        <v>0</v>
      </c>
      <c r="DH19" s="24">
        <f t="shared" si="27"/>
        <v>0</v>
      </c>
      <c r="DI19" s="24">
        <f t="shared" si="28"/>
        <v>0</v>
      </c>
      <c r="DJ19" s="24">
        <v>0</v>
      </c>
      <c r="DK19" s="24">
        <v>0</v>
      </c>
      <c r="DP19" s="27"/>
      <c r="DQ19" s="27"/>
      <c r="DR19" s="27">
        <f t="shared" si="29"/>
        <v>0</v>
      </c>
      <c r="DS19" s="27">
        <f t="shared" si="30"/>
        <v>0</v>
      </c>
      <c r="DT19" s="27">
        <f t="shared" si="31"/>
        <v>0</v>
      </c>
      <c r="DU19" s="27">
        <f t="shared" si="32"/>
        <v>0</v>
      </c>
      <c r="DV19" s="27">
        <f t="shared" si="44"/>
        <v>0</v>
      </c>
      <c r="DW19" s="27">
        <f t="shared" si="45"/>
        <v>0</v>
      </c>
      <c r="DX19" s="27">
        <f t="shared" si="33"/>
        <v>0</v>
      </c>
      <c r="DY19" s="27">
        <f t="shared" si="34"/>
        <v>0</v>
      </c>
      <c r="DZ19" s="27">
        <f t="shared" si="35"/>
        <v>0</v>
      </c>
      <c r="EA19" s="27">
        <f t="shared" si="36"/>
        <v>0</v>
      </c>
      <c r="EB19" s="27">
        <f t="shared" si="46"/>
        <v>0</v>
      </c>
      <c r="EC19" s="27">
        <f t="shared" si="47"/>
        <v>0</v>
      </c>
    </row>
    <row r="20" spans="1:133" x14ac:dyDescent="0.35">
      <c r="A20" s="385"/>
      <c r="C20" s="31">
        <v>16</v>
      </c>
      <c r="D20" s="32">
        <v>7045.76</v>
      </c>
      <c r="E20" s="32">
        <v>7437.07</v>
      </c>
      <c r="F20" s="72"/>
      <c r="G20" s="31">
        <v>16</v>
      </c>
      <c r="H20" s="73">
        <v>12581.71</v>
      </c>
      <c r="I20" s="73">
        <v>13280.48</v>
      </c>
      <c r="W20" s="40" t="s">
        <v>26</v>
      </c>
      <c r="X20" s="40">
        <v>3</v>
      </c>
      <c r="Y20" s="41">
        <f t="shared" si="0"/>
        <v>0.62</v>
      </c>
      <c r="AA20" s="30" t="s">
        <v>108</v>
      </c>
      <c r="AB20" s="30" t="s">
        <v>14</v>
      </c>
      <c r="AH20" s="386"/>
      <c r="AN20" s="40">
        <v>16</v>
      </c>
      <c r="AO20" s="46">
        <v>7.4460000000000004E-3</v>
      </c>
      <c r="AQ20" s="40" t="s">
        <v>26</v>
      </c>
      <c r="AR20" s="40">
        <v>3</v>
      </c>
      <c r="AS20" s="49">
        <f t="shared" si="1"/>
        <v>6.9000000000000006E-2</v>
      </c>
      <c r="AT20" s="50"/>
      <c r="AU20" s="54">
        <v>35000</v>
      </c>
      <c r="AV20" s="55">
        <v>0.17100000000000001</v>
      </c>
      <c r="AY20" s="40" t="s">
        <v>26</v>
      </c>
      <c r="AZ20" s="40">
        <v>2</v>
      </c>
      <c r="BA20" s="40">
        <v>0.47649999999999998</v>
      </c>
      <c r="BE20" s="40">
        <v>34</v>
      </c>
      <c r="BF20" s="40">
        <v>1.335</v>
      </c>
      <c r="BG20" s="40">
        <v>1.9630000000000001</v>
      </c>
      <c r="BJ20" s="386"/>
      <c r="BL20" s="21" t="s">
        <v>60</v>
      </c>
      <c r="BM20" t="str">
        <f>IF(Cotizador!J53=TRUE,"SI","NO")</f>
        <v>NO</v>
      </c>
      <c r="BQ20">
        <v>14</v>
      </c>
      <c r="BR20" s="26" t="e">
        <f t="shared" si="37"/>
        <v>#N/A</v>
      </c>
      <c r="BS20" s="26" t="e">
        <f t="shared" si="38"/>
        <v>#N/A</v>
      </c>
      <c r="BT20" s="26"/>
      <c r="BU20" s="29">
        <v>14</v>
      </c>
      <c r="BV20" s="26" t="e">
        <f t="shared" si="2"/>
        <v>#N/A</v>
      </c>
      <c r="BW20" s="26" t="e">
        <f t="shared" si="3"/>
        <v>#N/A</v>
      </c>
      <c r="BY20" s="29">
        <v>14</v>
      </c>
      <c r="BZ20" s="26" t="e">
        <f t="shared" si="39"/>
        <v>#N/A</v>
      </c>
      <c r="CA20" s="26" t="e">
        <f t="shared" si="40"/>
        <v>#N/A</v>
      </c>
      <c r="CC20" s="29">
        <v>14</v>
      </c>
      <c r="CD20" s="26" t="e">
        <f t="shared" si="41"/>
        <v>#N/A</v>
      </c>
      <c r="CE20" s="26" t="e">
        <f t="shared" si="42"/>
        <v>#N/A</v>
      </c>
      <c r="CG20">
        <v>14</v>
      </c>
      <c r="CH20" s="24" t="e">
        <f t="shared" si="4"/>
        <v>#N/A</v>
      </c>
      <c r="CI20" s="24" t="e">
        <f t="shared" si="5"/>
        <v>#N/A</v>
      </c>
      <c r="CJ20" s="27">
        <f t="shared" si="43"/>
        <v>0</v>
      </c>
      <c r="CK20" s="27">
        <f t="shared" si="6"/>
        <v>0</v>
      </c>
      <c r="CL20" s="26">
        <f t="shared" si="7"/>
        <v>0</v>
      </c>
      <c r="CM20" s="26">
        <f t="shared" si="8"/>
        <v>0</v>
      </c>
      <c r="CN20" s="27">
        <f t="shared" si="9"/>
        <v>0</v>
      </c>
      <c r="CO20" s="27">
        <f t="shared" si="10"/>
        <v>0</v>
      </c>
      <c r="CP20" s="27">
        <f t="shared" si="11"/>
        <v>0</v>
      </c>
      <c r="CQ20" s="27">
        <f t="shared" si="12"/>
        <v>0</v>
      </c>
      <c r="CR20" s="24">
        <f t="shared" si="13"/>
        <v>0</v>
      </c>
      <c r="CS20" s="24">
        <f t="shared" si="14"/>
        <v>0</v>
      </c>
      <c r="CT20">
        <v>0</v>
      </c>
      <c r="CU20">
        <v>0</v>
      </c>
      <c r="CV20" s="27">
        <f t="shared" si="15"/>
        <v>0</v>
      </c>
      <c r="CW20" s="27">
        <f t="shared" si="16"/>
        <v>0</v>
      </c>
      <c r="CX20" s="27">
        <f t="shared" si="17"/>
        <v>0</v>
      </c>
      <c r="CY20" s="27">
        <f t="shared" si="18"/>
        <v>0</v>
      </c>
      <c r="CZ20" s="24">
        <f t="shared" si="19"/>
        <v>0</v>
      </c>
      <c r="DA20" s="24">
        <f t="shared" si="20"/>
        <v>0</v>
      </c>
      <c r="DB20" s="27">
        <f t="shared" si="21"/>
        <v>0</v>
      </c>
      <c r="DC20" s="27">
        <f t="shared" si="22"/>
        <v>0</v>
      </c>
      <c r="DD20" s="27">
        <f t="shared" si="23"/>
        <v>0</v>
      </c>
      <c r="DE20" s="27">
        <f t="shared" si="24"/>
        <v>0</v>
      </c>
      <c r="DF20" s="24">
        <f t="shared" si="25"/>
        <v>0</v>
      </c>
      <c r="DG20" s="24">
        <f t="shared" si="26"/>
        <v>0</v>
      </c>
      <c r="DH20" s="24">
        <f t="shared" si="27"/>
        <v>0</v>
      </c>
      <c r="DI20" s="24">
        <f t="shared" si="28"/>
        <v>0</v>
      </c>
      <c r="DJ20" s="24">
        <v>0</v>
      </c>
      <c r="DK20" s="24">
        <v>0</v>
      </c>
      <c r="DP20" s="27"/>
      <c r="DQ20" s="27"/>
      <c r="DR20" s="27">
        <f t="shared" si="29"/>
        <v>0</v>
      </c>
      <c r="DS20" s="27">
        <f t="shared" si="30"/>
        <v>0</v>
      </c>
      <c r="DT20" s="27">
        <f t="shared" si="31"/>
        <v>0</v>
      </c>
      <c r="DU20" s="27">
        <f t="shared" si="32"/>
        <v>0</v>
      </c>
      <c r="DV20" s="27">
        <f t="shared" si="44"/>
        <v>0</v>
      </c>
      <c r="DW20" s="27">
        <f t="shared" si="45"/>
        <v>0</v>
      </c>
      <c r="DX20" s="27">
        <f t="shared" si="33"/>
        <v>0</v>
      </c>
      <c r="DY20" s="27">
        <f t="shared" si="34"/>
        <v>0</v>
      </c>
      <c r="DZ20" s="27">
        <f t="shared" si="35"/>
        <v>0</v>
      </c>
      <c r="EA20" s="27">
        <f t="shared" si="36"/>
        <v>0</v>
      </c>
      <c r="EB20" s="27">
        <f t="shared" si="46"/>
        <v>0</v>
      </c>
      <c r="EC20" s="27">
        <f t="shared" si="47"/>
        <v>0</v>
      </c>
    </row>
    <row r="21" spans="1:133" x14ac:dyDescent="0.35">
      <c r="A21" s="385"/>
      <c r="C21" s="31">
        <v>17</v>
      </c>
      <c r="D21" s="32">
        <v>7120.97</v>
      </c>
      <c r="E21" s="32">
        <v>7567.87</v>
      </c>
      <c r="F21" s="72"/>
      <c r="G21" s="31">
        <v>17</v>
      </c>
      <c r="H21" s="73">
        <v>12716.02</v>
      </c>
      <c r="I21" s="73">
        <v>13514.05</v>
      </c>
      <c r="W21" s="40" t="s">
        <v>244</v>
      </c>
      <c r="X21" s="40">
        <v>3</v>
      </c>
      <c r="Y21" s="41">
        <f t="shared" si="0"/>
        <v>0.62</v>
      </c>
      <c r="AA21" s="40">
        <v>1</v>
      </c>
      <c r="AB21" s="41">
        <v>0.44</v>
      </c>
      <c r="AC21" s="51"/>
      <c r="AH21" s="386"/>
      <c r="AN21" s="40">
        <v>17</v>
      </c>
      <c r="AO21" s="46">
        <v>7.4460000000000004E-3</v>
      </c>
      <c r="AQ21" s="40" t="s">
        <v>244</v>
      </c>
      <c r="AR21" s="40">
        <v>3</v>
      </c>
      <c r="AS21" s="49">
        <f t="shared" si="1"/>
        <v>6.9000000000000006E-2</v>
      </c>
      <c r="AT21" s="50"/>
      <c r="AU21" s="54">
        <v>40000</v>
      </c>
      <c r="AV21" s="55">
        <v>0.19550000000000001</v>
      </c>
      <c r="AY21" s="40" t="s">
        <v>244</v>
      </c>
      <c r="AZ21" s="40">
        <v>2</v>
      </c>
      <c r="BA21" s="40">
        <v>0.47649999999999998</v>
      </c>
      <c r="BE21" s="40">
        <v>35</v>
      </c>
      <c r="BF21" s="40">
        <v>1.514</v>
      </c>
      <c r="BG21" s="40">
        <v>2.0920000000000001</v>
      </c>
      <c r="BJ21" s="386"/>
      <c r="BL21" s="21" t="s">
        <v>54</v>
      </c>
      <c r="BM21" t="str">
        <f>IF(Cotizador!J54=TRUE,"SI","NO")</f>
        <v>NO</v>
      </c>
      <c r="BQ21">
        <v>15</v>
      </c>
      <c r="BR21" s="26" t="e">
        <f t="shared" si="37"/>
        <v>#N/A</v>
      </c>
      <c r="BS21" s="26" t="e">
        <f t="shared" si="38"/>
        <v>#N/A</v>
      </c>
      <c r="BT21" s="26"/>
      <c r="BU21" s="29">
        <v>15</v>
      </c>
      <c r="BV21" s="26" t="e">
        <f t="shared" si="2"/>
        <v>#N/A</v>
      </c>
      <c r="BW21" s="26" t="e">
        <f t="shared" si="3"/>
        <v>#N/A</v>
      </c>
      <c r="BY21" s="29">
        <v>15</v>
      </c>
      <c r="BZ21" s="26" t="e">
        <f t="shared" si="39"/>
        <v>#N/A</v>
      </c>
      <c r="CA21" s="26" t="e">
        <f t="shared" si="40"/>
        <v>#N/A</v>
      </c>
      <c r="CC21" s="29">
        <v>15</v>
      </c>
      <c r="CD21" s="26" t="e">
        <f t="shared" si="41"/>
        <v>#N/A</v>
      </c>
      <c r="CE21" s="26" t="e">
        <f t="shared" si="42"/>
        <v>#N/A</v>
      </c>
      <c r="CG21">
        <v>15</v>
      </c>
      <c r="CH21" s="24" t="e">
        <f t="shared" si="4"/>
        <v>#N/A</v>
      </c>
      <c r="CI21" s="24" t="e">
        <f t="shared" si="5"/>
        <v>#N/A</v>
      </c>
      <c r="CJ21" s="27">
        <f t="shared" si="43"/>
        <v>0</v>
      </c>
      <c r="CK21" s="27">
        <f t="shared" si="6"/>
        <v>0</v>
      </c>
      <c r="CL21" s="26">
        <f t="shared" si="7"/>
        <v>0</v>
      </c>
      <c r="CM21" s="26">
        <f t="shared" si="8"/>
        <v>0</v>
      </c>
      <c r="CN21" s="27">
        <f t="shared" si="9"/>
        <v>0</v>
      </c>
      <c r="CO21" s="27">
        <f t="shared" si="10"/>
        <v>0</v>
      </c>
      <c r="CP21" s="27">
        <f t="shared" si="11"/>
        <v>0</v>
      </c>
      <c r="CQ21" s="27">
        <f t="shared" si="12"/>
        <v>0</v>
      </c>
      <c r="CR21" s="24">
        <f t="shared" si="13"/>
        <v>0</v>
      </c>
      <c r="CS21" s="24">
        <f t="shared" si="14"/>
        <v>0</v>
      </c>
      <c r="CT21">
        <v>0</v>
      </c>
      <c r="CU21" s="24">
        <f t="shared" ref="CU21:CU52" si="48">ROUND(IF($CU$1=1,(AO19*$CU$2)/(1-$L$7),0),4)</f>
        <v>0</v>
      </c>
      <c r="CV21" s="27">
        <f t="shared" si="15"/>
        <v>0</v>
      </c>
      <c r="CW21" s="27">
        <f t="shared" si="16"/>
        <v>0</v>
      </c>
      <c r="CX21" s="27">
        <f t="shared" si="17"/>
        <v>0</v>
      </c>
      <c r="CY21" s="27">
        <f t="shared" si="18"/>
        <v>0</v>
      </c>
      <c r="CZ21" s="24">
        <f t="shared" si="19"/>
        <v>0</v>
      </c>
      <c r="DA21" s="24">
        <f t="shared" si="20"/>
        <v>0</v>
      </c>
      <c r="DB21" s="27">
        <f t="shared" si="21"/>
        <v>0</v>
      </c>
      <c r="DC21" s="27">
        <f t="shared" si="22"/>
        <v>0</v>
      </c>
      <c r="DD21" s="27">
        <f t="shared" si="23"/>
        <v>0</v>
      </c>
      <c r="DE21" s="27">
        <f t="shared" si="24"/>
        <v>0</v>
      </c>
      <c r="DF21" s="24">
        <f t="shared" si="25"/>
        <v>0</v>
      </c>
      <c r="DG21" s="24">
        <f t="shared" si="26"/>
        <v>0</v>
      </c>
      <c r="DH21" s="24">
        <f t="shared" si="27"/>
        <v>0</v>
      </c>
      <c r="DI21" s="24">
        <f t="shared" si="28"/>
        <v>0</v>
      </c>
      <c r="DJ21" s="24">
        <v>0</v>
      </c>
      <c r="DK21" s="24">
        <v>0</v>
      </c>
      <c r="DP21" s="27"/>
      <c r="DQ21" s="27"/>
      <c r="DR21" s="27">
        <f t="shared" si="29"/>
        <v>0</v>
      </c>
      <c r="DS21" s="27">
        <f t="shared" si="30"/>
        <v>0</v>
      </c>
      <c r="DT21" s="27">
        <f t="shared" si="31"/>
        <v>0</v>
      </c>
      <c r="DU21" s="27">
        <f t="shared" si="32"/>
        <v>0</v>
      </c>
      <c r="DV21" s="27">
        <f t="shared" si="44"/>
        <v>0</v>
      </c>
      <c r="DW21" s="27">
        <f t="shared" si="45"/>
        <v>0</v>
      </c>
      <c r="DX21" s="27">
        <f t="shared" si="33"/>
        <v>0</v>
      </c>
      <c r="DY21" s="27">
        <f t="shared" si="34"/>
        <v>0</v>
      </c>
      <c r="DZ21" s="27">
        <f t="shared" si="35"/>
        <v>0</v>
      </c>
      <c r="EA21" s="27">
        <f t="shared" si="36"/>
        <v>0</v>
      </c>
      <c r="EB21" s="27">
        <f t="shared" si="46"/>
        <v>0</v>
      </c>
      <c r="EC21" s="27">
        <f t="shared" si="47"/>
        <v>0</v>
      </c>
    </row>
    <row r="22" spans="1:133" x14ac:dyDescent="0.35">
      <c r="A22" s="385"/>
      <c r="C22" s="31">
        <v>18</v>
      </c>
      <c r="D22" s="32">
        <v>7200.54</v>
      </c>
      <c r="E22" s="32">
        <v>7707.39</v>
      </c>
      <c r="F22" s="72"/>
      <c r="G22" s="31">
        <v>18</v>
      </c>
      <c r="H22" s="73">
        <v>12858.11</v>
      </c>
      <c r="I22" s="73">
        <v>13763.2</v>
      </c>
      <c r="W22" s="40" t="s">
        <v>27</v>
      </c>
      <c r="X22" s="324">
        <v>1</v>
      </c>
      <c r="Y22" s="41">
        <f t="shared" si="0"/>
        <v>0.44</v>
      </c>
      <c r="AA22" s="40">
        <v>2</v>
      </c>
      <c r="AB22" s="41">
        <v>0.52</v>
      </c>
      <c r="AC22" s="51"/>
      <c r="AH22" s="386"/>
      <c r="AN22" s="40">
        <v>18</v>
      </c>
      <c r="AO22" s="46">
        <v>7.4460000000000004E-3</v>
      </c>
      <c r="AQ22" s="40" t="s">
        <v>27</v>
      </c>
      <c r="AR22" s="324">
        <v>1</v>
      </c>
      <c r="AS22" s="49">
        <f t="shared" si="1"/>
        <v>0.104</v>
      </c>
      <c r="AT22" s="50"/>
      <c r="AU22" s="56">
        <v>50000</v>
      </c>
      <c r="AV22" s="57">
        <v>0.24429999999999999</v>
      </c>
      <c r="AY22" s="40" t="s">
        <v>27</v>
      </c>
      <c r="AZ22" s="40">
        <v>2</v>
      </c>
      <c r="BA22" s="40">
        <v>0.47649999999999998</v>
      </c>
      <c r="BE22" s="40">
        <v>36</v>
      </c>
      <c r="BF22" s="40">
        <v>1.712</v>
      </c>
      <c r="BG22" s="40">
        <v>2.2120000000000002</v>
      </c>
      <c r="BJ22" s="386"/>
      <c r="BL22" s="21" t="s">
        <v>52</v>
      </c>
      <c r="BM22" t="str">
        <f>IF(Cotizador!J55=TRUE,"SI","NO")</f>
        <v>NO</v>
      </c>
      <c r="BQ22">
        <v>16</v>
      </c>
      <c r="BR22" s="26" t="e">
        <f t="shared" si="37"/>
        <v>#N/A</v>
      </c>
      <c r="BS22" s="26" t="e">
        <f t="shared" si="38"/>
        <v>#N/A</v>
      </c>
      <c r="BT22" s="26"/>
      <c r="BU22" s="29">
        <v>16</v>
      </c>
      <c r="BV22" s="26" t="e">
        <f t="shared" si="2"/>
        <v>#N/A</v>
      </c>
      <c r="BW22" s="26" t="e">
        <f t="shared" si="3"/>
        <v>#N/A</v>
      </c>
      <c r="BY22" s="29">
        <v>16</v>
      </c>
      <c r="BZ22" s="26" t="e">
        <f t="shared" si="39"/>
        <v>#N/A</v>
      </c>
      <c r="CA22" s="26" t="e">
        <f t="shared" si="40"/>
        <v>#N/A</v>
      </c>
      <c r="CC22" s="29">
        <v>16</v>
      </c>
      <c r="CD22" s="26" t="e">
        <f t="shared" si="41"/>
        <v>#N/A</v>
      </c>
      <c r="CE22" s="26" t="e">
        <f t="shared" si="42"/>
        <v>#N/A</v>
      </c>
      <c r="CG22">
        <v>16</v>
      </c>
      <c r="CH22" s="24" t="e">
        <f t="shared" si="4"/>
        <v>#N/A</v>
      </c>
      <c r="CI22" s="24" t="e">
        <f t="shared" si="5"/>
        <v>#N/A</v>
      </c>
      <c r="CJ22" s="27">
        <f t="shared" si="43"/>
        <v>0</v>
      </c>
      <c r="CK22" s="27">
        <f t="shared" si="6"/>
        <v>0</v>
      </c>
      <c r="CL22" s="26">
        <f t="shared" si="7"/>
        <v>0</v>
      </c>
      <c r="CM22" s="26">
        <f t="shared" si="8"/>
        <v>0</v>
      </c>
      <c r="CN22" s="27">
        <f t="shared" si="9"/>
        <v>0</v>
      </c>
      <c r="CO22" s="27">
        <f t="shared" si="10"/>
        <v>0</v>
      </c>
      <c r="CP22" s="27">
        <f t="shared" si="11"/>
        <v>0</v>
      </c>
      <c r="CQ22" s="27">
        <f t="shared" si="12"/>
        <v>0</v>
      </c>
      <c r="CR22" s="24">
        <f t="shared" si="13"/>
        <v>0</v>
      </c>
      <c r="CS22" s="24">
        <f t="shared" si="14"/>
        <v>0</v>
      </c>
      <c r="CT22">
        <v>0</v>
      </c>
      <c r="CU22" s="24">
        <f t="shared" si="48"/>
        <v>0</v>
      </c>
      <c r="CV22" s="27">
        <f t="shared" si="15"/>
        <v>0</v>
      </c>
      <c r="CW22" s="27">
        <f t="shared" si="16"/>
        <v>0</v>
      </c>
      <c r="CX22" s="27">
        <f t="shared" si="17"/>
        <v>0</v>
      </c>
      <c r="CY22" s="27">
        <f t="shared" si="18"/>
        <v>0</v>
      </c>
      <c r="CZ22" s="24">
        <f t="shared" si="19"/>
        <v>0</v>
      </c>
      <c r="DA22" s="24">
        <f t="shared" si="20"/>
        <v>0</v>
      </c>
      <c r="DB22" s="27">
        <f t="shared" si="21"/>
        <v>0</v>
      </c>
      <c r="DC22" s="27">
        <f t="shared" si="22"/>
        <v>0</v>
      </c>
      <c r="DD22" s="27">
        <f t="shared" si="23"/>
        <v>0</v>
      </c>
      <c r="DE22" s="27">
        <f t="shared" si="24"/>
        <v>0</v>
      </c>
      <c r="DF22" s="24">
        <f t="shared" si="25"/>
        <v>0</v>
      </c>
      <c r="DG22" s="24">
        <f t="shared" si="26"/>
        <v>0</v>
      </c>
      <c r="DH22" s="24">
        <f t="shared" si="27"/>
        <v>0</v>
      </c>
      <c r="DI22" s="24">
        <f t="shared" si="28"/>
        <v>0</v>
      </c>
      <c r="DJ22" s="24">
        <v>0</v>
      </c>
      <c r="DK22" s="24">
        <v>0</v>
      </c>
      <c r="DP22" s="27"/>
      <c r="DQ22" s="27"/>
      <c r="DR22" s="27">
        <f t="shared" si="29"/>
        <v>0</v>
      </c>
      <c r="DS22" s="27">
        <f t="shared" si="30"/>
        <v>0</v>
      </c>
      <c r="DT22" s="27">
        <f t="shared" si="31"/>
        <v>0</v>
      </c>
      <c r="DU22" s="27">
        <f t="shared" si="32"/>
        <v>0</v>
      </c>
      <c r="DV22" s="27">
        <f t="shared" si="44"/>
        <v>0</v>
      </c>
      <c r="DW22" s="27">
        <f t="shared" si="45"/>
        <v>0</v>
      </c>
      <c r="DX22" s="27">
        <f t="shared" si="33"/>
        <v>0</v>
      </c>
      <c r="DY22" s="27">
        <f t="shared" si="34"/>
        <v>0</v>
      </c>
      <c r="DZ22" s="27">
        <f t="shared" si="35"/>
        <v>0</v>
      </c>
      <c r="EA22" s="27">
        <f t="shared" si="36"/>
        <v>0</v>
      </c>
      <c r="EB22" s="27">
        <f t="shared" si="46"/>
        <v>0</v>
      </c>
      <c r="EC22" s="27">
        <f t="shared" si="47"/>
        <v>0</v>
      </c>
    </row>
    <row r="23" spans="1:133" x14ac:dyDescent="0.35">
      <c r="A23" s="385"/>
      <c r="C23" s="31">
        <v>19</v>
      </c>
      <c r="D23" s="32">
        <v>7285.56</v>
      </c>
      <c r="E23" s="32">
        <v>7853.45</v>
      </c>
      <c r="F23" s="72"/>
      <c r="G23" s="31">
        <v>19</v>
      </c>
      <c r="H23" s="73">
        <v>13009.93</v>
      </c>
      <c r="I23" s="73">
        <v>14024.02</v>
      </c>
      <c r="W23" s="40" t="s">
        <v>28</v>
      </c>
      <c r="X23" s="40">
        <v>7</v>
      </c>
      <c r="Y23" s="41">
        <f t="shared" si="0"/>
        <v>0.83</v>
      </c>
      <c r="AA23" s="40">
        <v>3</v>
      </c>
      <c r="AB23" s="41">
        <v>0.62</v>
      </c>
      <c r="AC23" s="51"/>
      <c r="AH23" s="386"/>
      <c r="AN23" s="40">
        <v>19</v>
      </c>
      <c r="AO23" s="46">
        <v>7.4460000000000004E-3</v>
      </c>
      <c r="AQ23" s="40" t="s">
        <v>28</v>
      </c>
      <c r="AR23" s="40">
        <v>7</v>
      </c>
      <c r="AS23" s="49">
        <f t="shared" si="1"/>
        <v>3.5000000000000003E-2</v>
      </c>
      <c r="AT23" s="50"/>
      <c r="AU23" s="56">
        <v>75000</v>
      </c>
      <c r="AV23" s="57">
        <v>0.36649999999999999</v>
      </c>
      <c r="AY23" s="40" t="s">
        <v>28</v>
      </c>
      <c r="AZ23" s="40">
        <v>1</v>
      </c>
      <c r="BA23" s="40">
        <v>0.95299999999999996</v>
      </c>
      <c r="BE23" s="40">
        <v>37</v>
      </c>
      <c r="BF23" s="40">
        <v>1.8620000000000001</v>
      </c>
      <c r="BG23" s="40">
        <v>2.3210000000000002</v>
      </c>
      <c r="BJ23" s="386"/>
      <c r="BL23" s="21" t="s">
        <v>57</v>
      </c>
      <c r="BM23" t="str">
        <f>IF(Cotizador!J56=TRUE,"SI","NO")</f>
        <v>NO</v>
      </c>
      <c r="BQ23">
        <v>17</v>
      </c>
      <c r="BR23" s="26" t="e">
        <f t="shared" si="37"/>
        <v>#N/A</v>
      </c>
      <c r="BS23" s="26" t="e">
        <f t="shared" si="38"/>
        <v>#N/A</v>
      </c>
      <c r="BT23" s="26"/>
      <c r="BU23" s="29">
        <v>17</v>
      </c>
      <c r="BV23" s="26" t="e">
        <f t="shared" si="2"/>
        <v>#N/A</v>
      </c>
      <c r="BW23" s="26" t="e">
        <f t="shared" si="3"/>
        <v>#N/A</v>
      </c>
      <c r="BY23" s="29">
        <v>17</v>
      </c>
      <c r="BZ23" s="26" t="e">
        <f t="shared" si="39"/>
        <v>#N/A</v>
      </c>
      <c r="CA23" s="26" t="e">
        <f t="shared" si="40"/>
        <v>#N/A</v>
      </c>
      <c r="CC23" s="29">
        <v>17</v>
      </c>
      <c r="CD23" s="26" t="e">
        <f t="shared" si="41"/>
        <v>#N/A</v>
      </c>
      <c r="CE23" s="26" t="e">
        <f t="shared" si="42"/>
        <v>#N/A</v>
      </c>
      <c r="CG23">
        <v>17</v>
      </c>
      <c r="CH23" s="24" t="e">
        <f t="shared" si="4"/>
        <v>#N/A</v>
      </c>
      <c r="CI23" s="24" t="e">
        <f t="shared" si="5"/>
        <v>#N/A</v>
      </c>
      <c r="CJ23" s="27">
        <f t="shared" si="43"/>
        <v>0</v>
      </c>
      <c r="CK23" s="27">
        <f t="shared" si="6"/>
        <v>0</v>
      </c>
      <c r="CL23" s="26">
        <f t="shared" si="7"/>
        <v>0</v>
      </c>
      <c r="CM23" s="26">
        <f t="shared" si="8"/>
        <v>0</v>
      </c>
      <c r="CN23" s="27">
        <f t="shared" si="9"/>
        <v>0</v>
      </c>
      <c r="CO23" s="27">
        <f t="shared" si="10"/>
        <v>0</v>
      </c>
      <c r="CP23" s="27">
        <f t="shared" si="11"/>
        <v>0</v>
      </c>
      <c r="CQ23" s="27">
        <f t="shared" si="12"/>
        <v>0</v>
      </c>
      <c r="CR23" s="24">
        <f t="shared" si="13"/>
        <v>0</v>
      </c>
      <c r="CS23" s="24">
        <f t="shared" si="14"/>
        <v>0</v>
      </c>
      <c r="CT23">
        <v>0</v>
      </c>
      <c r="CU23" s="24">
        <f t="shared" si="48"/>
        <v>0</v>
      </c>
      <c r="CV23" s="27">
        <f t="shared" si="15"/>
        <v>0</v>
      </c>
      <c r="CW23" s="27">
        <f t="shared" si="16"/>
        <v>0</v>
      </c>
      <c r="CX23" s="27">
        <f t="shared" si="17"/>
        <v>0</v>
      </c>
      <c r="CY23" s="27">
        <f t="shared" si="18"/>
        <v>0</v>
      </c>
      <c r="CZ23" s="24">
        <f t="shared" si="19"/>
        <v>0</v>
      </c>
      <c r="DA23" s="24">
        <f t="shared" si="20"/>
        <v>0</v>
      </c>
      <c r="DB23" s="27">
        <f t="shared" si="21"/>
        <v>0</v>
      </c>
      <c r="DC23" s="27">
        <f t="shared" si="22"/>
        <v>0</v>
      </c>
      <c r="DD23" s="27">
        <f t="shared" si="23"/>
        <v>0</v>
      </c>
      <c r="DE23" s="27">
        <f t="shared" si="24"/>
        <v>0</v>
      </c>
      <c r="DF23" s="24">
        <f t="shared" si="25"/>
        <v>0</v>
      </c>
      <c r="DG23" s="24">
        <f t="shared" si="26"/>
        <v>0</v>
      </c>
      <c r="DH23" s="24">
        <f t="shared" si="27"/>
        <v>0</v>
      </c>
      <c r="DI23" s="24">
        <f t="shared" si="28"/>
        <v>0</v>
      </c>
      <c r="DJ23" s="24">
        <v>0</v>
      </c>
      <c r="DK23" s="24">
        <v>0</v>
      </c>
      <c r="DP23" s="27"/>
      <c r="DQ23" s="27"/>
      <c r="DR23" s="27">
        <f t="shared" si="29"/>
        <v>0</v>
      </c>
      <c r="DS23" s="27">
        <f t="shared" si="30"/>
        <v>0</v>
      </c>
      <c r="DT23" s="27">
        <f t="shared" si="31"/>
        <v>0</v>
      </c>
      <c r="DU23" s="27">
        <f t="shared" si="32"/>
        <v>0</v>
      </c>
      <c r="DV23" s="27">
        <f t="shared" si="44"/>
        <v>0</v>
      </c>
      <c r="DW23" s="27">
        <f t="shared" si="45"/>
        <v>0</v>
      </c>
      <c r="DX23" s="27">
        <f t="shared" si="33"/>
        <v>0</v>
      </c>
      <c r="DY23" s="27">
        <f t="shared" si="34"/>
        <v>0</v>
      </c>
      <c r="DZ23" s="27">
        <f t="shared" si="35"/>
        <v>0</v>
      </c>
      <c r="EA23" s="27">
        <f t="shared" si="36"/>
        <v>0</v>
      </c>
      <c r="EB23" s="27">
        <f t="shared" si="46"/>
        <v>0</v>
      </c>
      <c r="EC23" s="27">
        <f t="shared" si="47"/>
        <v>0</v>
      </c>
    </row>
    <row r="24" spans="1:133" ht="15" thickBot="1" x14ac:dyDescent="0.4">
      <c r="A24" s="385"/>
      <c r="C24" s="31">
        <v>20</v>
      </c>
      <c r="D24" s="32">
        <v>7377.12</v>
      </c>
      <c r="E24" s="32">
        <v>8008.23</v>
      </c>
      <c r="F24" s="72"/>
      <c r="G24" s="31">
        <v>20</v>
      </c>
      <c r="H24" s="73">
        <v>13173.43</v>
      </c>
      <c r="I24" s="73">
        <v>14300.41</v>
      </c>
      <c r="W24" s="40" t="s">
        <v>29</v>
      </c>
      <c r="X24" s="40">
        <v>2</v>
      </c>
      <c r="Y24" s="41">
        <f t="shared" si="0"/>
        <v>0.52</v>
      </c>
      <c r="AA24" s="40">
        <v>4</v>
      </c>
      <c r="AB24" s="41">
        <v>0.7</v>
      </c>
      <c r="AC24" s="51"/>
      <c r="AH24" s="386"/>
      <c r="AN24" s="40">
        <v>20</v>
      </c>
      <c r="AO24" s="46">
        <v>7.4460000000000004E-3</v>
      </c>
      <c r="AQ24" s="40" t="s">
        <v>29</v>
      </c>
      <c r="AR24" s="40">
        <v>2</v>
      </c>
      <c r="AS24" s="49">
        <f t="shared" si="1"/>
        <v>0.09</v>
      </c>
      <c r="AT24" s="50"/>
      <c r="AU24" s="58">
        <v>100000</v>
      </c>
      <c r="AV24" s="59">
        <v>0.48870000000000002</v>
      </c>
      <c r="AY24" s="40" t="s">
        <v>29</v>
      </c>
      <c r="AZ24" s="40">
        <v>2</v>
      </c>
      <c r="BA24" s="40">
        <v>0.47649999999999998</v>
      </c>
      <c r="BE24" s="40">
        <v>38</v>
      </c>
      <c r="BF24" s="40">
        <v>2.0110000000000001</v>
      </c>
      <c r="BG24" s="40">
        <v>2.4300000000000002</v>
      </c>
      <c r="BJ24" s="386"/>
      <c r="BL24" s="21" t="s">
        <v>53</v>
      </c>
      <c r="BM24" t="str">
        <f>IF(Cotizador!J57=TRUE,"SI","NO")</f>
        <v>NO</v>
      </c>
      <c r="BQ24">
        <v>18</v>
      </c>
      <c r="BR24" s="26" t="e">
        <f t="shared" si="37"/>
        <v>#N/A</v>
      </c>
      <c r="BS24" s="26" t="e">
        <f t="shared" si="38"/>
        <v>#N/A</v>
      </c>
      <c r="BT24" s="26"/>
      <c r="BU24" s="29">
        <v>18</v>
      </c>
      <c r="BV24" s="26" t="e">
        <f t="shared" si="2"/>
        <v>#N/A</v>
      </c>
      <c r="BW24" s="26" t="e">
        <f t="shared" si="3"/>
        <v>#N/A</v>
      </c>
      <c r="BY24" s="29">
        <v>18</v>
      </c>
      <c r="BZ24" s="26" t="e">
        <f t="shared" si="39"/>
        <v>#N/A</v>
      </c>
      <c r="CA24" s="26" t="e">
        <f t="shared" si="40"/>
        <v>#N/A</v>
      </c>
      <c r="CC24" s="29">
        <v>18</v>
      </c>
      <c r="CD24" s="26" t="e">
        <f t="shared" si="41"/>
        <v>#N/A</v>
      </c>
      <c r="CE24" s="26" t="e">
        <f t="shared" si="42"/>
        <v>#N/A</v>
      </c>
      <c r="CG24">
        <v>18</v>
      </c>
      <c r="CH24" s="24" t="e">
        <f t="shared" si="4"/>
        <v>#N/A</v>
      </c>
      <c r="CI24" s="24" t="e">
        <f t="shared" si="5"/>
        <v>#N/A</v>
      </c>
      <c r="CJ24" s="27">
        <f t="shared" si="43"/>
        <v>0</v>
      </c>
      <c r="CK24" s="27">
        <f t="shared" si="6"/>
        <v>0</v>
      </c>
      <c r="CL24" s="26">
        <f t="shared" si="7"/>
        <v>0</v>
      </c>
      <c r="CM24" s="26">
        <f t="shared" si="8"/>
        <v>0</v>
      </c>
      <c r="CN24" s="27">
        <f t="shared" si="9"/>
        <v>0</v>
      </c>
      <c r="CO24" s="27">
        <f t="shared" si="10"/>
        <v>0</v>
      </c>
      <c r="CP24" s="27">
        <f t="shared" si="11"/>
        <v>0</v>
      </c>
      <c r="CQ24" s="27">
        <f t="shared" si="12"/>
        <v>0</v>
      </c>
      <c r="CR24" s="24">
        <f t="shared" si="13"/>
        <v>0</v>
      </c>
      <c r="CS24" s="24">
        <f t="shared" si="14"/>
        <v>0</v>
      </c>
      <c r="CT24">
        <v>0</v>
      </c>
      <c r="CU24" s="24">
        <f t="shared" si="48"/>
        <v>0</v>
      </c>
      <c r="CV24" s="27">
        <f t="shared" si="15"/>
        <v>0</v>
      </c>
      <c r="CW24" s="27">
        <f t="shared" si="16"/>
        <v>0</v>
      </c>
      <c r="CX24" s="27">
        <f t="shared" si="17"/>
        <v>0</v>
      </c>
      <c r="CY24" s="27">
        <f t="shared" si="18"/>
        <v>0</v>
      </c>
      <c r="CZ24" s="24">
        <f t="shared" si="19"/>
        <v>0</v>
      </c>
      <c r="DA24" s="24">
        <f t="shared" si="20"/>
        <v>0</v>
      </c>
      <c r="DB24" s="27">
        <f t="shared" si="21"/>
        <v>0</v>
      </c>
      <c r="DC24" s="27">
        <f t="shared" si="22"/>
        <v>0</v>
      </c>
      <c r="DD24" s="27">
        <f t="shared" si="23"/>
        <v>0</v>
      </c>
      <c r="DE24" s="27">
        <f t="shared" si="24"/>
        <v>0</v>
      </c>
      <c r="DF24" s="24">
        <f t="shared" si="25"/>
        <v>0</v>
      </c>
      <c r="DG24" s="24">
        <f t="shared" si="26"/>
        <v>0</v>
      </c>
      <c r="DH24" s="24">
        <f t="shared" si="27"/>
        <v>0</v>
      </c>
      <c r="DI24" s="24">
        <f t="shared" si="28"/>
        <v>0</v>
      </c>
      <c r="DJ24" s="26">
        <f t="shared" ref="DJ24:DJ55" si="49">ROUND(IF($DK$1=1,(($DK$2/1000)*BF4)/(1-$L$7),0),4)</f>
        <v>0</v>
      </c>
      <c r="DK24" s="26">
        <f t="shared" ref="DK24:DK55" si="50">ROUND(IF($DK$1=1,(($DK$2/1000)*BG4)/(1-$L$7),0),4)</f>
        <v>0</v>
      </c>
      <c r="DP24" s="27"/>
      <c r="DQ24" s="27"/>
      <c r="DR24" s="27">
        <f t="shared" si="29"/>
        <v>0</v>
      </c>
      <c r="DS24" s="27">
        <f t="shared" si="30"/>
        <v>0</v>
      </c>
      <c r="DT24" s="27">
        <f t="shared" si="31"/>
        <v>0</v>
      </c>
      <c r="DU24" s="27">
        <f t="shared" si="32"/>
        <v>0</v>
      </c>
      <c r="DV24" s="27">
        <f t="shared" si="44"/>
        <v>0</v>
      </c>
      <c r="DW24" s="27">
        <f t="shared" si="45"/>
        <v>0</v>
      </c>
      <c r="DX24" s="27">
        <f t="shared" si="33"/>
        <v>0</v>
      </c>
      <c r="DY24" s="27">
        <f t="shared" si="34"/>
        <v>0</v>
      </c>
      <c r="DZ24" s="27">
        <f t="shared" si="35"/>
        <v>0</v>
      </c>
      <c r="EA24" s="27">
        <f t="shared" si="36"/>
        <v>0</v>
      </c>
      <c r="EB24" s="27">
        <f t="shared" si="46"/>
        <v>0</v>
      </c>
      <c r="EC24" s="27">
        <f t="shared" si="47"/>
        <v>0</v>
      </c>
    </row>
    <row r="25" spans="1:133" x14ac:dyDescent="0.35">
      <c r="A25" s="385"/>
      <c r="C25" s="31">
        <v>21</v>
      </c>
      <c r="D25" s="32">
        <v>7474.13</v>
      </c>
      <c r="E25" s="32">
        <v>8172.82</v>
      </c>
      <c r="F25" s="72"/>
      <c r="G25" s="31">
        <v>21</v>
      </c>
      <c r="H25" s="73">
        <v>13346.66</v>
      </c>
      <c r="I25" s="73">
        <v>14594.32</v>
      </c>
      <c r="W25" s="40" t="s">
        <v>30</v>
      </c>
      <c r="X25" s="40">
        <v>3</v>
      </c>
      <c r="Y25" s="41">
        <f t="shared" si="0"/>
        <v>0.62</v>
      </c>
      <c r="AA25" s="40">
        <v>5</v>
      </c>
      <c r="AB25" s="41">
        <v>0.68</v>
      </c>
      <c r="AC25" s="51"/>
      <c r="AH25" s="386"/>
      <c r="AN25" s="40">
        <v>21</v>
      </c>
      <c r="AO25" s="46">
        <v>7.4460000000000004E-3</v>
      </c>
      <c r="AQ25" s="40" t="s">
        <v>30</v>
      </c>
      <c r="AR25" s="40">
        <v>3</v>
      </c>
      <c r="AS25" s="49">
        <f t="shared" si="1"/>
        <v>6.9000000000000006E-2</v>
      </c>
      <c r="AT25" s="50"/>
      <c r="AY25" s="40" t="s">
        <v>30</v>
      </c>
      <c r="AZ25" s="40">
        <v>2</v>
      </c>
      <c r="BA25" s="40">
        <v>0.47649999999999998</v>
      </c>
      <c r="BE25" s="40">
        <v>39</v>
      </c>
      <c r="BF25" s="40">
        <v>2.16</v>
      </c>
      <c r="BG25" s="40">
        <v>2.56</v>
      </c>
      <c r="BJ25" s="386"/>
      <c r="BL25" s="21" t="s">
        <v>61</v>
      </c>
      <c r="BM25" t="str">
        <f>IF(Cotizador!J58=TRUE,"SI","NO")</f>
        <v>NO</v>
      </c>
      <c r="BQ25">
        <v>19</v>
      </c>
      <c r="BR25" s="26" t="e">
        <f t="shared" si="37"/>
        <v>#N/A</v>
      </c>
      <c r="BS25" s="26" t="e">
        <f t="shared" si="38"/>
        <v>#N/A</v>
      </c>
      <c r="BT25" s="26"/>
      <c r="BU25" s="29">
        <v>19</v>
      </c>
      <c r="BV25" s="26" t="e">
        <f t="shared" si="2"/>
        <v>#N/A</v>
      </c>
      <c r="BW25" s="26" t="e">
        <f t="shared" si="3"/>
        <v>#N/A</v>
      </c>
      <c r="BY25" s="29">
        <v>19</v>
      </c>
      <c r="BZ25" s="26" t="e">
        <f t="shared" si="39"/>
        <v>#N/A</v>
      </c>
      <c r="CA25" s="26" t="e">
        <f t="shared" si="40"/>
        <v>#N/A</v>
      </c>
      <c r="CC25" s="29">
        <v>19</v>
      </c>
      <c r="CD25" s="26" t="e">
        <f t="shared" si="41"/>
        <v>#N/A</v>
      </c>
      <c r="CE25" s="26" t="e">
        <f t="shared" si="42"/>
        <v>#N/A</v>
      </c>
      <c r="CG25">
        <v>19</v>
      </c>
      <c r="CH25" s="24" t="e">
        <f t="shared" si="4"/>
        <v>#N/A</v>
      </c>
      <c r="CI25" s="24" t="e">
        <f t="shared" si="5"/>
        <v>#N/A</v>
      </c>
      <c r="CJ25" s="27">
        <f t="shared" si="43"/>
        <v>0</v>
      </c>
      <c r="CK25" s="27">
        <f t="shared" si="6"/>
        <v>0</v>
      </c>
      <c r="CL25" s="26">
        <f t="shared" si="7"/>
        <v>0</v>
      </c>
      <c r="CM25" s="26">
        <f t="shared" si="8"/>
        <v>0</v>
      </c>
      <c r="CN25" s="27">
        <f t="shared" si="9"/>
        <v>0</v>
      </c>
      <c r="CO25" s="27">
        <f t="shared" si="10"/>
        <v>0</v>
      </c>
      <c r="CP25" s="27">
        <f t="shared" si="11"/>
        <v>0</v>
      </c>
      <c r="CQ25" s="27">
        <f t="shared" si="12"/>
        <v>0</v>
      </c>
      <c r="CR25" s="24">
        <f t="shared" si="13"/>
        <v>0</v>
      </c>
      <c r="CS25" s="24">
        <f t="shared" si="14"/>
        <v>0</v>
      </c>
      <c r="CT25">
        <v>0</v>
      </c>
      <c r="CU25" s="24">
        <f t="shared" si="48"/>
        <v>0</v>
      </c>
      <c r="CV25" s="27">
        <f t="shared" si="15"/>
        <v>0</v>
      </c>
      <c r="CW25" s="27">
        <f t="shared" si="16"/>
        <v>0</v>
      </c>
      <c r="CX25" s="27">
        <f t="shared" si="17"/>
        <v>0</v>
      </c>
      <c r="CY25" s="27">
        <f t="shared" si="18"/>
        <v>0</v>
      </c>
      <c r="CZ25" s="24">
        <f t="shared" si="19"/>
        <v>0</v>
      </c>
      <c r="DA25" s="24">
        <f t="shared" si="20"/>
        <v>0</v>
      </c>
      <c r="DB25" s="27">
        <f t="shared" si="21"/>
        <v>0</v>
      </c>
      <c r="DC25" s="27">
        <f t="shared" si="22"/>
        <v>0</v>
      </c>
      <c r="DD25" s="27">
        <f t="shared" si="23"/>
        <v>0</v>
      </c>
      <c r="DE25" s="27">
        <f t="shared" si="24"/>
        <v>0</v>
      </c>
      <c r="DF25" s="24">
        <f t="shared" si="25"/>
        <v>0</v>
      </c>
      <c r="DG25" s="24">
        <f t="shared" si="26"/>
        <v>0</v>
      </c>
      <c r="DH25" s="24">
        <f t="shared" si="27"/>
        <v>0</v>
      </c>
      <c r="DI25" s="24">
        <f t="shared" si="28"/>
        <v>0</v>
      </c>
      <c r="DJ25" s="26">
        <f t="shared" si="49"/>
        <v>0</v>
      </c>
      <c r="DK25" s="26">
        <f t="shared" si="50"/>
        <v>0</v>
      </c>
      <c r="DP25" s="27"/>
      <c r="DQ25" s="27"/>
      <c r="DR25" s="27">
        <f t="shared" si="29"/>
        <v>0</v>
      </c>
      <c r="DS25" s="27">
        <f t="shared" si="30"/>
        <v>0</v>
      </c>
      <c r="DT25" s="27">
        <f t="shared" si="31"/>
        <v>0</v>
      </c>
      <c r="DU25" s="27">
        <f t="shared" si="32"/>
        <v>0</v>
      </c>
      <c r="DV25" s="27">
        <f t="shared" si="44"/>
        <v>0</v>
      </c>
      <c r="DW25" s="27">
        <f t="shared" si="45"/>
        <v>0</v>
      </c>
      <c r="DX25" s="27">
        <f t="shared" si="33"/>
        <v>0</v>
      </c>
      <c r="DY25" s="27">
        <f t="shared" si="34"/>
        <v>0</v>
      </c>
      <c r="DZ25" s="27">
        <f t="shared" si="35"/>
        <v>0</v>
      </c>
      <c r="EA25" s="27">
        <f t="shared" si="36"/>
        <v>0</v>
      </c>
      <c r="EB25" s="27">
        <f t="shared" si="46"/>
        <v>0</v>
      </c>
      <c r="EC25" s="27">
        <f t="shared" si="47"/>
        <v>0</v>
      </c>
    </row>
    <row r="26" spans="1:133" x14ac:dyDescent="0.35">
      <c r="A26" s="385"/>
      <c r="C26" s="31">
        <v>22</v>
      </c>
      <c r="D26" s="32">
        <v>7577.68</v>
      </c>
      <c r="E26" s="32">
        <v>8347.2199999999993</v>
      </c>
      <c r="F26" s="72"/>
      <c r="G26" s="31">
        <v>22</v>
      </c>
      <c r="H26" s="73">
        <v>13531.57</v>
      </c>
      <c r="I26" s="73">
        <v>14905.75</v>
      </c>
      <c r="W26" s="40" t="s">
        <v>31</v>
      </c>
      <c r="X26" s="321">
        <v>5</v>
      </c>
      <c r="Y26" s="41">
        <f t="shared" si="0"/>
        <v>0.68</v>
      </c>
      <c r="AA26" s="40">
        <v>6</v>
      </c>
      <c r="AB26" s="41">
        <v>1</v>
      </c>
      <c r="AC26" s="51"/>
      <c r="AH26" s="386"/>
      <c r="AN26" s="40">
        <v>22</v>
      </c>
      <c r="AO26" s="46">
        <v>1.1023999999999999E-2</v>
      </c>
      <c r="AQ26" s="40" t="s">
        <v>31</v>
      </c>
      <c r="AR26" s="321">
        <v>5</v>
      </c>
      <c r="AS26" s="49">
        <f t="shared" si="1"/>
        <v>6.2100000000000002E-2</v>
      </c>
      <c r="AT26" s="50"/>
      <c r="AY26" s="40" t="s">
        <v>31</v>
      </c>
      <c r="AZ26" s="321">
        <v>2</v>
      </c>
      <c r="BA26" s="40">
        <v>0.47649999999999998</v>
      </c>
      <c r="BE26" s="40">
        <v>40</v>
      </c>
      <c r="BF26" s="40">
        <v>2.5670000000000002</v>
      </c>
      <c r="BG26" s="40">
        <v>2.7589999999999999</v>
      </c>
      <c r="BJ26" s="386"/>
      <c r="BL26" s="21" t="s">
        <v>298</v>
      </c>
      <c r="BM26" t="str">
        <f>IF(Cotizador!J59=TRUE,Cotizador!$H$59,"NO")</f>
        <v>NO</v>
      </c>
      <c r="BQ26">
        <v>20</v>
      </c>
      <c r="BR26" s="26" t="e">
        <f t="shared" si="37"/>
        <v>#N/A</v>
      </c>
      <c r="BS26" s="26" t="e">
        <f t="shared" si="38"/>
        <v>#N/A</v>
      </c>
      <c r="BT26" s="26"/>
      <c r="BU26" s="29">
        <v>20</v>
      </c>
      <c r="BV26" s="26" t="e">
        <f t="shared" si="2"/>
        <v>#N/A</v>
      </c>
      <c r="BW26" s="26" t="e">
        <f t="shared" si="3"/>
        <v>#N/A</v>
      </c>
      <c r="BY26" s="29">
        <v>20</v>
      </c>
      <c r="BZ26" s="26" t="e">
        <f t="shared" si="39"/>
        <v>#N/A</v>
      </c>
      <c r="CA26" s="26" t="e">
        <f t="shared" si="40"/>
        <v>#N/A</v>
      </c>
      <c r="CC26" s="29">
        <v>20</v>
      </c>
      <c r="CD26" s="26" t="e">
        <f t="shared" si="41"/>
        <v>#N/A</v>
      </c>
      <c r="CE26" s="26" t="e">
        <f t="shared" si="42"/>
        <v>#N/A</v>
      </c>
      <c r="CG26">
        <v>20</v>
      </c>
      <c r="CH26" s="24" t="e">
        <f t="shared" si="4"/>
        <v>#N/A</v>
      </c>
      <c r="CI26" s="24" t="e">
        <f t="shared" si="5"/>
        <v>#N/A</v>
      </c>
      <c r="CJ26" s="27">
        <f t="shared" si="43"/>
        <v>0</v>
      </c>
      <c r="CK26" s="27">
        <f t="shared" si="6"/>
        <v>0</v>
      </c>
      <c r="CL26" s="26">
        <f t="shared" si="7"/>
        <v>0</v>
      </c>
      <c r="CM26" s="26">
        <f t="shared" si="8"/>
        <v>0</v>
      </c>
      <c r="CN26" s="27">
        <f t="shared" si="9"/>
        <v>0</v>
      </c>
      <c r="CO26" s="27">
        <f t="shared" si="10"/>
        <v>0</v>
      </c>
      <c r="CP26" s="27">
        <f t="shared" si="11"/>
        <v>0</v>
      </c>
      <c r="CQ26" s="27">
        <f t="shared" si="12"/>
        <v>0</v>
      </c>
      <c r="CR26" s="24">
        <f t="shared" si="13"/>
        <v>0</v>
      </c>
      <c r="CS26" s="24">
        <f t="shared" si="14"/>
        <v>0</v>
      </c>
      <c r="CT26">
        <v>0</v>
      </c>
      <c r="CU26" s="24">
        <f t="shared" si="48"/>
        <v>0</v>
      </c>
      <c r="CV26" s="27">
        <f t="shared" si="15"/>
        <v>0</v>
      </c>
      <c r="CW26" s="27">
        <f t="shared" si="16"/>
        <v>0</v>
      </c>
      <c r="CX26" s="27">
        <f t="shared" si="17"/>
        <v>0</v>
      </c>
      <c r="CY26" s="27">
        <f t="shared" si="18"/>
        <v>0</v>
      </c>
      <c r="CZ26" s="24">
        <f t="shared" si="19"/>
        <v>0</v>
      </c>
      <c r="DA26" s="24">
        <f t="shared" si="20"/>
        <v>0</v>
      </c>
      <c r="DB26" s="27">
        <f t="shared" si="21"/>
        <v>0</v>
      </c>
      <c r="DC26" s="27">
        <f t="shared" si="22"/>
        <v>0</v>
      </c>
      <c r="DD26" s="27">
        <f t="shared" si="23"/>
        <v>0</v>
      </c>
      <c r="DE26" s="27">
        <f t="shared" si="24"/>
        <v>0</v>
      </c>
      <c r="DF26" s="24">
        <f t="shared" si="25"/>
        <v>0</v>
      </c>
      <c r="DG26" s="24">
        <f t="shared" si="26"/>
        <v>0</v>
      </c>
      <c r="DH26" s="24">
        <f t="shared" si="27"/>
        <v>0</v>
      </c>
      <c r="DI26" s="24">
        <f t="shared" si="28"/>
        <v>0</v>
      </c>
      <c r="DJ26" s="26">
        <f t="shared" si="49"/>
        <v>0</v>
      </c>
      <c r="DK26" s="26">
        <f t="shared" si="50"/>
        <v>0</v>
      </c>
      <c r="DP26" s="27"/>
      <c r="DQ26" s="27"/>
      <c r="DR26" s="27">
        <f t="shared" si="29"/>
        <v>0</v>
      </c>
      <c r="DS26" s="27">
        <f t="shared" si="30"/>
        <v>0</v>
      </c>
      <c r="DT26" s="27">
        <f t="shared" si="31"/>
        <v>0</v>
      </c>
      <c r="DU26" s="27">
        <f t="shared" si="32"/>
        <v>0</v>
      </c>
      <c r="DV26" s="27">
        <f t="shared" si="44"/>
        <v>0</v>
      </c>
      <c r="DW26" s="27">
        <f t="shared" si="45"/>
        <v>0</v>
      </c>
      <c r="DX26" s="27">
        <f t="shared" si="33"/>
        <v>0</v>
      </c>
      <c r="DY26" s="27">
        <f t="shared" si="34"/>
        <v>0</v>
      </c>
      <c r="DZ26" s="27">
        <f t="shared" si="35"/>
        <v>0</v>
      </c>
      <c r="EA26" s="27">
        <f t="shared" si="36"/>
        <v>0</v>
      </c>
      <c r="EB26" s="27">
        <f t="shared" si="46"/>
        <v>0</v>
      </c>
      <c r="EC26" s="27">
        <f t="shared" si="47"/>
        <v>0</v>
      </c>
    </row>
    <row r="27" spans="1:133" x14ac:dyDescent="0.35">
      <c r="A27" s="385"/>
      <c r="C27" s="31">
        <v>23</v>
      </c>
      <c r="D27" s="32">
        <v>7688.86</v>
      </c>
      <c r="E27" s="32">
        <v>8533.61</v>
      </c>
      <c r="F27" s="72"/>
      <c r="G27" s="31">
        <v>23</v>
      </c>
      <c r="H27" s="73">
        <v>13730.11</v>
      </c>
      <c r="I27" s="73">
        <v>15238.59</v>
      </c>
      <c r="W27" s="40" t="s">
        <v>32</v>
      </c>
      <c r="X27" s="40">
        <v>2</v>
      </c>
      <c r="Y27" s="41">
        <f t="shared" si="0"/>
        <v>0.52</v>
      </c>
      <c r="AA27" s="40">
        <v>7</v>
      </c>
      <c r="AB27" s="41">
        <v>0.83</v>
      </c>
      <c r="AC27" s="51"/>
      <c r="AH27" s="386"/>
      <c r="AN27" s="40">
        <v>23</v>
      </c>
      <c r="AO27" s="46">
        <v>1.5842000000000002E-2</v>
      </c>
      <c r="AQ27" s="40" t="s">
        <v>32</v>
      </c>
      <c r="AR27" s="40">
        <v>2</v>
      </c>
      <c r="AS27" s="49">
        <f t="shared" si="1"/>
        <v>0.09</v>
      </c>
      <c r="AT27" s="50"/>
      <c r="AY27" s="40" t="s">
        <v>32</v>
      </c>
      <c r="AZ27" s="40">
        <v>1</v>
      </c>
      <c r="BA27" s="40">
        <v>0.95299999999999996</v>
      </c>
      <c r="BE27" s="40">
        <v>41</v>
      </c>
      <c r="BF27" s="40">
        <v>3.0339999999999998</v>
      </c>
      <c r="BG27" s="40">
        <v>3.1869999999999998</v>
      </c>
      <c r="BJ27" s="386"/>
      <c r="BQ27">
        <v>21</v>
      </c>
      <c r="BR27" s="26" t="e">
        <f t="shared" si="37"/>
        <v>#N/A</v>
      </c>
      <c r="BS27" s="26" t="e">
        <f t="shared" si="38"/>
        <v>#N/A</v>
      </c>
      <c r="BT27" s="26"/>
      <c r="BU27" s="29">
        <v>21</v>
      </c>
      <c r="BV27" s="26" t="e">
        <f t="shared" si="2"/>
        <v>#N/A</v>
      </c>
      <c r="BW27" s="26" t="e">
        <f t="shared" si="3"/>
        <v>#N/A</v>
      </c>
      <c r="BY27" s="29">
        <v>21</v>
      </c>
      <c r="BZ27" s="26" t="e">
        <f t="shared" si="39"/>
        <v>#N/A</v>
      </c>
      <c r="CA27" s="26" t="e">
        <f t="shared" si="40"/>
        <v>#N/A</v>
      </c>
      <c r="CC27" s="29">
        <v>21</v>
      </c>
      <c r="CD27" s="26" t="e">
        <f t="shared" si="41"/>
        <v>#N/A</v>
      </c>
      <c r="CE27" s="26" t="e">
        <f t="shared" si="42"/>
        <v>#N/A</v>
      </c>
      <c r="CG27">
        <v>21</v>
      </c>
      <c r="CH27" s="24" t="e">
        <f t="shared" si="4"/>
        <v>#N/A</v>
      </c>
      <c r="CI27" s="24" t="e">
        <f t="shared" si="5"/>
        <v>#N/A</v>
      </c>
      <c r="CJ27" s="27">
        <f t="shared" si="43"/>
        <v>0</v>
      </c>
      <c r="CK27" s="27">
        <f t="shared" si="6"/>
        <v>0</v>
      </c>
      <c r="CL27" s="26">
        <f t="shared" si="7"/>
        <v>0</v>
      </c>
      <c r="CM27" s="26">
        <f t="shared" si="8"/>
        <v>0</v>
      </c>
      <c r="CN27" s="27">
        <f t="shared" si="9"/>
        <v>0</v>
      </c>
      <c r="CO27" s="27">
        <f t="shared" si="10"/>
        <v>0</v>
      </c>
      <c r="CP27" s="27">
        <f t="shared" si="11"/>
        <v>0</v>
      </c>
      <c r="CQ27" s="27">
        <f t="shared" si="12"/>
        <v>0</v>
      </c>
      <c r="CR27" s="24">
        <f t="shared" si="13"/>
        <v>0</v>
      </c>
      <c r="CS27" s="24">
        <f t="shared" si="14"/>
        <v>0</v>
      </c>
      <c r="CT27">
        <v>0</v>
      </c>
      <c r="CU27" s="24">
        <f t="shared" si="48"/>
        <v>0</v>
      </c>
      <c r="CV27" s="27">
        <f t="shared" si="15"/>
        <v>0</v>
      </c>
      <c r="CW27" s="27">
        <f t="shared" si="16"/>
        <v>0</v>
      </c>
      <c r="CX27" s="27">
        <f t="shared" si="17"/>
        <v>0</v>
      </c>
      <c r="CY27" s="27">
        <f t="shared" si="18"/>
        <v>0</v>
      </c>
      <c r="CZ27" s="24">
        <f t="shared" si="19"/>
        <v>0</v>
      </c>
      <c r="DA27" s="24">
        <f t="shared" si="20"/>
        <v>0</v>
      </c>
      <c r="DB27" s="27">
        <f t="shared" si="21"/>
        <v>0</v>
      </c>
      <c r="DC27" s="27">
        <f t="shared" si="22"/>
        <v>0</v>
      </c>
      <c r="DD27" s="27">
        <f t="shared" si="23"/>
        <v>0</v>
      </c>
      <c r="DE27" s="27">
        <f t="shared" si="24"/>
        <v>0</v>
      </c>
      <c r="DF27" s="24">
        <f t="shared" si="25"/>
        <v>0</v>
      </c>
      <c r="DG27" s="24">
        <f t="shared" si="26"/>
        <v>0</v>
      </c>
      <c r="DH27" s="24">
        <f t="shared" si="27"/>
        <v>0</v>
      </c>
      <c r="DI27" s="24">
        <f t="shared" si="28"/>
        <v>0</v>
      </c>
      <c r="DJ27" s="26">
        <f t="shared" si="49"/>
        <v>0</v>
      </c>
      <c r="DK27" s="26">
        <f t="shared" si="50"/>
        <v>0</v>
      </c>
      <c r="DP27" s="27"/>
      <c r="DQ27" s="27"/>
      <c r="DR27" s="27">
        <f t="shared" si="29"/>
        <v>0</v>
      </c>
      <c r="DS27" s="27">
        <f t="shared" si="30"/>
        <v>0</v>
      </c>
      <c r="DT27" s="27">
        <f t="shared" si="31"/>
        <v>0</v>
      </c>
      <c r="DU27" s="27">
        <f t="shared" si="32"/>
        <v>0</v>
      </c>
      <c r="DV27" s="27">
        <f t="shared" si="44"/>
        <v>0</v>
      </c>
      <c r="DW27" s="27">
        <f t="shared" si="45"/>
        <v>0</v>
      </c>
      <c r="DX27" s="27">
        <f t="shared" si="33"/>
        <v>0</v>
      </c>
      <c r="DY27" s="27">
        <f t="shared" si="34"/>
        <v>0</v>
      </c>
      <c r="DZ27" s="27">
        <f t="shared" si="35"/>
        <v>0</v>
      </c>
      <c r="EA27" s="27">
        <f t="shared" si="36"/>
        <v>0</v>
      </c>
      <c r="EB27" s="27">
        <f t="shared" si="46"/>
        <v>0</v>
      </c>
      <c r="EC27" s="27">
        <f t="shared" si="47"/>
        <v>0</v>
      </c>
    </row>
    <row r="28" spans="1:133" x14ac:dyDescent="0.35">
      <c r="A28" s="385"/>
      <c r="C28" s="31">
        <v>24</v>
      </c>
      <c r="D28" s="32">
        <v>7808.76</v>
      </c>
      <c r="E28" s="32">
        <v>8731.99</v>
      </c>
      <c r="F28" s="72"/>
      <c r="G28" s="31">
        <v>24</v>
      </c>
      <c r="H28" s="73">
        <v>13944.21</v>
      </c>
      <c r="I28" s="73">
        <v>15592.84</v>
      </c>
      <c r="W28" s="40" t="s">
        <v>33</v>
      </c>
      <c r="X28" s="40">
        <v>3</v>
      </c>
      <c r="Y28" s="41">
        <f t="shared" si="0"/>
        <v>0.62</v>
      </c>
      <c r="AH28" s="386"/>
      <c r="AN28" s="40">
        <v>24</v>
      </c>
      <c r="AO28" s="46">
        <v>2.2080000000000002E-2</v>
      </c>
      <c r="AQ28" s="40" t="s">
        <v>33</v>
      </c>
      <c r="AR28" s="40">
        <v>3</v>
      </c>
      <c r="AS28" s="49">
        <f t="shared" si="1"/>
        <v>6.9000000000000006E-2</v>
      </c>
      <c r="AT28" s="50"/>
      <c r="AU28" s="369" t="s">
        <v>162</v>
      </c>
      <c r="AV28" s="369"/>
      <c r="AY28" s="40" t="s">
        <v>33</v>
      </c>
      <c r="AZ28" s="40">
        <v>2</v>
      </c>
      <c r="BA28" s="40">
        <v>0.47649999999999998</v>
      </c>
      <c r="BE28" s="40">
        <v>42</v>
      </c>
      <c r="BF28" s="40">
        <v>3.5</v>
      </c>
      <c r="BG28" s="40">
        <v>3.6150000000000002</v>
      </c>
      <c r="BJ28" s="386"/>
      <c r="BQ28">
        <v>22</v>
      </c>
      <c r="BR28" s="26" t="e">
        <f t="shared" si="37"/>
        <v>#N/A</v>
      </c>
      <c r="BS28" s="26" t="e">
        <f t="shared" si="38"/>
        <v>#N/A</v>
      </c>
      <c r="BT28" s="26"/>
      <c r="BU28" s="29">
        <v>22</v>
      </c>
      <c r="BV28" s="26" t="e">
        <f t="shared" si="2"/>
        <v>#N/A</v>
      </c>
      <c r="BW28" s="26" t="e">
        <f t="shared" si="3"/>
        <v>#N/A</v>
      </c>
      <c r="BY28" s="29">
        <v>22</v>
      </c>
      <c r="BZ28" s="26" t="e">
        <f t="shared" si="39"/>
        <v>#N/A</v>
      </c>
      <c r="CA28" s="26" t="e">
        <f t="shared" si="40"/>
        <v>#N/A</v>
      </c>
      <c r="CC28" s="29">
        <v>22</v>
      </c>
      <c r="CD28" s="26" t="e">
        <f t="shared" si="41"/>
        <v>#N/A</v>
      </c>
      <c r="CE28" s="26" t="e">
        <f t="shared" si="42"/>
        <v>#N/A</v>
      </c>
      <c r="CG28">
        <v>22</v>
      </c>
      <c r="CH28" s="24" t="e">
        <f t="shared" si="4"/>
        <v>#N/A</v>
      </c>
      <c r="CI28" s="24" t="e">
        <f t="shared" si="5"/>
        <v>#N/A</v>
      </c>
      <c r="CJ28" s="27">
        <f t="shared" si="43"/>
        <v>0</v>
      </c>
      <c r="CK28" s="27">
        <f t="shared" si="6"/>
        <v>0</v>
      </c>
      <c r="CL28" s="26">
        <f t="shared" si="7"/>
        <v>0</v>
      </c>
      <c r="CM28" s="26">
        <f t="shared" si="8"/>
        <v>0</v>
      </c>
      <c r="CN28" s="27">
        <f t="shared" si="9"/>
        <v>0</v>
      </c>
      <c r="CO28" s="27">
        <f t="shared" si="10"/>
        <v>0</v>
      </c>
      <c r="CP28" s="27">
        <f t="shared" si="11"/>
        <v>0</v>
      </c>
      <c r="CQ28" s="27">
        <f t="shared" si="12"/>
        <v>0</v>
      </c>
      <c r="CR28" s="24">
        <f t="shared" si="13"/>
        <v>0</v>
      </c>
      <c r="CS28" s="24">
        <f t="shared" si="14"/>
        <v>0</v>
      </c>
      <c r="CT28">
        <v>0</v>
      </c>
      <c r="CU28" s="24">
        <f t="shared" si="48"/>
        <v>0</v>
      </c>
      <c r="CV28" s="27">
        <f t="shared" si="15"/>
        <v>0</v>
      </c>
      <c r="CW28" s="27">
        <f t="shared" si="16"/>
        <v>0</v>
      </c>
      <c r="CX28" s="27">
        <f t="shared" si="17"/>
        <v>0</v>
      </c>
      <c r="CY28" s="27">
        <f t="shared" si="18"/>
        <v>0</v>
      </c>
      <c r="CZ28" s="24">
        <f t="shared" si="19"/>
        <v>0</v>
      </c>
      <c r="DA28" s="24">
        <f t="shared" si="20"/>
        <v>0</v>
      </c>
      <c r="DB28" s="27">
        <f t="shared" si="21"/>
        <v>0</v>
      </c>
      <c r="DC28" s="27">
        <f t="shared" si="22"/>
        <v>0</v>
      </c>
      <c r="DD28" s="27">
        <f t="shared" si="23"/>
        <v>0</v>
      </c>
      <c r="DE28" s="27">
        <f t="shared" si="24"/>
        <v>0</v>
      </c>
      <c r="DF28" s="24">
        <f t="shared" si="25"/>
        <v>0</v>
      </c>
      <c r="DG28" s="24">
        <f t="shared" si="26"/>
        <v>0</v>
      </c>
      <c r="DH28" s="24">
        <f t="shared" si="27"/>
        <v>0</v>
      </c>
      <c r="DI28" s="24">
        <f t="shared" si="28"/>
        <v>0</v>
      </c>
      <c r="DJ28" s="26">
        <f t="shared" si="49"/>
        <v>0</v>
      </c>
      <c r="DK28" s="26">
        <f t="shared" si="50"/>
        <v>0</v>
      </c>
      <c r="DP28" s="27"/>
      <c r="DQ28" s="27"/>
      <c r="DR28" s="27">
        <f t="shared" si="29"/>
        <v>0</v>
      </c>
      <c r="DS28" s="27">
        <f t="shared" si="30"/>
        <v>0</v>
      </c>
      <c r="DT28" s="27">
        <f t="shared" si="31"/>
        <v>0</v>
      </c>
      <c r="DU28" s="27">
        <f t="shared" si="32"/>
        <v>0</v>
      </c>
      <c r="DV28" s="27">
        <f t="shared" si="44"/>
        <v>0</v>
      </c>
      <c r="DW28" s="27">
        <f t="shared" si="45"/>
        <v>0</v>
      </c>
      <c r="DX28" s="27">
        <f t="shared" si="33"/>
        <v>0</v>
      </c>
      <c r="DY28" s="27">
        <f t="shared" si="34"/>
        <v>0</v>
      </c>
      <c r="DZ28" s="27">
        <f t="shared" si="35"/>
        <v>0</v>
      </c>
      <c r="EA28" s="27">
        <f t="shared" si="36"/>
        <v>0</v>
      </c>
      <c r="EB28" s="27">
        <f t="shared" si="46"/>
        <v>0</v>
      </c>
      <c r="EC28" s="27">
        <f t="shared" si="47"/>
        <v>0</v>
      </c>
    </row>
    <row r="29" spans="1:133" x14ac:dyDescent="0.35">
      <c r="A29" s="385"/>
      <c r="C29" s="31">
        <v>25</v>
      </c>
      <c r="D29" s="32">
        <v>7938.47</v>
      </c>
      <c r="E29" s="32">
        <v>9365.2800000000007</v>
      </c>
      <c r="F29" s="72"/>
      <c r="G29" s="31">
        <v>25</v>
      </c>
      <c r="H29" s="73">
        <v>14175.84</v>
      </c>
      <c r="I29" s="73">
        <v>16723.71</v>
      </c>
      <c r="W29" s="40" t="s">
        <v>34</v>
      </c>
      <c r="X29" s="321">
        <v>2</v>
      </c>
      <c r="Y29" s="41">
        <f t="shared" si="0"/>
        <v>0.52</v>
      </c>
      <c r="AH29" s="386"/>
      <c r="AN29" s="40">
        <v>25</v>
      </c>
      <c r="AO29" s="46">
        <v>2.9918E-2</v>
      </c>
      <c r="AQ29" s="40" t="s">
        <v>34</v>
      </c>
      <c r="AR29" s="321">
        <v>2</v>
      </c>
      <c r="AS29" s="49">
        <f t="shared" si="1"/>
        <v>0.09</v>
      </c>
      <c r="AT29" s="50"/>
      <c r="AU29" s="30" t="s">
        <v>161</v>
      </c>
      <c r="AV29" s="30" t="s">
        <v>252</v>
      </c>
      <c r="AY29" s="40" t="s">
        <v>34</v>
      </c>
      <c r="AZ29" s="321">
        <v>1</v>
      </c>
      <c r="BA29" s="40">
        <v>0.47649999999999998</v>
      </c>
      <c r="BE29" s="40">
        <v>43</v>
      </c>
      <c r="BF29" s="40">
        <v>3.964</v>
      </c>
      <c r="BG29" s="40">
        <v>3.9340000000000002</v>
      </c>
      <c r="BJ29" s="386"/>
      <c r="BL29" s="3" t="s">
        <v>73</v>
      </c>
      <c r="BM29" s="4"/>
      <c r="BN29" s="4"/>
      <c r="BQ29">
        <v>23</v>
      </c>
      <c r="BR29" s="26" t="e">
        <f t="shared" si="37"/>
        <v>#N/A</v>
      </c>
      <c r="BS29" s="26" t="e">
        <f t="shared" si="38"/>
        <v>#N/A</v>
      </c>
      <c r="BT29" s="26"/>
      <c r="BU29" s="29">
        <v>23</v>
      </c>
      <c r="BV29" s="26" t="e">
        <f t="shared" si="2"/>
        <v>#N/A</v>
      </c>
      <c r="BW29" s="26" t="e">
        <f t="shared" si="3"/>
        <v>#N/A</v>
      </c>
      <c r="BY29" s="29">
        <v>23</v>
      </c>
      <c r="BZ29" s="26" t="e">
        <f t="shared" si="39"/>
        <v>#N/A</v>
      </c>
      <c r="CA29" s="26" t="e">
        <f t="shared" si="40"/>
        <v>#N/A</v>
      </c>
      <c r="CC29" s="29">
        <v>23</v>
      </c>
      <c r="CD29" s="26" t="e">
        <f t="shared" si="41"/>
        <v>#N/A</v>
      </c>
      <c r="CE29" s="26" t="e">
        <f t="shared" si="42"/>
        <v>#N/A</v>
      </c>
      <c r="CG29">
        <v>23</v>
      </c>
      <c r="CH29" s="24" t="e">
        <f t="shared" si="4"/>
        <v>#N/A</v>
      </c>
      <c r="CI29" s="24" t="e">
        <f t="shared" si="5"/>
        <v>#N/A</v>
      </c>
      <c r="CJ29" s="27">
        <f t="shared" si="43"/>
        <v>0</v>
      </c>
      <c r="CK29" s="27">
        <f t="shared" si="6"/>
        <v>0</v>
      </c>
      <c r="CL29" s="26">
        <f t="shared" si="7"/>
        <v>0</v>
      </c>
      <c r="CM29" s="26">
        <f t="shared" si="8"/>
        <v>0</v>
      </c>
      <c r="CN29" s="27">
        <f t="shared" si="9"/>
        <v>0</v>
      </c>
      <c r="CO29" s="27">
        <f t="shared" si="10"/>
        <v>0</v>
      </c>
      <c r="CP29" s="27">
        <f t="shared" si="11"/>
        <v>0</v>
      </c>
      <c r="CQ29" s="27">
        <f t="shared" si="12"/>
        <v>0</v>
      </c>
      <c r="CR29" s="24">
        <f t="shared" si="13"/>
        <v>0</v>
      </c>
      <c r="CS29" s="24">
        <f t="shared" si="14"/>
        <v>0</v>
      </c>
      <c r="CT29">
        <v>0</v>
      </c>
      <c r="CU29" s="24">
        <f t="shared" si="48"/>
        <v>0</v>
      </c>
      <c r="CV29" s="27">
        <f t="shared" si="15"/>
        <v>0</v>
      </c>
      <c r="CW29" s="27">
        <f t="shared" si="16"/>
        <v>0</v>
      </c>
      <c r="CX29" s="27">
        <f t="shared" si="17"/>
        <v>0</v>
      </c>
      <c r="CY29" s="27">
        <f t="shared" si="18"/>
        <v>0</v>
      </c>
      <c r="CZ29" s="24">
        <f t="shared" si="19"/>
        <v>0</v>
      </c>
      <c r="DA29" s="24">
        <f t="shared" si="20"/>
        <v>0</v>
      </c>
      <c r="DB29" s="27">
        <f t="shared" si="21"/>
        <v>0</v>
      </c>
      <c r="DC29" s="27">
        <f t="shared" si="22"/>
        <v>0</v>
      </c>
      <c r="DD29" s="27">
        <f t="shared" si="23"/>
        <v>0</v>
      </c>
      <c r="DE29" s="27">
        <f t="shared" si="24"/>
        <v>0</v>
      </c>
      <c r="DF29" s="24">
        <f t="shared" si="25"/>
        <v>0</v>
      </c>
      <c r="DG29" s="24">
        <f t="shared" si="26"/>
        <v>0</v>
      </c>
      <c r="DH29" s="24">
        <f t="shared" si="27"/>
        <v>0</v>
      </c>
      <c r="DI29" s="24">
        <f t="shared" si="28"/>
        <v>0</v>
      </c>
      <c r="DJ29" s="26">
        <f t="shared" si="49"/>
        <v>0</v>
      </c>
      <c r="DK29" s="26">
        <f t="shared" si="50"/>
        <v>0</v>
      </c>
      <c r="DP29" s="27"/>
      <c r="DQ29" s="27"/>
      <c r="DR29" s="27">
        <f t="shared" si="29"/>
        <v>0</v>
      </c>
      <c r="DS29" s="27">
        <f t="shared" si="30"/>
        <v>0</v>
      </c>
      <c r="DT29" s="27">
        <f t="shared" si="31"/>
        <v>0</v>
      </c>
      <c r="DU29" s="27">
        <f t="shared" si="32"/>
        <v>0</v>
      </c>
      <c r="DV29" s="27">
        <f t="shared" si="44"/>
        <v>0</v>
      </c>
      <c r="DW29" s="27">
        <f t="shared" si="45"/>
        <v>0</v>
      </c>
      <c r="DX29" s="27">
        <f t="shared" si="33"/>
        <v>0</v>
      </c>
      <c r="DY29" s="27">
        <f t="shared" si="34"/>
        <v>0</v>
      </c>
      <c r="DZ29" s="27">
        <f t="shared" si="35"/>
        <v>0</v>
      </c>
      <c r="EA29" s="27">
        <f t="shared" si="36"/>
        <v>0</v>
      </c>
      <c r="EB29" s="27">
        <f t="shared" si="46"/>
        <v>0</v>
      </c>
      <c r="EC29" s="27">
        <f t="shared" si="47"/>
        <v>0</v>
      </c>
    </row>
    <row r="30" spans="1:133" x14ac:dyDescent="0.35">
      <c r="A30" s="385"/>
      <c r="C30" s="31">
        <v>26</v>
      </c>
      <c r="D30" s="32">
        <v>8079.08</v>
      </c>
      <c r="E30" s="32">
        <v>9729.34</v>
      </c>
      <c r="F30" s="72"/>
      <c r="G30" s="31">
        <v>26</v>
      </c>
      <c r="H30" s="73">
        <v>14426.93</v>
      </c>
      <c r="I30" s="73">
        <v>17373.82</v>
      </c>
      <c r="W30" s="40" t="s">
        <v>35</v>
      </c>
      <c r="X30" s="40">
        <v>2</v>
      </c>
      <c r="Y30" s="41">
        <f t="shared" si="0"/>
        <v>0.52</v>
      </c>
      <c r="AH30" s="386"/>
      <c r="AN30" s="40">
        <v>26</v>
      </c>
      <c r="AO30" s="46">
        <v>3.9536000000000002E-2</v>
      </c>
      <c r="AQ30" s="40" t="s">
        <v>35</v>
      </c>
      <c r="AR30" s="40">
        <v>2</v>
      </c>
      <c r="AS30" s="49">
        <f t="shared" si="1"/>
        <v>0.09</v>
      </c>
      <c r="AT30" s="50"/>
      <c r="AU30" s="40">
        <v>1</v>
      </c>
      <c r="AV30" s="49">
        <v>0.104</v>
      </c>
      <c r="AY30" s="40" t="s">
        <v>35</v>
      </c>
      <c r="AZ30" s="40">
        <v>1</v>
      </c>
      <c r="BA30" s="40">
        <v>0.95299999999999996</v>
      </c>
      <c r="BE30" s="40">
        <v>44</v>
      </c>
      <c r="BF30" s="40">
        <v>4.4290000000000003</v>
      </c>
      <c r="BG30" s="40">
        <v>4.2530000000000001</v>
      </c>
      <c r="BJ30" s="386"/>
      <c r="BL30" s="366" t="s">
        <v>65</v>
      </c>
      <c r="BM30" s="366" t="s">
        <v>66</v>
      </c>
      <c r="BN30" s="366" t="s">
        <v>67</v>
      </c>
      <c r="BQ30">
        <v>24</v>
      </c>
      <c r="BR30" s="26" t="e">
        <f t="shared" si="37"/>
        <v>#N/A</v>
      </c>
      <c r="BS30" s="26" t="e">
        <f t="shared" si="38"/>
        <v>#N/A</v>
      </c>
      <c r="BT30" s="26"/>
      <c r="BU30" s="29">
        <v>24</v>
      </c>
      <c r="BV30" s="26" t="e">
        <f t="shared" si="2"/>
        <v>#N/A</v>
      </c>
      <c r="BW30" s="26" t="e">
        <f t="shared" si="3"/>
        <v>#N/A</v>
      </c>
      <c r="BY30" s="29">
        <v>24</v>
      </c>
      <c r="BZ30" s="26" t="e">
        <f t="shared" si="39"/>
        <v>#N/A</v>
      </c>
      <c r="CA30" s="26" t="e">
        <f t="shared" si="40"/>
        <v>#N/A</v>
      </c>
      <c r="CC30" s="29">
        <v>24</v>
      </c>
      <c r="CD30" s="26" t="e">
        <f t="shared" si="41"/>
        <v>#N/A</v>
      </c>
      <c r="CE30" s="26" t="e">
        <f t="shared" si="42"/>
        <v>#N/A</v>
      </c>
      <c r="CG30">
        <v>24</v>
      </c>
      <c r="CH30" s="24" t="e">
        <f t="shared" si="4"/>
        <v>#N/A</v>
      </c>
      <c r="CI30" s="24" t="e">
        <f t="shared" si="5"/>
        <v>#N/A</v>
      </c>
      <c r="CJ30" s="27">
        <f t="shared" si="43"/>
        <v>0</v>
      </c>
      <c r="CK30" s="27">
        <f t="shared" si="6"/>
        <v>0</v>
      </c>
      <c r="CL30" s="26">
        <f t="shared" si="7"/>
        <v>0</v>
      </c>
      <c r="CM30" s="26">
        <f t="shared" si="8"/>
        <v>0</v>
      </c>
      <c r="CN30" s="27">
        <f t="shared" si="9"/>
        <v>0</v>
      </c>
      <c r="CO30" s="27">
        <f t="shared" si="10"/>
        <v>0</v>
      </c>
      <c r="CP30" s="27">
        <f t="shared" si="11"/>
        <v>0</v>
      </c>
      <c r="CQ30" s="27">
        <f t="shared" si="12"/>
        <v>0</v>
      </c>
      <c r="CR30" s="24">
        <f t="shared" si="13"/>
        <v>0</v>
      </c>
      <c r="CS30" s="24">
        <f t="shared" si="14"/>
        <v>0</v>
      </c>
      <c r="CT30">
        <v>0</v>
      </c>
      <c r="CU30" s="24">
        <f t="shared" si="48"/>
        <v>0</v>
      </c>
      <c r="CV30" s="27">
        <f t="shared" si="15"/>
        <v>0</v>
      </c>
      <c r="CW30" s="27">
        <f t="shared" si="16"/>
        <v>0</v>
      </c>
      <c r="CX30" s="27">
        <f t="shared" si="17"/>
        <v>0</v>
      </c>
      <c r="CY30" s="27">
        <f t="shared" si="18"/>
        <v>0</v>
      </c>
      <c r="CZ30" s="24">
        <f t="shared" si="19"/>
        <v>0</v>
      </c>
      <c r="DA30" s="24">
        <f t="shared" si="20"/>
        <v>0</v>
      </c>
      <c r="DB30" s="27">
        <f t="shared" si="21"/>
        <v>0</v>
      </c>
      <c r="DC30" s="27">
        <f t="shared" si="22"/>
        <v>0</v>
      </c>
      <c r="DD30" s="27">
        <f t="shared" si="23"/>
        <v>0</v>
      </c>
      <c r="DE30" s="27">
        <f t="shared" si="24"/>
        <v>0</v>
      </c>
      <c r="DF30" s="24">
        <f t="shared" si="25"/>
        <v>0</v>
      </c>
      <c r="DG30" s="24">
        <f t="shared" si="26"/>
        <v>0</v>
      </c>
      <c r="DH30" s="24">
        <f t="shared" si="27"/>
        <v>0</v>
      </c>
      <c r="DI30" s="24">
        <f t="shared" si="28"/>
        <v>0</v>
      </c>
      <c r="DJ30" s="26">
        <f t="shared" si="49"/>
        <v>0</v>
      </c>
      <c r="DK30" s="26">
        <f t="shared" si="50"/>
        <v>0</v>
      </c>
      <c r="DP30" s="27"/>
      <c r="DQ30" s="27"/>
      <c r="DR30" s="27">
        <f t="shared" si="29"/>
        <v>0</v>
      </c>
      <c r="DS30" s="27">
        <f t="shared" si="30"/>
        <v>0</v>
      </c>
      <c r="DT30" s="27">
        <f t="shared" si="31"/>
        <v>0</v>
      </c>
      <c r="DU30" s="27">
        <f t="shared" si="32"/>
        <v>0</v>
      </c>
      <c r="DV30" s="27">
        <f t="shared" si="44"/>
        <v>0</v>
      </c>
      <c r="DW30" s="27">
        <f t="shared" si="45"/>
        <v>0</v>
      </c>
      <c r="DX30" s="27">
        <f t="shared" si="33"/>
        <v>0</v>
      </c>
      <c r="DY30" s="27">
        <f t="shared" si="34"/>
        <v>0</v>
      </c>
      <c r="DZ30" s="27">
        <f t="shared" si="35"/>
        <v>0</v>
      </c>
      <c r="EA30" s="27">
        <f t="shared" si="36"/>
        <v>0</v>
      </c>
      <c r="EB30" s="27">
        <f t="shared" si="46"/>
        <v>0</v>
      </c>
      <c r="EC30" s="27">
        <f t="shared" si="47"/>
        <v>0</v>
      </c>
    </row>
    <row r="31" spans="1:133" x14ac:dyDescent="0.35">
      <c r="A31" s="385"/>
      <c r="C31" s="31">
        <v>27</v>
      </c>
      <c r="D31" s="32">
        <v>8232.77</v>
      </c>
      <c r="E31" s="32">
        <v>10644.94</v>
      </c>
      <c r="F31" s="72"/>
      <c r="G31" s="31">
        <v>27</v>
      </c>
      <c r="H31" s="73">
        <v>14701.38</v>
      </c>
      <c r="I31" s="73">
        <v>19008.82</v>
      </c>
      <c r="W31" s="40" t="s">
        <v>36</v>
      </c>
      <c r="X31" s="40">
        <v>2</v>
      </c>
      <c r="Y31" s="41">
        <f t="shared" si="0"/>
        <v>0.52</v>
      </c>
      <c r="AH31" s="386"/>
      <c r="AN31" s="40">
        <v>27</v>
      </c>
      <c r="AO31" s="46">
        <v>8.7098143324294316E-2</v>
      </c>
      <c r="AQ31" s="40" t="s">
        <v>36</v>
      </c>
      <c r="AR31" s="40">
        <v>2</v>
      </c>
      <c r="AS31" s="49">
        <f t="shared" si="1"/>
        <v>0.09</v>
      </c>
      <c r="AT31" s="50"/>
      <c r="AU31" s="40">
        <v>2</v>
      </c>
      <c r="AV31" s="49">
        <v>0.09</v>
      </c>
      <c r="AY31" s="40" t="s">
        <v>36</v>
      </c>
      <c r="AZ31" s="40">
        <v>2</v>
      </c>
      <c r="BA31" s="40">
        <v>0.47649999999999998</v>
      </c>
      <c r="BE31" s="40">
        <v>45</v>
      </c>
      <c r="BF31" s="40">
        <v>4.8949999999999996</v>
      </c>
      <c r="BG31" s="40">
        <v>4.5430000000000001</v>
      </c>
      <c r="BJ31" s="386"/>
      <c r="BL31" s="366" t="s">
        <v>63</v>
      </c>
      <c r="BM31" s="368">
        <v>0</v>
      </c>
      <c r="BN31" s="366">
        <v>1</v>
      </c>
      <c r="BQ31">
        <v>25</v>
      </c>
      <c r="BR31" s="26" t="e">
        <f t="shared" si="37"/>
        <v>#N/A</v>
      </c>
      <c r="BS31" s="26" t="e">
        <f t="shared" si="38"/>
        <v>#N/A</v>
      </c>
      <c r="BT31" s="26"/>
      <c r="BU31" s="29">
        <v>25</v>
      </c>
      <c r="BV31" s="26" t="e">
        <f t="shared" si="2"/>
        <v>#N/A</v>
      </c>
      <c r="BW31" s="26" t="e">
        <f t="shared" si="3"/>
        <v>#N/A</v>
      </c>
      <c r="BY31" s="29">
        <v>25</v>
      </c>
      <c r="BZ31" s="26" t="e">
        <f t="shared" si="39"/>
        <v>#N/A</v>
      </c>
      <c r="CA31" s="26" t="e">
        <f t="shared" si="40"/>
        <v>#N/A</v>
      </c>
      <c r="CC31" s="29">
        <v>25</v>
      </c>
      <c r="CD31" s="26" t="e">
        <f t="shared" si="41"/>
        <v>#N/A</v>
      </c>
      <c r="CE31" s="26" t="e">
        <f t="shared" si="42"/>
        <v>#N/A</v>
      </c>
      <c r="CG31">
        <v>25</v>
      </c>
      <c r="CH31" s="24" t="e">
        <f t="shared" si="4"/>
        <v>#N/A</v>
      </c>
      <c r="CI31" s="24" t="e">
        <f t="shared" si="5"/>
        <v>#N/A</v>
      </c>
      <c r="CJ31" s="27">
        <f t="shared" si="43"/>
        <v>0</v>
      </c>
      <c r="CK31" s="27">
        <f t="shared" si="6"/>
        <v>0</v>
      </c>
      <c r="CL31" s="26">
        <f t="shared" si="7"/>
        <v>0</v>
      </c>
      <c r="CM31" s="26">
        <f t="shared" si="8"/>
        <v>0</v>
      </c>
      <c r="CN31" s="27">
        <f t="shared" si="9"/>
        <v>0</v>
      </c>
      <c r="CO31" s="27">
        <f t="shared" si="10"/>
        <v>0</v>
      </c>
      <c r="CP31" s="27">
        <f t="shared" si="11"/>
        <v>0</v>
      </c>
      <c r="CQ31" s="27">
        <f t="shared" si="12"/>
        <v>0</v>
      </c>
      <c r="CR31" s="24">
        <f t="shared" si="13"/>
        <v>0</v>
      </c>
      <c r="CS31" s="24">
        <f t="shared" si="14"/>
        <v>0</v>
      </c>
      <c r="CT31">
        <v>0</v>
      </c>
      <c r="CU31" s="24">
        <f t="shared" si="48"/>
        <v>0</v>
      </c>
      <c r="CV31" s="27">
        <f t="shared" si="15"/>
        <v>0</v>
      </c>
      <c r="CW31" s="27">
        <f t="shared" si="16"/>
        <v>0</v>
      </c>
      <c r="CX31" s="27">
        <f t="shared" si="17"/>
        <v>0</v>
      </c>
      <c r="CY31" s="27">
        <f t="shared" si="18"/>
        <v>0</v>
      </c>
      <c r="CZ31" s="24">
        <f t="shared" si="19"/>
        <v>0</v>
      </c>
      <c r="DA31" s="24">
        <f t="shared" si="20"/>
        <v>0</v>
      </c>
      <c r="DB31" s="27">
        <f t="shared" si="21"/>
        <v>0</v>
      </c>
      <c r="DC31" s="27">
        <f t="shared" si="22"/>
        <v>0</v>
      </c>
      <c r="DD31" s="27">
        <f t="shared" si="23"/>
        <v>0</v>
      </c>
      <c r="DE31" s="27">
        <f t="shared" si="24"/>
        <v>0</v>
      </c>
      <c r="DF31" s="24">
        <f t="shared" si="25"/>
        <v>0</v>
      </c>
      <c r="DG31" s="24">
        <f t="shared" si="26"/>
        <v>0</v>
      </c>
      <c r="DH31" s="24">
        <f t="shared" si="27"/>
        <v>0</v>
      </c>
      <c r="DI31" s="24">
        <f t="shared" si="28"/>
        <v>0</v>
      </c>
      <c r="DJ31" s="26">
        <f t="shared" si="49"/>
        <v>0</v>
      </c>
      <c r="DK31" s="26">
        <f t="shared" si="50"/>
        <v>0</v>
      </c>
      <c r="DP31" s="27"/>
      <c r="DQ31" s="27"/>
      <c r="DR31" s="27">
        <f t="shared" si="29"/>
        <v>0</v>
      </c>
      <c r="DS31" s="27">
        <f t="shared" si="30"/>
        <v>0</v>
      </c>
      <c r="DT31" s="27">
        <f t="shared" si="31"/>
        <v>0</v>
      </c>
      <c r="DU31" s="27">
        <f t="shared" si="32"/>
        <v>0</v>
      </c>
      <c r="DV31" s="27">
        <f t="shared" si="44"/>
        <v>0</v>
      </c>
      <c r="DW31" s="27">
        <f t="shared" si="45"/>
        <v>0</v>
      </c>
      <c r="DX31" s="27">
        <f t="shared" si="33"/>
        <v>0</v>
      </c>
      <c r="DY31" s="27">
        <f t="shared" si="34"/>
        <v>0</v>
      </c>
      <c r="DZ31" s="27">
        <f t="shared" si="35"/>
        <v>0</v>
      </c>
      <c r="EA31" s="27">
        <f t="shared" si="36"/>
        <v>0</v>
      </c>
      <c r="EB31" s="27">
        <f t="shared" si="46"/>
        <v>0</v>
      </c>
      <c r="EC31" s="27">
        <f t="shared" si="47"/>
        <v>0</v>
      </c>
    </row>
    <row r="32" spans="1:133" x14ac:dyDescent="0.35">
      <c r="A32" s="385"/>
      <c r="C32" s="31">
        <v>28</v>
      </c>
      <c r="D32" s="32">
        <v>8400.6299999999992</v>
      </c>
      <c r="E32" s="32">
        <v>11017.72</v>
      </c>
      <c r="F32" s="72"/>
      <c r="G32" s="31">
        <v>28</v>
      </c>
      <c r="H32" s="73">
        <v>15001.13</v>
      </c>
      <c r="I32" s="73">
        <v>19674.5</v>
      </c>
      <c r="W32" s="40" t="s">
        <v>37</v>
      </c>
      <c r="X32" s="40">
        <v>2</v>
      </c>
      <c r="Y32" s="41">
        <f t="shared" si="0"/>
        <v>0.52</v>
      </c>
      <c r="AH32" s="386"/>
      <c r="AN32" s="40">
        <v>28</v>
      </c>
      <c r="AO32" s="46">
        <v>9.4598143324294309E-2</v>
      </c>
      <c r="AQ32" s="40" t="s">
        <v>37</v>
      </c>
      <c r="AR32" s="40">
        <v>2</v>
      </c>
      <c r="AS32" s="49">
        <f t="shared" si="1"/>
        <v>0.09</v>
      </c>
      <c r="AT32" s="50"/>
      <c r="AU32" s="40">
        <v>3</v>
      </c>
      <c r="AV32" s="49">
        <v>6.9000000000000006E-2</v>
      </c>
      <c r="AY32" s="40" t="s">
        <v>37</v>
      </c>
      <c r="AZ32" s="40">
        <v>1</v>
      </c>
      <c r="BA32" s="40">
        <v>0.95299999999999996</v>
      </c>
      <c r="BE32" s="40">
        <v>46</v>
      </c>
      <c r="BF32" s="40">
        <v>5.36</v>
      </c>
      <c r="BG32" s="40">
        <v>4.8319999999999999</v>
      </c>
      <c r="BJ32" s="386"/>
      <c r="BL32" s="366" t="s">
        <v>68</v>
      </c>
      <c r="BM32" s="368">
        <v>0.04</v>
      </c>
      <c r="BN32" s="366">
        <v>2</v>
      </c>
      <c r="BQ32">
        <v>26</v>
      </c>
      <c r="BR32" s="26" t="e">
        <f t="shared" si="37"/>
        <v>#N/A</v>
      </c>
      <c r="BS32" s="26" t="e">
        <f t="shared" si="38"/>
        <v>#N/A</v>
      </c>
      <c r="BT32" s="26"/>
      <c r="BU32" s="29">
        <v>26</v>
      </c>
      <c r="BV32" s="26" t="e">
        <f t="shared" si="2"/>
        <v>#N/A</v>
      </c>
      <c r="BW32" s="26" t="e">
        <f t="shared" si="3"/>
        <v>#N/A</v>
      </c>
      <c r="BY32" s="29">
        <v>26</v>
      </c>
      <c r="BZ32" s="26" t="e">
        <f t="shared" si="39"/>
        <v>#N/A</v>
      </c>
      <c r="CA32" s="26" t="e">
        <f t="shared" si="40"/>
        <v>#N/A</v>
      </c>
      <c r="CC32" s="29">
        <v>26</v>
      </c>
      <c r="CD32" s="26" t="e">
        <f t="shared" si="41"/>
        <v>#N/A</v>
      </c>
      <c r="CE32" s="26" t="e">
        <f t="shared" si="42"/>
        <v>#N/A</v>
      </c>
      <c r="CG32">
        <v>26</v>
      </c>
      <c r="CH32" s="24" t="e">
        <f t="shared" si="4"/>
        <v>#N/A</v>
      </c>
      <c r="CI32" s="24" t="e">
        <f t="shared" si="5"/>
        <v>#N/A</v>
      </c>
      <c r="CJ32" s="27">
        <f t="shared" si="43"/>
        <v>0</v>
      </c>
      <c r="CK32" s="27">
        <f t="shared" si="6"/>
        <v>0</v>
      </c>
      <c r="CL32" s="26">
        <f t="shared" si="7"/>
        <v>0</v>
      </c>
      <c r="CM32" s="26">
        <f t="shared" si="8"/>
        <v>0</v>
      </c>
      <c r="CN32" s="27">
        <f t="shared" si="9"/>
        <v>0</v>
      </c>
      <c r="CO32" s="27">
        <f t="shared" si="10"/>
        <v>0</v>
      </c>
      <c r="CP32" s="27">
        <f t="shared" si="11"/>
        <v>0</v>
      </c>
      <c r="CQ32" s="27">
        <f t="shared" si="12"/>
        <v>0</v>
      </c>
      <c r="CR32" s="24">
        <f t="shared" si="13"/>
        <v>0</v>
      </c>
      <c r="CS32" s="24">
        <f t="shared" si="14"/>
        <v>0</v>
      </c>
      <c r="CT32">
        <v>0</v>
      </c>
      <c r="CU32" s="24">
        <f t="shared" si="48"/>
        <v>0</v>
      </c>
      <c r="CV32" s="27">
        <f t="shared" si="15"/>
        <v>0</v>
      </c>
      <c r="CW32" s="27">
        <f t="shared" si="16"/>
        <v>0</v>
      </c>
      <c r="CX32" s="27">
        <f t="shared" si="17"/>
        <v>0</v>
      </c>
      <c r="CY32" s="27">
        <f t="shared" si="18"/>
        <v>0</v>
      </c>
      <c r="CZ32" s="24">
        <f t="shared" si="19"/>
        <v>0</v>
      </c>
      <c r="DA32" s="24">
        <f t="shared" si="20"/>
        <v>0</v>
      </c>
      <c r="DB32" s="27">
        <f t="shared" si="21"/>
        <v>0</v>
      </c>
      <c r="DC32" s="27">
        <f t="shared" si="22"/>
        <v>0</v>
      </c>
      <c r="DD32" s="27">
        <f t="shared" si="23"/>
        <v>0</v>
      </c>
      <c r="DE32" s="27">
        <f t="shared" si="24"/>
        <v>0</v>
      </c>
      <c r="DF32" s="24">
        <f t="shared" si="25"/>
        <v>0</v>
      </c>
      <c r="DG32" s="24">
        <f t="shared" si="26"/>
        <v>0</v>
      </c>
      <c r="DH32" s="24">
        <f t="shared" si="27"/>
        <v>0</v>
      </c>
      <c r="DI32" s="24">
        <f t="shared" si="28"/>
        <v>0</v>
      </c>
      <c r="DJ32" s="26">
        <f t="shared" si="49"/>
        <v>0</v>
      </c>
      <c r="DK32" s="26">
        <f t="shared" si="50"/>
        <v>0</v>
      </c>
      <c r="DP32" s="27"/>
      <c r="DQ32" s="27"/>
      <c r="DR32" s="27">
        <f t="shared" si="29"/>
        <v>0</v>
      </c>
      <c r="DS32" s="27">
        <f t="shared" si="30"/>
        <v>0</v>
      </c>
      <c r="DT32" s="27">
        <f t="shared" si="31"/>
        <v>0</v>
      </c>
      <c r="DU32" s="27">
        <f t="shared" si="32"/>
        <v>0</v>
      </c>
      <c r="DV32" s="27">
        <f t="shared" si="44"/>
        <v>0</v>
      </c>
      <c r="DW32" s="27">
        <f t="shared" si="45"/>
        <v>0</v>
      </c>
      <c r="DX32" s="27">
        <f t="shared" si="33"/>
        <v>0</v>
      </c>
      <c r="DY32" s="27">
        <f t="shared" si="34"/>
        <v>0</v>
      </c>
      <c r="DZ32" s="27">
        <f t="shared" si="35"/>
        <v>0</v>
      </c>
      <c r="EA32" s="27">
        <f t="shared" si="36"/>
        <v>0</v>
      </c>
      <c r="EB32" s="27">
        <f t="shared" si="46"/>
        <v>0</v>
      </c>
      <c r="EC32" s="27">
        <f t="shared" si="47"/>
        <v>0</v>
      </c>
    </row>
    <row r="33" spans="1:133" x14ac:dyDescent="0.35">
      <c r="A33" s="385"/>
      <c r="C33" s="31">
        <v>29</v>
      </c>
      <c r="D33" s="32">
        <v>8585.93</v>
      </c>
      <c r="E33" s="32">
        <v>11381.78</v>
      </c>
      <c r="F33" s="72"/>
      <c r="G33" s="31">
        <v>29</v>
      </c>
      <c r="H33" s="73">
        <v>15332.02</v>
      </c>
      <c r="I33" s="73">
        <v>20324.61</v>
      </c>
      <c r="W33" s="40" t="s">
        <v>38</v>
      </c>
      <c r="X33" s="40">
        <v>1</v>
      </c>
      <c r="Y33" s="41">
        <f t="shared" si="0"/>
        <v>0.44</v>
      </c>
      <c r="AH33" s="386"/>
      <c r="AN33" s="40">
        <v>29</v>
      </c>
      <c r="AO33" s="46">
        <v>9.9898143324294308E-2</v>
      </c>
      <c r="AQ33" s="40" t="s">
        <v>38</v>
      </c>
      <c r="AR33" s="40">
        <v>1</v>
      </c>
      <c r="AS33" s="49">
        <f t="shared" si="1"/>
        <v>0.104</v>
      </c>
      <c r="AT33" s="50"/>
      <c r="AU33" s="40">
        <v>4</v>
      </c>
      <c r="AV33" s="49">
        <v>5.5E-2</v>
      </c>
      <c r="AY33" s="40" t="s">
        <v>38</v>
      </c>
      <c r="AZ33" s="40">
        <v>2</v>
      </c>
      <c r="BA33" s="40">
        <v>0.47649999999999998</v>
      </c>
      <c r="BE33" s="40">
        <v>47</v>
      </c>
      <c r="BF33" s="40">
        <v>5.8239999999999998</v>
      </c>
      <c r="BG33" s="40">
        <v>5.1020000000000003</v>
      </c>
      <c r="BJ33" s="386"/>
      <c r="BL33" s="366" t="s">
        <v>69</v>
      </c>
      <c r="BM33" s="368">
        <v>4.7500000000000001E-2</v>
      </c>
      <c r="BN33" s="366">
        <v>4</v>
      </c>
      <c r="BQ33">
        <v>27</v>
      </c>
      <c r="BR33" s="26" t="e">
        <f t="shared" si="37"/>
        <v>#N/A</v>
      </c>
      <c r="BS33" s="26" t="e">
        <f t="shared" si="38"/>
        <v>#N/A</v>
      </c>
      <c r="BT33" s="26"/>
      <c r="BU33" s="29">
        <v>27</v>
      </c>
      <c r="BV33" s="26" t="e">
        <f t="shared" si="2"/>
        <v>#N/A</v>
      </c>
      <c r="BW33" s="26" t="e">
        <f t="shared" si="3"/>
        <v>#N/A</v>
      </c>
      <c r="BY33" s="29">
        <v>27</v>
      </c>
      <c r="BZ33" s="26" t="e">
        <f t="shared" si="39"/>
        <v>#N/A</v>
      </c>
      <c r="CA33" s="26" t="e">
        <f t="shared" si="40"/>
        <v>#N/A</v>
      </c>
      <c r="CC33" s="29">
        <v>27</v>
      </c>
      <c r="CD33" s="26" t="e">
        <f t="shared" si="41"/>
        <v>#N/A</v>
      </c>
      <c r="CE33" s="26" t="e">
        <f t="shared" si="42"/>
        <v>#N/A</v>
      </c>
      <c r="CG33">
        <v>27</v>
      </c>
      <c r="CH33" s="24" t="e">
        <f t="shared" si="4"/>
        <v>#N/A</v>
      </c>
      <c r="CI33" s="24" t="e">
        <f t="shared" si="5"/>
        <v>#N/A</v>
      </c>
      <c r="CJ33" s="27">
        <f t="shared" si="43"/>
        <v>0</v>
      </c>
      <c r="CK33" s="27">
        <f t="shared" si="6"/>
        <v>0</v>
      </c>
      <c r="CL33" s="26">
        <f t="shared" si="7"/>
        <v>0</v>
      </c>
      <c r="CM33" s="26">
        <f t="shared" si="8"/>
        <v>0</v>
      </c>
      <c r="CN33" s="27">
        <f t="shared" si="9"/>
        <v>0</v>
      </c>
      <c r="CO33" s="27">
        <f t="shared" si="10"/>
        <v>0</v>
      </c>
      <c r="CP33" s="27">
        <f t="shared" si="11"/>
        <v>0</v>
      </c>
      <c r="CQ33" s="27">
        <f t="shared" si="12"/>
        <v>0</v>
      </c>
      <c r="CR33" s="24">
        <f t="shared" si="13"/>
        <v>0</v>
      </c>
      <c r="CS33" s="24">
        <f t="shared" si="14"/>
        <v>0</v>
      </c>
      <c r="CT33">
        <v>0</v>
      </c>
      <c r="CU33" s="24">
        <f t="shared" si="48"/>
        <v>0</v>
      </c>
      <c r="CV33" s="27">
        <f t="shared" si="15"/>
        <v>0</v>
      </c>
      <c r="CW33" s="27">
        <f t="shared" si="16"/>
        <v>0</v>
      </c>
      <c r="CX33" s="27">
        <f t="shared" si="17"/>
        <v>0</v>
      </c>
      <c r="CY33" s="27">
        <f t="shared" si="18"/>
        <v>0</v>
      </c>
      <c r="CZ33" s="24">
        <f t="shared" si="19"/>
        <v>0</v>
      </c>
      <c r="DA33" s="24">
        <f t="shared" si="20"/>
        <v>0</v>
      </c>
      <c r="DB33" s="27">
        <f t="shared" si="21"/>
        <v>0</v>
      </c>
      <c r="DC33" s="27">
        <f t="shared" si="22"/>
        <v>0</v>
      </c>
      <c r="DD33" s="27">
        <f t="shared" si="23"/>
        <v>0</v>
      </c>
      <c r="DE33" s="27">
        <f t="shared" si="24"/>
        <v>0</v>
      </c>
      <c r="DF33" s="24">
        <f t="shared" si="25"/>
        <v>0</v>
      </c>
      <c r="DG33" s="24">
        <f t="shared" si="26"/>
        <v>0</v>
      </c>
      <c r="DH33" s="24">
        <f t="shared" si="27"/>
        <v>0</v>
      </c>
      <c r="DI33" s="24">
        <f t="shared" si="28"/>
        <v>0</v>
      </c>
      <c r="DJ33" s="26">
        <f t="shared" si="49"/>
        <v>0</v>
      </c>
      <c r="DK33" s="26">
        <f t="shared" si="50"/>
        <v>0</v>
      </c>
      <c r="DP33" s="27"/>
      <c r="DQ33" s="27"/>
      <c r="DR33" s="27">
        <f t="shared" si="29"/>
        <v>0</v>
      </c>
      <c r="DS33" s="27">
        <f t="shared" si="30"/>
        <v>0</v>
      </c>
      <c r="DT33" s="27">
        <f t="shared" si="31"/>
        <v>0</v>
      </c>
      <c r="DU33" s="27">
        <f t="shared" si="32"/>
        <v>0</v>
      </c>
      <c r="DV33" s="27">
        <f t="shared" si="44"/>
        <v>0</v>
      </c>
      <c r="DW33" s="27">
        <f t="shared" si="45"/>
        <v>0</v>
      </c>
      <c r="DX33" s="27">
        <f t="shared" si="33"/>
        <v>0</v>
      </c>
      <c r="DY33" s="27">
        <f t="shared" si="34"/>
        <v>0</v>
      </c>
      <c r="DZ33" s="27">
        <f t="shared" si="35"/>
        <v>0</v>
      </c>
      <c r="EA33" s="27">
        <f t="shared" si="36"/>
        <v>0</v>
      </c>
      <c r="EB33" s="27">
        <f t="shared" si="46"/>
        <v>0</v>
      </c>
      <c r="EC33" s="27">
        <f t="shared" si="47"/>
        <v>0</v>
      </c>
    </row>
    <row r="34" spans="1:133" x14ac:dyDescent="0.35">
      <c r="A34" s="385"/>
      <c r="C34" s="31">
        <v>30</v>
      </c>
      <c r="D34" s="32">
        <v>8788.67</v>
      </c>
      <c r="E34" s="32">
        <v>11739.3</v>
      </c>
      <c r="F34" s="72"/>
      <c r="G34" s="31">
        <v>30</v>
      </c>
      <c r="H34" s="73">
        <v>15694.05</v>
      </c>
      <c r="I34" s="73">
        <v>20963.04</v>
      </c>
      <c r="W34" s="40" t="s">
        <v>39</v>
      </c>
      <c r="X34" s="40">
        <v>2</v>
      </c>
      <c r="Y34" s="41">
        <f t="shared" si="0"/>
        <v>0.52</v>
      </c>
      <c r="AH34" s="386"/>
      <c r="AN34" s="40">
        <v>30</v>
      </c>
      <c r="AO34" s="46">
        <v>0.10299814332429433</v>
      </c>
      <c r="AQ34" s="40" t="s">
        <v>39</v>
      </c>
      <c r="AR34" s="40">
        <v>2</v>
      </c>
      <c r="AS34" s="49">
        <f t="shared" si="1"/>
        <v>0.09</v>
      </c>
      <c r="AT34" s="50"/>
      <c r="AU34" s="40">
        <v>5</v>
      </c>
      <c r="AV34" s="49">
        <v>6.2100000000000002E-2</v>
      </c>
      <c r="AY34" s="40" t="s">
        <v>39</v>
      </c>
      <c r="AZ34" s="40">
        <v>2</v>
      </c>
      <c r="BA34" s="40">
        <v>0.47649999999999998</v>
      </c>
      <c r="BE34" s="40">
        <v>48</v>
      </c>
      <c r="BF34" s="40">
        <v>6.2930000000000001</v>
      </c>
      <c r="BG34" s="40">
        <v>5.3609999999999998</v>
      </c>
      <c r="BJ34" s="386"/>
      <c r="BL34" s="366" t="s">
        <v>299</v>
      </c>
      <c r="BM34" s="368">
        <v>5.5E-2</v>
      </c>
      <c r="BN34" s="366">
        <v>6</v>
      </c>
      <c r="BQ34">
        <v>28</v>
      </c>
      <c r="BR34" s="26" t="e">
        <f t="shared" si="37"/>
        <v>#N/A</v>
      </c>
      <c r="BS34" s="26" t="e">
        <f t="shared" si="38"/>
        <v>#N/A</v>
      </c>
      <c r="BT34" s="26"/>
      <c r="BU34" s="29">
        <v>28</v>
      </c>
      <c r="BV34" s="26" t="e">
        <f t="shared" si="2"/>
        <v>#N/A</v>
      </c>
      <c r="BW34" s="26" t="e">
        <f t="shared" si="3"/>
        <v>#N/A</v>
      </c>
      <c r="BY34" s="29">
        <v>28</v>
      </c>
      <c r="BZ34" s="26" t="e">
        <f t="shared" si="39"/>
        <v>#N/A</v>
      </c>
      <c r="CA34" s="26" t="e">
        <f t="shared" si="40"/>
        <v>#N/A</v>
      </c>
      <c r="CC34" s="29">
        <v>28</v>
      </c>
      <c r="CD34" s="26" t="e">
        <f t="shared" si="41"/>
        <v>#N/A</v>
      </c>
      <c r="CE34" s="26" t="e">
        <f t="shared" si="42"/>
        <v>#N/A</v>
      </c>
      <c r="CG34">
        <v>28</v>
      </c>
      <c r="CH34" s="24" t="e">
        <f t="shared" si="4"/>
        <v>#N/A</v>
      </c>
      <c r="CI34" s="24" t="e">
        <f t="shared" si="5"/>
        <v>#N/A</v>
      </c>
      <c r="CJ34" s="27">
        <f t="shared" si="43"/>
        <v>0</v>
      </c>
      <c r="CK34" s="27">
        <f t="shared" si="6"/>
        <v>0</v>
      </c>
      <c r="CL34" s="26">
        <f t="shared" si="7"/>
        <v>0</v>
      </c>
      <c r="CM34" s="26">
        <f t="shared" si="8"/>
        <v>0</v>
      </c>
      <c r="CN34" s="27">
        <f t="shared" si="9"/>
        <v>0</v>
      </c>
      <c r="CO34" s="27">
        <f t="shared" si="10"/>
        <v>0</v>
      </c>
      <c r="CP34" s="27">
        <f t="shared" si="11"/>
        <v>0</v>
      </c>
      <c r="CQ34" s="27">
        <f t="shared" si="12"/>
        <v>0</v>
      </c>
      <c r="CR34" s="24">
        <f t="shared" si="13"/>
        <v>0</v>
      </c>
      <c r="CS34" s="24">
        <f t="shared" si="14"/>
        <v>0</v>
      </c>
      <c r="CT34">
        <v>0</v>
      </c>
      <c r="CU34" s="24">
        <f t="shared" si="48"/>
        <v>0</v>
      </c>
      <c r="CV34" s="27">
        <f t="shared" si="15"/>
        <v>0</v>
      </c>
      <c r="CW34" s="27">
        <f t="shared" si="16"/>
        <v>0</v>
      </c>
      <c r="CX34" s="27">
        <f t="shared" si="17"/>
        <v>0</v>
      </c>
      <c r="CY34" s="27">
        <f t="shared" si="18"/>
        <v>0</v>
      </c>
      <c r="CZ34" s="24">
        <f t="shared" si="19"/>
        <v>0</v>
      </c>
      <c r="DA34" s="24">
        <f t="shared" si="20"/>
        <v>0</v>
      </c>
      <c r="DB34" s="27">
        <f t="shared" si="21"/>
        <v>0</v>
      </c>
      <c r="DC34" s="27">
        <f t="shared" si="22"/>
        <v>0</v>
      </c>
      <c r="DD34" s="27">
        <f t="shared" si="23"/>
        <v>0</v>
      </c>
      <c r="DE34" s="27">
        <f t="shared" si="24"/>
        <v>0</v>
      </c>
      <c r="DF34" s="24">
        <f t="shared" si="25"/>
        <v>0</v>
      </c>
      <c r="DG34" s="24">
        <f t="shared" si="26"/>
        <v>0</v>
      </c>
      <c r="DH34" s="24">
        <f t="shared" si="27"/>
        <v>0</v>
      </c>
      <c r="DI34" s="24">
        <f t="shared" si="28"/>
        <v>0</v>
      </c>
      <c r="DJ34" s="26">
        <f t="shared" si="49"/>
        <v>0</v>
      </c>
      <c r="DK34" s="26">
        <f t="shared" si="50"/>
        <v>0</v>
      </c>
      <c r="DP34" s="27"/>
      <c r="DQ34" s="27"/>
      <c r="DR34" s="27">
        <f t="shared" si="29"/>
        <v>0</v>
      </c>
      <c r="DS34" s="27">
        <f t="shared" si="30"/>
        <v>0</v>
      </c>
      <c r="DT34" s="27">
        <f t="shared" si="31"/>
        <v>0</v>
      </c>
      <c r="DU34" s="27">
        <f t="shared" si="32"/>
        <v>0</v>
      </c>
      <c r="DV34" s="27">
        <f t="shared" si="44"/>
        <v>0</v>
      </c>
      <c r="DW34" s="27">
        <f t="shared" si="45"/>
        <v>0</v>
      </c>
      <c r="DX34" s="27">
        <f t="shared" si="33"/>
        <v>0</v>
      </c>
      <c r="DY34" s="27">
        <f t="shared" si="34"/>
        <v>0</v>
      </c>
      <c r="DZ34" s="27">
        <f t="shared" si="35"/>
        <v>0</v>
      </c>
      <c r="EA34" s="27">
        <f t="shared" si="36"/>
        <v>0</v>
      </c>
      <c r="EB34" s="27">
        <f t="shared" si="46"/>
        <v>0</v>
      </c>
      <c r="EC34" s="27">
        <f t="shared" si="47"/>
        <v>0</v>
      </c>
    </row>
    <row r="35" spans="1:133" x14ac:dyDescent="0.35">
      <c r="A35" s="385"/>
      <c r="C35" s="31">
        <v>31</v>
      </c>
      <c r="D35" s="32">
        <v>9013.2099999999991</v>
      </c>
      <c r="E35" s="32">
        <v>12093.55</v>
      </c>
      <c r="F35" s="72"/>
      <c r="G35" s="31">
        <v>31</v>
      </c>
      <c r="H35" s="73">
        <v>16095.02</v>
      </c>
      <c r="I35" s="73">
        <v>21595.63</v>
      </c>
      <c r="W35" s="40" t="s">
        <v>40</v>
      </c>
      <c r="X35" s="40">
        <v>1</v>
      </c>
      <c r="Y35" s="41">
        <f t="shared" si="0"/>
        <v>0.44</v>
      </c>
      <c r="AH35" s="386"/>
      <c r="AN35" s="40">
        <v>31</v>
      </c>
      <c r="AO35" s="46">
        <v>0.10389814332429431</v>
      </c>
      <c r="AQ35" s="40" t="s">
        <v>40</v>
      </c>
      <c r="AR35" s="40">
        <v>1</v>
      </c>
      <c r="AS35" s="49">
        <f t="shared" si="1"/>
        <v>0.104</v>
      </c>
      <c r="AT35" s="50"/>
      <c r="AU35" s="40">
        <v>6</v>
      </c>
      <c r="AV35" s="49">
        <v>0</v>
      </c>
      <c r="AY35" s="40" t="s">
        <v>40</v>
      </c>
      <c r="AZ35" s="40">
        <v>1</v>
      </c>
      <c r="BA35" s="40">
        <v>0.95299999999999996</v>
      </c>
      <c r="BE35" s="40">
        <v>49</v>
      </c>
      <c r="BF35" s="40">
        <v>6.76</v>
      </c>
      <c r="BG35" s="40">
        <v>5.601</v>
      </c>
      <c r="BJ35" s="386"/>
      <c r="BL35" s="366" t="s">
        <v>70</v>
      </c>
      <c r="BM35" s="368">
        <v>6.5000000000000002E-2</v>
      </c>
      <c r="BN35" s="366">
        <v>12</v>
      </c>
      <c r="BQ35">
        <v>29</v>
      </c>
      <c r="BR35" s="26" t="e">
        <f t="shared" si="37"/>
        <v>#N/A</v>
      </c>
      <c r="BS35" s="26" t="e">
        <f t="shared" si="38"/>
        <v>#N/A</v>
      </c>
      <c r="BT35" s="26"/>
      <c r="BU35" s="29">
        <v>29</v>
      </c>
      <c r="BV35" s="26" t="e">
        <f t="shared" si="2"/>
        <v>#N/A</v>
      </c>
      <c r="BW35" s="26" t="e">
        <f t="shared" si="3"/>
        <v>#N/A</v>
      </c>
      <c r="BY35" s="29">
        <v>29</v>
      </c>
      <c r="BZ35" s="26" t="e">
        <f t="shared" si="39"/>
        <v>#N/A</v>
      </c>
      <c r="CA35" s="26" t="e">
        <f t="shared" si="40"/>
        <v>#N/A</v>
      </c>
      <c r="CC35" s="29">
        <v>29</v>
      </c>
      <c r="CD35" s="26" t="e">
        <f t="shared" si="41"/>
        <v>#N/A</v>
      </c>
      <c r="CE35" s="26" t="e">
        <f t="shared" si="42"/>
        <v>#N/A</v>
      </c>
      <c r="CG35">
        <v>29</v>
      </c>
      <c r="CH35" s="24" t="e">
        <f t="shared" si="4"/>
        <v>#N/A</v>
      </c>
      <c r="CI35" s="24" t="e">
        <f t="shared" si="5"/>
        <v>#N/A</v>
      </c>
      <c r="CJ35" s="27">
        <f t="shared" si="43"/>
        <v>0</v>
      </c>
      <c r="CK35" s="27">
        <f t="shared" si="6"/>
        <v>0</v>
      </c>
      <c r="CL35" s="26">
        <f t="shared" si="7"/>
        <v>0</v>
      </c>
      <c r="CM35" s="26">
        <f t="shared" si="8"/>
        <v>0</v>
      </c>
      <c r="CN35" s="27">
        <f t="shared" si="9"/>
        <v>0</v>
      </c>
      <c r="CO35" s="27">
        <f t="shared" si="10"/>
        <v>0</v>
      </c>
      <c r="CP35" s="27">
        <f t="shared" si="11"/>
        <v>0</v>
      </c>
      <c r="CQ35" s="27">
        <f t="shared" si="12"/>
        <v>0</v>
      </c>
      <c r="CR35" s="24">
        <f t="shared" si="13"/>
        <v>0</v>
      </c>
      <c r="CS35" s="24">
        <f t="shared" si="14"/>
        <v>0</v>
      </c>
      <c r="CT35">
        <v>0</v>
      </c>
      <c r="CU35" s="24">
        <f t="shared" si="48"/>
        <v>0</v>
      </c>
      <c r="CV35" s="27">
        <f t="shared" si="15"/>
        <v>0</v>
      </c>
      <c r="CW35" s="27">
        <f t="shared" si="16"/>
        <v>0</v>
      </c>
      <c r="CX35" s="27">
        <f t="shared" si="17"/>
        <v>0</v>
      </c>
      <c r="CY35" s="27">
        <f t="shared" si="18"/>
        <v>0</v>
      </c>
      <c r="CZ35" s="24">
        <f t="shared" si="19"/>
        <v>0</v>
      </c>
      <c r="DA35" s="24">
        <f t="shared" si="20"/>
        <v>0</v>
      </c>
      <c r="DB35" s="27">
        <f t="shared" si="21"/>
        <v>0</v>
      </c>
      <c r="DC35" s="27">
        <f t="shared" si="22"/>
        <v>0</v>
      </c>
      <c r="DD35" s="27">
        <f t="shared" si="23"/>
        <v>0</v>
      </c>
      <c r="DE35" s="27">
        <f t="shared" si="24"/>
        <v>0</v>
      </c>
      <c r="DF35" s="24">
        <f t="shared" si="25"/>
        <v>0</v>
      </c>
      <c r="DG35" s="24">
        <f t="shared" si="26"/>
        <v>0</v>
      </c>
      <c r="DH35" s="24">
        <f t="shared" si="27"/>
        <v>0</v>
      </c>
      <c r="DI35" s="24">
        <f t="shared" si="28"/>
        <v>0</v>
      </c>
      <c r="DJ35" s="26">
        <f t="shared" si="49"/>
        <v>0</v>
      </c>
      <c r="DK35" s="26">
        <f t="shared" si="50"/>
        <v>0</v>
      </c>
      <c r="DP35" s="27"/>
      <c r="DQ35" s="27"/>
      <c r="DR35" s="27">
        <f t="shared" si="29"/>
        <v>0</v>
      </c>
      <c r="DS35" s="27">
        <f t="shared" si="30"/>
        <v>0</v>
      </c>
      <c r="DT35" s="27">
        <f t="shared" si="31"/>
        <v>0</v>
      </c>
      <c r="DU35" s="27">
        <f t="shared" si="32"/>
        <v>0</v>
      </c>
      <c r="DV35" s="27">
        <f t="shared" si="44"/>
        <v>0</v>
      </c>
      <c r="DW35" s="27">
        <f t="shared" si="45"/>
        <v>0</v>
      </c>
      <c r="DX35" s="27">
        <f t="shared" si="33"/>
        <v>0</v>
      </c>
      <c r="DY35" s="27">
        <f t="shared" si="34"/>
        <v>0</v>
      </c>
      <c r="DZ35" s="27">
        <f t="shared" si="35"/>
        <v>0</v>
      </c>
      <c r="EA35" s="27">
        <f t="shared" si="36"/>
        <v>0</v>
      </c>
      <c r="EB35" s="27">
        <f t="shared" si="46"/>
        <v>0</v>
      </c>
      <c r="EC35" s="27">
        <f t="shared" si="47"/>
        <v>0</v>
      </c>
    </row>
    <row r="36" spans="1:133" x14ac:dyDescent="0.35">
      <c r="A36" s="385"/>
      <c r="C36" s="31">
        <v>32</v>
      </c>
      <c r="D36" s="32">
        <v>9261.73</v>
      </c>
      <c r="E36" s="32">
        <v>12448.89</v>
      </c>
      <c r="F36" s="72"/>
      <c r="G36" s="31">
        <v>32</v>
      </c>
      <c r="H36" s="73">
        <v>16538.8</v>
      </c>
      <c r="I36" s="73">
        <v>22230.16</v>
      </c>
      <c r="W36" s="40" t="s">
        <v>41</v>
      </c>
      <c r="X36" s="40">
        <v>3</v>
      </c>
      <c r="Y36" s="41">
        <f t="shared" si="0"/>
        <v>0.62</v>
      </c>
      <c r="AH36" s="386"/>
      <c r="AN36" s="40">
        <v>32</v>
      </c>
      <c r="AO36" s="46">
        <v>0.10259814332429432</v>
      </c>
      <c r="AQ36" s="40" t="s">
        <v>41</v>
      </c>
      <c r="AR36" s="40">
        <v>3</v>
      </c>
      <c r="AS36" s="49">
        <f t="shared" si="1"/>
        <v>6.9000000000000006E-2</v>
      </c>
      <c r="AT36" s="50"/>
      <c r="AU36" s="40">
        <v>7</v>
      </c>
      <c r="AV36" s="49">
        <v>3.5000000000000003E-2</v>
      </c>
      <c r="AY36" s="40" t="s">
        <v>41</v>
      </c>
      <c r="AZ36" s="40">
        <v>2</v>
      </c>
      <c r="BA36" s="40">
        <v>0.47649999999999998</v>
      </c>
      <c r="BE36" s="40">
        <v>50</v>
      </c>
      <c r="BF36" s="40">
        <v>7.2270000000000003</v>
      </c>
      <c r="BG36" s="40">
        <v>5.8310000000000004</v>
      </c>
      <c r="BJ36" s="386"/>
      <c r="BQ36">
        <v>30</v>
      </c>
      <c r="BR36" s="26" t="e">
        <f t="shared" si="37"/>
        <v>#N/A</v>
      </c>
      <c r="BS36" s="26" t="e">
        <f t="shared" si="38"/>
        <v>#N/A</v>
      </c>
      <c r="BT36" s="26"/>
      <c r="BU36" s="29">
        <v>30</v>
      </c>
      <c r="BV36" s="26" t="e">
        <f t="shared" si="2"/>
        <v>#N/A</v>
      </c>
      <c r="BW36" s="26" t="e">
        <f t="shared" si="3"/>
        <v>#N/A</v>
      </c>
      <c r="BY36" s="29">
        <v>30</v>
      </c>
      <c r="BZ36" s="26" t="e">
        <f t="shared" si="39"/>
        <v>#N/A</v>
      </c>
      <c r="CA36" s="26" t="e">
        <f t="shared" si="40"/>
        <v>#N/A</v>
      </c>
      <c r="CC36" s="29">
        <v>30</v>
      </c>
      <c r="CD36" s="26" t="e">
        <f t="shared" si="41"/>
        <v>#N/A</v>
      </c>
      <c r="CE36" s="26" t="e">
        <f t="shared" si="42"/>
        <v>#N/A</v>
      </c>
      <c r="CG36">
        <v>30</v>
      </c>
      <c r="CH36" s="24" t="e">
        <f t="shared" si="4"/>
        <v>#N/A</v>
      </c>
      <c r="CI36" s="24" t="e">
        <f t="shared" si="5"/>
        <v>#N/A</v>
      </c>
      <c r="CJ36" s="27">
        <f t="shared" si="43"/>
        <v>0</v>
      </c>
      <c r="CK36" s="27">
        <f t="shared" si="6"/>
        <v>0</v>
      </c>
      <c r="CL36" s="26">
        <f t="shared" si="7"/>
        <v>0</v>
      </c>
      <c r="CM36" s="26">
        <f t="shared" si="8"/>
        <v>0</v>
      </c>
      <c r="CN36" s="27">
        <f t="shared" si="9"/>
        <v>0</v>
      </c>
      <c r="CO36" s="27">
        <f t="shared" si="10"/>
        <v>0</v>
      </c>
      <c r="CP36" s="27">
        <f t="shared" si="11"/>
        <v>0</v>
      </c>
      <c r="CQ36" s="27">
        <f t="shared" si="12"/>
        <v>0</v>
      </c>
      <c r="CR36" s="24">
        <f t="shared" si="13"/>
        <v>0</v>
      </c>
      <c r="CS36" s="24">
        <f t="shared" si="14"/>
        <v>0</v>
      </c>
      <c r="CT36">
        <v>0</v>
      </c>
      <c r="CU36" s="24">
        <f t="shared" si="48"/>
        <v>0</v>
      </c>
      <c r="CV36" s="27">
        <f t="shared" si="15"/>
        <v>0</v>
      </c>
      <c r="CW36" s="27">
        <f t="shared" si="16"/>
        <v>0</v>
      </c>
      <c r="CX36" s="27">
        <f t="shared" si="17"/>
        <v>0</v>
      </c>
      <c r="CY36" s="27">
        <f t="shared" si="18"/>
        <v>0</v>
      </c>
      <c r="CZ36" s="24">
        <f t="shared" si="19"/>
        <v>0</v>
      </c>
      <c r="DA36" s="24">
        <f t="shared" si="20"/>
        <v>0</v>
      </c>
      <c r="DB36" s="27">
        <f t="shared" si="21"/>
        <v>0</v>
      </c>
      <c r="DC36" s="27">
        <f t="shared" si="22"/>
        <v>0</v>
      </c>
      <c r="DD36" s="27">
        <f t="shared" si="23"/>
        <v>0</v>
      </c>
      <c r="DE36" s="27">
        <f t="shared" si="24"/>
        <v>0</v>
      </c>
      <c r="DF36" s="24">
        <f t="shared" si="25"/>
        <v>0</v>
      </c>
      <c r="DG36" s="24">
        <f t="shared" si="26"/>
        <v>0</v>
      </c>
      <c r="DH36" s="24">
        <f t="shared" si="27"/>
        <v>0</v>
      </c>
      <c r="DI36" s="24">
        <f t="shared" si="28"/>
        <v>0</v>
      </c>
      <c r="DJ36" s="26">
        <f t="shared" si="49"/>
        <v>0</v>
      </c>
      <c r="DK36" s="26">
        <f t="shared" si="50"/>
        <v>0</v>
      </c>
      <c r="DP36" s="27"/>
      <c r="DQ36" s="27"/>
      <c r="DR36" s="27">
        <f t="shared" si="29"/>
        <v>0</v>
      </c>
      <c r="DS36" s="27">
        <f t="shared" si="30"/>
        <v>0</v>
      </c>
      <c r="DT36" s="27">
        <f t="shared" si="31"/>
        <v>0</v>
      </c>
      <c r="DU36" s="27">
        <f t="shared" si="32"/>
        <v>0</v>
      </c>
      <c r="DV36" s="27">
        <f t="shared" si="44"/>
        <v>0</v>
      </c>
      <c r="DW36" s="27">
        <f t="shared" si="45"/>
        <v>0</v>
      </c>
      <c r="DX36" s="27">
        <f t="shared" si="33"/>
        <v>0</v>
      </c>
      <c r="DY36" s="27">
        <f t="shared" si="34"/>
        <v>0</v>
      </c>
      <c r="DZ36" s="27">
        <f t="shared" si="35"/>
        <v>0</v>
      </c>
      <c r="EA36" s="27">
        <f t="shared" si="36"/>
        <v>0</v>
      </c>
      <c r="EB36" s="27">
        <f t="shared" si="46"/>
        <v>0</v>
      </c>
      <c r="EC36" s="27">
        <f t="shared" si="47"/>
        <v>0</v>
      </c>
    </row>
    <row r="37" spans="1:133" x14ac:dyDescent="0.35">
      <c r="A37" s="385"/>
      <c r="C37" s="31">
        <v>33</v>
      </c>
      <c r="D37" s="32">
        <v>9537.5</v>
      </c>
      <c r="E37" s="32">
        <v>12907.78</v>
      </c>
      <c r="F37" s="72"/>
      <c r="G37" s="31">
        <v>33</v>
      </c>
      <c r="H37" s="73">
        <v>17031.25</v>
      </c>
      <c r="I37" s="73">
        <v>23049.61</v>
      </c>
      <c r="W37" s="40" t="s">
        <v>42</v>
      </c>
      <c r="X37" s="40"/>
      <c r="Y37" s="41"/>
      <c r="AH37" s="386"/>
      <c r="AN37" s="40">
        <v>33</v>
      </c>
      <c r="AO37" s="46">
        <v>0.10637326543958747</v>
      </c>
      <c r="AQ37" s="40" t="s">
        <v>42</v>
      </c>
      <c r="AR37" s="40"/>
      <c r="AS37" s="49"/>
      <c r="AT37" s="50"/>
      <c r="AY37" s="40" t="s">
        <v>42</v>
      </c>
      <c r="AZ37" s="40"/>
      <c r="BA37" s="40"/>
      <c r="BE37" s="40">
        <v>51</v>
      </c>
      <c r="BF37" s="40">
        <v>8.0389999999999997</v>
      </c>
      <c r="BG37" s="40">
        <v>6.2679999999999998</v>
      </c>
      <c r="BJ37" s="386"/>
      <c r="BQ37">
        <v>31</v>
      </c>
      <c r="BR37" s="26" t="e">
        <f t="shared" si="37"/>
        <v>#N/A</v>
      </c>
      <c r="BS37" s="26" t="e">
        <f t="shared" si="38"/>
        <v>#N/A</v>
      </c>
      <c r="BT37" s="26"/>
      <c r="BU37" s="29">
        <v>31</v>
      </c>
      <c r="BV37" s="26" t="e">
        <f t="shared" si="2"/>
        <v>#N/A</v>
      </c>
      <c r="BW37" s="26" t="e">
        <f t="shared" si="3"/>
        <v>#N/A</v>
      </c>
      <c r="BY37" s="29">
        <v>31</v>
      </c>
      <c r="BZ37" s="26" t="e">
        <f t="shared" si="39"/>
        <v>#N/A</v>
      </c>
      <c r="CA37" s="26" t="e">
        <f t="shared" si="40"/>
        <v>#N/A</v>
      </c>
      <c r="CC37" s="29">
        <v>31</v>
      </c>
      <c r="CD37" s="26" t="e">
        <f t="shared" si="41"/>
        <v>#N/A</v>
      </c>
      <c r="CE37" s="26" t="e">
        <f t="shared" si="42"/>
        <v>#N/A</v>
      </c>
      <c r="CG37">
        <v>31</v>
      </c>
      <c r="CH37" s="24" t="e">
        <f t="shared" si="4"/>
        <v>#N/A</v>
      </c>
      <c r="CI37" s="24" t="e">
        <f t="shared" si="5"/>
        <v>#N/A</v>
      </c>
      <c r="CJ37" s="27">
        <f t="shared" si="43"/>
        <v>0</v>
      </c>
      <c r="CK37" s="27">
        <f t="shared" si="6"/>
        <v>0</v>
      </c>
      <c r="CL37" s="26">
        <f t="shared" si="7"/>
        <v>0</v>
      </c>
      <c r="CM37" s="26">
        <f t="shared" si="8"/>
        <v>0</v>
      </c>
      <c r="CN37" s="27">
        <f t="shared" si="9"/>
        <v>0</v>
      </c>
      <c r="CO37" s="27">
        <f t="shared" si="10"/>
        <v>0</v>
      </c>
      <c r="CP37" s="27">
        <f t="shared" si="11"/>
        <v>0</v>
      </c>
      <c r="CQ37" s="27">
        <f t="shared" si="12"/>
        <v>0</v>
      </c>
      <c r="CR37" s="24">
        <f t="shared" si="13"/>
        <v>0</v>
      </c>
      <c r="CS37" s="24">
        <f t="shared" si="14"/>
        <v>0</v>
      </c>
      <c r="CT37">
        <v>0</v>
      </c>
      <c r="CU37" s="24">
        <f t="shared" si="48"/>
        <v>0</v>
      </c>
      <c r="CV37" s="27">
        <f t="shared" si="15"/>
        <v>0</v>
      </c>
      <c r="CW37" s="27">
        <f t="shared" si="16"/>
        <v>0</v>
      </c>
      <c r="CX37" s="27">
        <f t="shared" si="17"/>
        <v>0</v>
      </c>
      <c r="CY37" s="27">
        <f t="shared" si="18"/>
        <v>0</v>
      </c>
      <c r="CZ37" s="24">
        <f t="shared" si="19"/>
        <v>0</v>
      </c>
      <c r="DA37" s="24">
        <f t="shared" si="20"/>
        <v>0</v>
      </c>
      <c r="DB37" s="27">
        <f t="shared" si="21"/>
        <v>0</v>
      </c>
      <c r="DC37" s="27">
        <f t="shared" si="22"/>
        <v>0</v>
      </c>
      <c r="DD37" s="27">
        <f t="shared" si="23"/>
        <v>0</v>
      </c>
      <c r="DE37" s="27">
        <f t="shared" si="24"/>
        <v>0</v>
      </c>
      <c r="DF37" s="24">
        <f t="shared" si="25"/>
        <v>0</v>
      </c>
      <c r="DG37" s="24">
        <f t="shared" si="26"/>
        <v>0</v>
      </c>
      <c r="DH37" s="24">
        <f t="shared" si="27"/>
        <v>0</v>
      </c>
      <c r="DI37" s="24">
        <f t="shared" si="28"/>
        <v>0</v>
      </c>
      <c r="DJ37" s="26">
        <f t="shared" si="49"/>
        <v>0</v>
      </c>
      <c r="DK37" s="26">
        <f t="shared" si="50"/>
        <v>0</v>
      </c>
      <c r="DP37" s="27"/>
      <c r="DQ37" s="27"/>
      <c r="DR37" s="27">
        <f t="shared" si="29"/>
        <v>0</v>
      </c>
      <c r="DS37" s="27">
        <f t="shared" si="30"/>
        <v>0</v>
      </c>
      <c r="DT37" s="27">
        <f t="shared" si="31"/>
        <v>0</v>
      </c>
      <c r="DU37" s="27">
        <f t="shared" si="32"/>
        <v>0</v>
      </c>
      <c r="DV37" s="27">
        <f t="shared" si="44"/>
        <v>0</v>
      </c>
      <c r="DW37" s="27">
        <f t="shared" si="45"/>
        <v>0</v>
      </c>
      <c r="DX37" s="27">
        <f t="shared" si="33"/>
        <v>0</v>
      </c>
      <c r="DY37" s="27">
        <f t="shared" si="34"/>
        <v>0</v>
      </c>
      <c r="DZ37" s="27">
        <f t="shared" si="35"/>
        <v>0</v>
      </c>
      <c r="EA37" s="27">
        <f t="shared" si="36"/>
        <v>0</v>
      </c>
      <c r="EB37" s="27">
        <f t="shared" si="46"/>
        <v>0</v>
      </c>
      <c r="EC37" s="27">
        <f t="shared" si="47"/>
        <v>0</v>
      </c>
    </row>
    <row r="38" spans="1:133" x14ac:dyDescent="0.35">
      <c r="A38" s="385"/>
      <c r="C38" s="31">
        <v>34</v>
      </c>
      <c r="D38" s="32">
        <v>9843.7900000000009</v>
      </c>
      <c r="E38" s="32">
        <v>13271.84</v>
      </c>
      <c r="F38" s="72"/>
      <c r="G38" s="31">
        <v>34</v>
      </c>
      <c r="H38" s="73">
        <v>17578.2</v>
      </c>
      <c r="I38" s="73">
        <v>23699.71</v>
      </c>
      <c r="W38" s="40"/>
      <c r="X38" s="40"/>
      <c r="Y38" s="40"/>
      <c r="AH38" s="386"/>
      <c r="AN38" s="40">
        <v>34</v>
      </c>
      <c r="AO38" s="46">
        <v>0.10067326543958746</v>
      </c>
      <c r="AQ38" s="40"/>
      <c r="AR38" s="40"/>
      <c r="AS38" s="49"/>
      <c r="AT38" s="50"/>
      <c r="AY38" s="40"/>
      <c r="AZ38" s="40"/>
      <c r="BA38" s="40"/>
      <c r="BE38" s="40">
        <v>52</v>
      </c>
      <c r="BF38" s="40">
        <v>9.0779999999999994</v>
      </c>
      <c r="BG38" s="40">
        <v>6.6769999999999996</v>
      </c>
      <c r="BJ38" s="386"/>
      <c r="BQ38">
        <v>32</v>
      </c>
      <c r="BR38" s="26" t="e">
        <f t="shared" si="37"/>
        <v>#N/A</v>
      </c>
      <c r="BS38" s="26" t="e">
        <f t="shared" si="38"/>
        <v>#N/A</v>
      </c>
      <c r="BT38" s="26"/>
      <c r="BU38" s="29">
        <v>32</v>
      </c>
      <c r="BV38" s="26" t="e">
        <f t="shared" ref="BV38:BV69" si="51">BR38-CH38</f>
        <v>#N/A</v>
      </c>
      <c r="BW38" s="26" t="e">
        <f t="shared" ref="BW38:BW69" si="52">BS38-CI38</f>
        <v>#N/A</v>
      </c>
      <c r="BY38" s="29">
        <v>32</v>
      </c>
      <c r="BZ38" s="26" t="e">
        <f t="shared" si="39"/>
        <v>#N/A</v>
      </c>
      <c r="CA38" s="26" t="e">
        <f t="shared" si="40"/>
        <v>#N/A</v>
      </c>
      <c r="CC38" s="29">
        <v>32</v>
      </c>
      <c r="CD38" s="26" t="e">
        <f t="shared" si="41"/>
        <v>#N/A</v>
      </c>
      <c r="CE38" s="26" t="e">
        <f t="shared" si="42"/>
        <v>#N/A</v>
      </c>
      <c r="CG38">
        <v>32</v>
      </c>
      <c r="CH38" s="24" t="e">
        <f t="shared" ref="CH38:CH69" si="53">ROUND((H36*$BN$4*$BN$5*$BN$6*$BN$7*$BN$8*$BN$9),4)</f>
        <v>#N/A</v>
      </c>
      <c r="CI38" s="24" t="e">
        <f t="shared" ref="CI38:CI69" si="54">ROUND((I36*$BN$4*$BN$5*$BN$6*$BN$7*$BN$8*$BN$9),4)</f>
        <v>#N/A</v>
      </c>
      <c r="CJ38" s="27">
        <f t="shared" ref="CJ38:CJ69" si="55">ROUND(IF($CK$1=1,CH38*$BI$7,0),4)</f>
        <v>0</v>
      </c>
      <c r="CK38" s="27">
        <f t="shared" ref="CK38:CK69" si="56">ROUND(IF($CK$1=1,CI38*$BI$7,0),4)</f>
        <v>0</v>
      </c>
      <c r="CL38" s="26">
        <f t="shared" ref="CL38:CL69" si="57">ROUND(IF($CM$1=1,((D36*$BN$4*$BN$5*$BN$7*$BN$8*$BN$9)/(1-$L$7))*$AJ$3,0),4)</f>
        <v>0</v>
      </c>
      <c r="CM38" s="26">
        <f t="shared" ref="CM38:CM69" si="58">ROUND(IF($CM$1=1,((E36*$BN$4*$BN$5*$BN$7*$BN$8*$BN$9)/(1-$L$7))*$AJ$3,0),4)</f>
        <v>0</v>
      </c>
      <c r="CN38" s="27">
        <f t="shared" ref="CN38:CN69" si="59">ROUND(IF($CO$1=1,((D36*$BN$4*$BN$5*$BN$6*$BN$8*$BN$9)/(1-$L$7))*$AJ$11,0),4)</f>
        <v>0</v>
      </c>
      <c r="CO38" s="27">
        <f t="shared" ref="CO38:CO69" si="60">ROUND(IF($CO$1=1,((E36*$BN$4*$BN$5*$BN$6*$BN$8*$BN$9)/(1-$L$7))*$AJ$11,0),4)</f>
        <v>0</v>
      </c>
      <c r="CP38" s="27">
        <f t="shared" ref="CP38:CP69" si="61">ROUND(IF($CQ$1=1,CH38*$AJ$7,0),4)</f>
        <v>0</v>
      </c>
      <c r="CQ38" s="27">
        <f t="shared" ref="CQ38:CQ69" si="62">ROUND(IF($CQ$1=1,CI38*$AJ$7,0),4)</f>
        <v>0</v>
      </c>
      <c r="CR38" s="24">
        <f t="shared" ref="CR38:CR69" si="63">ROUND(IF($CS$1=1,((D36*$CS$2*$BN$4*$BN$5)/(1-$L$7)),0),4)</f>
        <v>0</v>
      </c>
      <c r="CS38" s="24">
        <f t="shared" ref="CS38:CS69" si="64">ROUND(IF($CS$1=1,((E36*$CS$2*$BN$4*$BN$5)/(1-$L$7)),0),4)</f>
        <v>0</v>
      </c>
      <c r="CT38">
        <v>0</v>
      </c>
      <c r="CU38" s="24">
        <f t="shared" si="48"/>
        <v>0</v>
      </c>
      <c r="CV38" s="27">
        <f t="shared" ref="CV38:CV69" si="65">ROUND(IF($CW$1=1,(D36*$BN$5*$BN$6*$BN$7*$BN$8*$BN$9*$CW$2)/(1-$L$7),0),4)</f>
        <v>0</v>
      </c>
      <c r="CW38" s="27">
        <f t="shared" ref="CW38:CW69" si="66">ROUND(IF($CW$1=1,(E36*$BN$5*$BN$6*$BN$7*$BN$8*$BN$9*$CW$2)/(1-$L$7),0),4)</f>
        <v>0</v>
      </c>
      <c r="CX38" s="27">
        <f t="shared" ref="CX38:CX69" si="67">ROUND(IF($CY$1=1,(D36*$BN$4*$BN$5*$BI$3)/(1-$L$7),0),4)</f>
        <v>0</v>
      </c>
      <c r="CY38" s="27">
        <f t="shared" ref="CY38:CY69" si="68">ROUND(IF($CY$1=1,(E36*$BN$4*$BN$5*$BI$3)/(1-$L$7),0),4)</f>
        <v>0</v>
      </c>
      <c r="CZ38" s="24">
        <f t="shared" ref="CZ38:CZ69" si="69">ROUND(IF($DA$1=1,(D36*$AW$3)/(1-$L$7),0),4)</f>
        <v>0</v>
      </c>
      <c r="DA38" s="24">
        <f t="shared" ref="DA38:DA69" si="70">ROUND(IF($DA$1=1,(E36*$AW$3)/(1-$L$7),0),4)</f>
        <v>0</v>
      </c>
      <c r="DB38" s="27">
        <f t="shared" ref="DB38:DB69" si="71">ROUND(IF($DC$1=1,CH38*$AW$7,0),4)</f>
        <v>0</v>
      </c>
      <c r="DC38" s="27">
        <f t="shared" ref="DC38:DC69" si="72">ROUND(IF($DC$1=1,CI38*$AW$7,0),4)</f>
        <v>0</v>
      </c>
      <c r="DD38" s="27">
        <f t="shared" ref="DD38:DD69" si="73">ROUND(IF($DE$1=1,(D36*$BN$4*$BN$5*$BN$7*$BN$8*$BN$9*$DE$2)/(1-$L$7),0),4)</f>
        <v>0</v>
      </c>
      <c r="DE38" s="27">
        <f t="shared" ref="DE38:DE69" si="74">ROUND(IF($DE$1=1,(E36*$BN$4*$BN$5*$BN$7*$BN$8*$BN$9*$DE$2)/(1-$L$7),0),4)</f>
        <v>0</v>
      </c>
      <c r="DF38" s="24">
        <f t="shared" ref="DF38:DF69" si="75">ROUND(IF($DG$1=1,((D36*$BN$4*$BN$5*$BN$6*$BN$9)/(1-$L$7))*$BC$7,0),4)</f>
        <v>0</v>
      </c>
      <c r="DG38" s="24">
        <f t="shared" ref="DG38:DG69" si="76">ROUND(IF($DG$1=1,((E36*$BN$4*$BN$5*$BN$6*$BN$9)/(1-$L$7))*$BC$7,0),4)</f>
        <v>0</v>
      </c>
      <c r="DH38" s="24">
        <f t="shared" ref="DH38:DH69" si="77">ROUND(IF($DI$1=1,(D36*$BC$3)/(1-$L$7),0),4)</f>
        <v>0</v>
      </c>
      <c r="DI38" s="24">
        <f t="shared" ref="DI38:DI69" si="78">ROUND(IF($DI$1=1,(E36*$BC$3)/(1-$L$7),0),4)</f>
        <v>0</v>
      </c>
      <c r="DJ38" s="26">
        <f t="shared" si="49"/>
        <v>0</v>
      </c>
      <c r="DK38" s="26">
        <f t="shared" si="50"/>
        <v>0</v>
      </c>
      <c r="DP38" s="27"/>
      <c r="DQ38" s="27"/>
      <c r="DR38" s="27">
        <f t="shared" ref="DR38:DR69" si="79">+CV38</f>
        <v>0</v>
      </c>
      <c r="DS38" s="27">
        <f t="shared" ref="DS38:DS69" si="80">+CW38</f>
        <v>0</v>
      </c>
      <c r="DT38" s="27">
        <f t="shared" ref="DT38:DT69" si="81">ROUND(IF($DS$1=1,CH38*$DS$2,0),4)</f>
        <v>0</v>
      </c>
      <c r="DU38" s="27">
        <f t="shared" ref="DU38:DU69" si="82">ROUND(IF($DS$1=1,CI38*$DS$2,0),4)</f>
        <v>0</v>
      </c>
      <c r="DV38" s="27">
        <f t="shared" si="44"/>
        <v>0</v>
      </c>
      <c r="DW38" s="27">
        <f t="shared" si="45"/>
        <v>0</v>
      </c>
      <c r="DX38" s="27">
        <f t="shared" ref="DX38:DX69" si="83">ROUND(IF($DY$1=1,(D36*$BN$5*$BN$7*$BN$8*$BN$9*$DY$2)/(1-$L$7),0),4)</f>
        <v>0</v>
      </c>
      <c r="DY38" s="27">
        <f t="shared" ref="DY38:DY69" si="84">ROUND(IF($DY$1=1,(E36*$BN$5*$BN$7*$BN$8*$BN$9*$DY$2)/(1-$L$7),0),4)</f>
        <v>0</v>
      </c>
      <c r="DZ38" s="27">
        <f t="shared" ref="DZ38:DZ69" si="85">DD38</f>
        <v>0</v>
      </c>
      <c r="EA38" s="27">
        <f t="shared" ref="EA38:EA69" si="86">DE38</f>
        <v>0</v>
      </c>
      <c r="EB38" s="27">
        <f t="shared" si="46"/>
        <v>0</v>
      </c>
      <c r="EC38" s="27">
        <f t="shared" si="47"/>
        <v>0</v>
      </c>
    </row>
    <row r="39" spans="1:133" x14ac:dyDescent="0.35">
      <c r="A39" s="385"/>
      <c r="C39" s="31">
        <v>35</v>
      </c>
      <c r="D39" s="32">
        <v>10183.870000000001</v>
      </c>
      <c r="E39" s="32">
        <v>13646.8</v>
      </c>
      <c r="F39" s="72"/>
      <c r="G39" s="31">
        <v>35</v>
      </c>
      <c r="H39" s="73">
        <v>18185.48</v>
      </c>
      <c r="I39" s="73">
        <v>24369.29</v>
      </c>
      <c r="AH39" s="386"/>
      <c r="AN39" s="40">
        <v>35</v>
      </c>
      <c r="AO39" s="46">
        <v>9.2773265439587471E-2</v>
      </c>
      <c r="AU39" s="369" t="s">
        <v>163</v>
      </c>
      <c r="AV39" s="369"/>
      <c r="BE39" s="40">
        <v>53</v>
      </c>
      <c r="BF39" s="40">
        <v>10.012</v>
      </c>
      <c r="BG39" s="40">
        <v>7.0650000000000004</v>
      </c>
      <c r="BJ39" s="386"/>
      <c r="BQ39">
        <v>33</v>
      </c>
      <c r="BR39" s="26" t="e">
        <f t="shared" si="37"/>
        <v>#N/A</v>
      </c>
      <c r="BS39" s="26" t="e">
        <f t="shared" si="38"/>
        <v>#N/A</v>
      </c>
      <c r="BT39" s="26"/>
      <c r="BU39" s="29">
        <v>33</v>
      </c>
      <c r="BV39" s="26" t="e">
        <f t="shared" si="51"/>
        <v>#N/A</v>
      </c>
      <c r="BW39" s="26" t="e">
        <f t="shared" si="52"/>
        <v>#N/A</v>
      </c>
      <c r="BY39" s="29">
        <v>33</v>
      </c>
      <c r="BZ39" s="26" t="e">
        <f t="shared" si="39"/>
        <v>#N/A</v>
      </c>
      <c r="CA39" s="26" t="e">
        <f t="shared" si="40"/>
        <v>#N/A</v>
      </c>
      <c r="CC39" s="29">
        <v>33</v>
      </c>
      <c r="CD39" s="26" t="e">
        <f t="shared" si="41"/>
        <v>#N/A</v>
      </c>
      <c r="CE39" s="26" t="e">
        <f t="shared" si="42"/>
        <v>#N/A</v>
      </c>
      <c r="CG39">
        <v>33</v>
      </c>
      <c r="CH39" s="24" t="e">
        <f t="shared" si="53"/>
        <v>#N/A</v>
      </c>
      <c r="CI39" s="24" t="e">
        <f t="shared" si="54"/>
        <v>#N/A</v>
      </c>
      <c r="CJ39" s="27">
        <f t="shared" si="55"/>
        <v>0</v>
      </c>
      <c r="CK39" s="27">
        <f t="shared" si="56"/>
        <v>0</v>
      </c>
      <c r="CL39" s="26">
        <f t="shared" si="57"/>
        <v>0</v>
      </c>
      <c r="CM39" s="26">
        <f t="shared" si="58"/>
        <v>0</v>
      </c>
      <c r="CN39" s="27">
        <f t="shared" si="59"/>
        <v>0</v>
      </c>
      <c r="CO39" s="27">
        <f t="shared" si="60"/>
        <v>0</v>
      </c>
      <c r="CP39" s="27">
        <f t="shared" si="61"/>
        <v>0</v>
      </c>
      <c r="CQ39" s="27">
        <f t="shared" si="62"/>
        <v>0</v>
      </c>
      <c r="CR39" s="24">
        <f t="shared" si="63"/>
        <v>0</v>
      </c>
      <c r="CS39" s="24">
        <f t="shared" si="64"/>
        <v>0</v>
      </c>
      <c r="CT39">
        <v>0</v>
      </c>
      <c r="CU39" s="24">
        <f t="shared" si="48"/>
        <v>0</v>
      </c>
      <c r="CV39" s="27">
        <f t="shared" si="65"/>
        <v>0</v>
      </c>
      <c r="CW39" s="27">
        <f t="shared" si="66"/>
        <v>0</v>
      </c>
      <c r="CX39" s="27">
        <f t="shared" si="67"/>
        <v>0</v>
      </c>
      <c r="CY39" s="27">
        <f t="shared" si="68"/>
        <v>0</v>
      </c>
      <c r="CZ39" s="24">
        <f t="shared" si="69"/>
        <v>0</v>
      </c>
      <c r="DA39" s="24">
        <f t="shared" si="70"/>
        <v>0</v>
      </c>
      <c r="DB39" s="27">
        <f t="shared" si="71"/>
        <v>0</v>
      </c>
      <c r="DC39" s="27">
        <f t="shared" si="72"/>
        <v>0</v>
      </c>
      <c r="DD39" s="27">
        <f t="shared" si="73"/>
        <v>0</v>
      </c>
      <c r="DE39" s="27">
        <f t="shared" si="74"/>
        <v>0</v>
      </c>
      <c r="DF39" s="24">
        <f t="shared" si="75"/>
        <v>0</v>
      </c>
      <c r="DG39" s="24">
        <f t="shared" si="76"/>
        <v>0</v>
      </c>
      <c r="DH39" s="24">
        <f t="shared" si="77"/>
        <v>0</v>
      </c>
      <c r="DI39" s="24">
        <f t="shared" si="78"/>
        <v>0</v>
      </c>
      <c r="DJ39" s="26">
        <f t="shared" si="49"/>
        <v>0</v>
      </c>
      <c r="DK39" s="26">
        <f t="shared" si="50"/>
        <v>0</v>
      </c>
      <c r="DP39" s="27"/>
      <c r="DQ39" s="27"/>
      <c r="DR39" s="27">
        <f t="shared" si="79"/>
        <v>0</v>
      </c>
      <c r="DS39" s="27">
        <f t="shared" si="80"/>
        <v>0</v>
      </c>
      <c r="DT39" s="27">
        <f t="shared" si="81"/>
        <v>0</v>
      </c>
      <c r="DU39" s="27">
        <f t="shared" si="82"/>
        <v>0</v>
      </c>
      <c r="DV39" s="27">
        <f t="shared" si="44"/>
        <v>0</v>
      </c>
      <c r="DW39" s="27">
        <f t="shared" si="45"/>
        <v>0</v>
      </c>
      <c r="DX39" s="27">
        <f t="shared" si="83"/>
        <v>0</v>
      </c>
      <c r="DY39" s="27">
        <f t="shared" si="84"/>
        <v>0</v>
      </c>
      <c r="DZ39" s="27">
        <f t="shared" si="85"/>
        <v>0</v>
      </c>
      <c r="EA39" s="27">
        <f t="shared" si="86"/>
        <v>0</v>
      </c>
      <c r="EB39" s="27">
        <f t="shared" si="46"/>
        <v>0</v>
      </c>
      <c r="EC39" s="27">
        <f t="shared" si="47"/>
        <v>0</v>
      </c>
    </row>
    <row r="40" spans="1:133" x14ac:dyDescent="0.35">
      <c r="A40" s="385"/>
      <c r="C40" s="31">
        <v>36</v>
      </c>
      <c r="D40" s="32">
        <v>10561.01</v>
      </c>
      <c r="E40" s="32">
        <v>13997.78</v>
      </c>
      <c r="F40" s="72"/>
      <c r="G40" s="31">
        <v>36</v>
      </c>
      <c r="H40" s="73">
        <v>18858.95</v>
      </c>
      <c r="I40" s="73">
        <v>24996.04</v>
      </c>
      <c r="AH40" s="386"/>
      <c r="AN40" s="40">
        <v>36</v>
      </c>
      <c r="AO40" s="46">
        <v>8.0073265439587468E-2</v>
      </c>
      <c r="AQ40" s="369" t="s">
        <v>163</v>
      </c>
      <c r="AR40" s="369"/>
      <c r="AS40" s="369"/>
      <c r="AU40" s="30" t="s">
        <v>161</v>
      </c>
      <c r="AV40" s="30" t="s">
        <v>102</v>
      </c>
      <c r="AY40" s="369" t="s">
        <v>167</v>
      </c>
      <c r="AZ40" s="369"/>
      <c r="BA40" s="369"/>
      <c r="BE40" s="40">
        <v>54</v>
      </c>
      <c r="BF40" s="40">
        <v>10.935</v>
      </c>
      <c r="BG40" s="40">
        <v>7.4240000000000004</v>
      </c>
      <c r="BJ40" s="386"/>
      <c r="BQ40">
        <v>34</v>
      </c>
      <c r="BR40" s="26" t="e">
        <f t="shared" si="37"/>
        <v>#N/A</v>
      </c>
      <c r="BS40" s="26" t="e">
        <f t="shared" si="38"/>
        <v>#N/A</v>
      </c>
      <c r="BT40" s="26"/>
      <c r="BU40" s="29">
        <v>34</v>
      </c>
      <c r="BV40" s="26" t="e">
        <f t="shared" si="51"/>
        <v>#N/A</v>
      </c>
      <c r="BW40" s="26" t="e">
        <f t="shared" si="52"/>
        <v>#N/A</v>
      </c>
      <c r="BY40" s="29">
        <v>34</v>
      </c>
      <c r="BZ40" s="26" t="e">
        <f t="shared" si="39"/>
        <v>#N/A</v>
      </c>
      <c r="CA40" s="26" t="e">
        <f t="shared" si="40"/>
        <v>#N/A</v>
      </c>
      <c r="CC40" s="29">
        <v>34</v>
      </c>
      <c r="CD40" s="26" t="e">
        <f t="shared" si="41"/>
        <v>#N/A</v>
      </c>
      <c r="CE40" s="26" t="e">
        <f t="shared" si="42"/>
        <v>#N/A</v>
      </c>
      <c r="CG40">
        <v>34</v>
      </c>
      <c r="CH40" s="24" t="e">
        <f t="shared" si="53"/>
        <v>#N/A</v>
      </c>
      <c r="CI40" s="24" t="e">
        <f t="shared" si="54"/>
        <v>#N/A</v>
      </c>
      <c r="CJ40" s="27">
        <f t="shared" si="55"/>
        <v>0</v>
      </c>
      <c r="CK40" s="27">
        <f t="shared" si="56"/>
        <v>0</v>
      </c>
      <c r="CL40" s="26">
        <f t="shared" si="57"/>
        <v>0</v>
      </c>
      <c r="CM40" s="26">
        <f t="shared" si="58"/>
        <v>0</v>
      </c>
      <c r="CN40" s="27">
        <f t="shared" si="59"/>
        <v>0</v>
      </c>
      <c r="CO40" s="27">
        <f t="shared" si="60"/>
        <v>0</v>
      </c>
      <c r="CP40" s="27">
        <f t="shared" si="61"/>
        <v>0</v>
      </c>
      <c r="CQ40" s="27">
        <f t="shared" si="62"/>
        <v>0</v>
      </c>
      <c r="CR40" s="24">
        <f t="shared" si="63"/>
        <v>0</v>
      </c>
      <c r="CS40" s="24">
        <f t="shared" si="64"/>
        <v>0</v>
      </c>
      <c r="CT40">
        <v>0</v>
      </c>
      <c r="CU40" s="24">
        <f t="shared" si="48"/>
        <v>0</v>
      </c>
      <c r="CV40" s="27">
        <f t="shared" si="65"/>
        <v>0</v>
      </c>
      <c r="CW40" s="27">
        <f t="shared" si="66"/>
        <v>0</v>
      </c>
      <c r="CX40" s="27">
        <f t="shared" si="67"/>
        <v>0</v>
      </c>
      <c r="CY40" s="27">
        <f t="shared" si="68"/>
        <v>0</v>
      </c>
      <c r="CZ40" s="24">
        <f t="shared" si="69"/>
        <v>0</v>
      </c>
      <c r="DA40" s="24">
        <f t="shared" si="70"/>
        <v>0</v>
      </c>
      <c r="DB40" s="27">
        <f t="shared" si="71"/>
        <v>0</v>
      </c>
      <c r="DC40" s="27">
        <f t="shared" si="72"/>
        <v>0</v>
      </c>
      <c r="DD40" s="27">
        <f t="shared" si="73"/>
        <v>0</v>
      </c>
      <c r="DE40" s="27">
        <f t="shared" si="74"/>
        <v>0</v>
      </c>
      <c r="DF40" s="24">
        <f t="shared" si="75"/>
        <v>0</v>
      </c>
      <c r="DG40" s="24">
        <f t="shared" si="76"/>
        <v>0</v>
      </c>
      <c r="DH40" s="24">
        <f t="shared" si="77"/>
        <v>0</v>
      </c>
      <c r="DI40" s="24">
        <f t="shared" si="78"/>
        <v>0</v>
      </c>
      <c r="DJ40" s="26">
        <f t="shared" si="49"/>
        <v>0</v>
      </c>
      <c r="DK40" s="26">
        <f t="shared" si="50"/>
        <v>0</v>
      </c>
      <c r="DP40" s="27"/>
      <c r="DQ40" s="27"/>
      <c r="DR40" s="27">
        <f t="shared" si="79"/>
        <v>0</v>
      </c>
      <c r="DS40" s="27">
        <f t="shared" si="80"/>
        <v>0</v>
      </c>
      <c r="DT40" s="27">
        <f t="shared" si="81"/>
        <v>0</v>
      </c>
      <c r="DU40" s="27">
        <f t="shared" si="82"/>
        <v>0</v>
      </c>
      <c r="DV40" s="27">
        <f t="shared" si="44"/>
        <v>0</v>
      </c>
      <c r="DW40" s="27">
        <f t="shared" si="45"/>
        <v>0</v>
      </c>
      <c r="DX40" s="27">
        <f t="shared" si="83"/>
        <v>0</v>
      </c>
      <c r="DY40" s="27">
        <f t="shared" si="84"/>
        <v>0</v>
      </c>
      <c r="DZ40" s="27">
        <f t="shared" si="85"/>
        <v>0</v>
      </c>
      <c r="EA40" s="27">
        <f t="shared" si="86"/>
        <v>0</v>
      </c>
      <c r="EB40" s="27">
        <f t="shared" si="46"/>
        <v>0</v>
      </c>
      <c r="EC40" s="27">
        <f t="shared" si="47"/>
        <v>0</v>
      </c>
    </row>
    <row r="41" spans="1:133" x14ac:dyDescent="0.35">
      <c r="A41" s="385"/>
      <c r="C41" s="31">
        <v>37</v>
      </c>
      <c r="D41" s="32">
        <v>10980.66</v>
      </c>
      <c r="E41" s="32">
        <v>14576.57</v>
      </c>
      <c r="F41" s="72"/>
      <c r="G41" s="31">
        <v>37</v>
      </c>
      <c r="H41" s="73">
        <v>19608.32</v>
      </c>
      <c r="I41" s="73">
        <v>26029.59</v>
      </c>
      <c r="AH41" s="386"/>
      <c r="AN41" s="40">
        <v>37</v>
      </c>
      <c r="AO41" s="46">
        <v>8.0073265439587468E-2</v>
      </c>
      <c r="AQ41" s="30" t="s">
        <v>104</v>
      </c>
      <c r="AR41" s="30" t="s">
        <v>132</v>
      </c>
      <c r="AS41" s="30" t="s">
        <v>102</v>
      </c>
      <c r="AU41" s="40">
        <v>1</v>
      </c>
      <c r="AV41" s="49">
        <v>0.23599999999999999</v>
      </c>
      <c r="AY41" s="30" t="s">
        <v>104</v>
      </c>
      <c r="AZ41" s="30" t="s">
        <v>105</v>
      </c>
      <c r="BA41" s="30" t="s">
        <v>14</v>
      </c>
      <c r="BE41" s="40">
        <v>55</v>
      </c>
      <c r="BF41" s="40">
        <v>11.872999999999999</v>
      </c>
      <c r="BG41" s="40">
        <v>7.7750000000000004</v>
      </c>
      <c r="BJ41" s="386"/>
      <c r="BQ41">
        <v>35</v>
      </c>
      <c r="BR41" s="26" t="e">
        <f t="shared" si="37"/>
        <v>#N/A</v>
      </c>
      <c r="BS41" s="26" t="e">
        <f t="shared" si="38"/>
        <v>#N/A</v>
      </c>
      <c r="BT41" s="26"/>
      <c r="BU41" s="29">
        <v>35</v>
      </c>
      <c r="BV41" s="26" t="e">
        <f t="shared" si="51"/>
        <v>#N/A</v>
      </c>
      <c r="BW41" s="26" t="e">
        <f t="shared" si="52"/>
        <v>#N/A</v>
      </c>
      <c r="BY41" s="29">
        <v>35</v>
      </c>
      <c r="BZ41" s="26" t="e">
        <f t="shared" si="39"/>
        <v>#N/A</v>
      </c>
      <c r="CA41" s="26" t="e">
        <f t="shared" si="40"/>
        <v>#N/A</v>
      </c>
      <c r="CC41" s="29">
        <v>35</v>
      </c>
      <c r="CD41" s="26" t="e">
        <f t="shared" si="41"/>
        <v>#N/A</v>
      </c>
      <c r="CE41" s="26" t="e">
        <f t="shared" si="42"/>
        <v>#N/A</v>
      </c>
      <c r="CG41">
        <v>35</v>
      </c>
      <c r="CH41" s="24" t="e">
        <f t="shared" si="53"/>
        <v>#N/A</v>
      </c>
      <c r="CI41" s="24" t="e">
        <f t="shared" si="54"/>
        <v>#N/A</v>
      </c>
      <c r="CJ41" s="27">
        <f t="shared" si="55"/>
        <v>0</v>
      </c>
      <c r="CK41" s="27">
        <f t="shared" si="56"/>
        <v>0</v>
      </c>
      <c r="CL41" s="26">
        <f t="shared" si="57"/>
        <v>0</v>
      </c>
      <c r="CM41" s="26">
        <f t="shared" si="58"/>
        <v>0</v>
      </c>
      <c r="CN41" s="27">
        <f t="shared" si="59"/>
        <v>0</v>
      </c>
      <c r="CO41" s="27">
        <f t="shared" si="60"/>
        <v>0</v>
      </c>
      <c r="CP41" s="27">
        <f t="shared" si="61"/>
        <v>0</v>
      </c>
      <c r="CQ41" s="27">
        <f t="shared" si="62"/>
        <v>0</v>
      </c>
      <c r="CR41" s="24">
        <f t="shared" si="63"/>
        <v>0</v>
      </c>
      <c r="CS41" s="24">
        <f t="shared" si="64"/>
        <v>0</v>
      </c>
      <c r="CT41">
        <v>0</v>
      </c>
      <c r="CU41" s="24">
        <f t="shared" si="48"/>
        <v>0</v>
      </c>
      <c r="CV41" s="27">
        <f t="shared" si="65"/>
        <v>0</v>
      </c>
      <c r="CW41" s="27">
        <f t="shared" si="66"/>
        <v>0</v>
      </c>
      <c r="CX41" s="27">
        <f t="shared" si="67"/>
        <v>0</v>
      </c>
      <c r="CY41" s="27">
        <f t="shared" si="68"/>
        <v>0</v>
      </c>
      <c r="CZ41" s="24">
        <f t="shared" si="69"/>
        <v>0</v>
      </c>
      <c r="DA41" s="24">
        <f t="shared" si="70"/>
        <v>0</v>
      </c>
      <c r="DB41" s="27">
        <f t="shared" si="71"/>
        <v>0</v>
      </c>
      <c r="DC41" s="27">
        <f t="shared" si="72"/>
        <v>0</v>
      </c>
      <c r="DD41" s="27">
        <f t="shared" si="73"/>
        <v>0</v>
      </c>
      <c r="DE41" s="27">
        <f t="shared" si="74"/>
        <v>0</v>
      </c>
      <c r="DF41" s="24">
        <f t="shared" si="75"/>
        <v>0</v>
      </c>
      <c r="DG41" s="24">
        <f t="shared" si="76"/>
        <v>0</v>
      </c>
      <c r="DH41" s="24">
        <f t="shared" si="77"/>
        <v>0</v>
      </c>
      <c r="DI41" s="24">
        <f t="shared" si="78"/>
        <v>0</v>
      </c>
      <c r="DJ41" s="26">
        <f t="shared" si="49"/>
        <v>0</v>
      </c>
      <c r="DK41" s="26">
        <f t="shared" si="50"/>
        <v>0</v>
      </c>
      <c r="DP41" s="27"/>
      <c r="DQ41" s="27"/>
      <c r="DR41" s="27">
        <f t="shared" si="79"/>
        <v>0</v>
      </c>
      <c r="DS41" s="27">
        <f t="shared" si="80"/>
        <v>0</v>
      </c>
      <c r="DT41" s="27">
        <f t="shared" si="81"/>
        <v>0</v>
      </c>
      <c r="DU41" s="27">
        <f t="shared" si="82"/>
        <v>0</v>
      </c>
      <c r="DV41" s="27">
        <f t="shared" si="44"/>
        <v>0</v>
      </c>
      <c r="DW41" s="27">
        <f t="shared" si="45"/>
        <v>0</v>
      </c>
      <c r="DX41" s="27">
        <f t="shared" si="83"/>
        <v>0</v>
      </c>
      <c r="DY41" s="27">
        <f t="shared" si="84"/>
        <v>0</v>
      </c>
      <c r="DZ41" s="27">
        <f t="shared" si="85"/>
        <v>0</v>
      </c>
      <c r="EA41" s="27">
        <f t="shared" si="86"/>
        <v>0</v>
      </c>
      <c r="EB41" s="27">
        <f t="shared" si="46"/>
        <v>0</v>
      </c>
      <c r="EC41" s="27">
        <f t="shared" si="47"/>
        <v>0</v>
      </c>
    </row>
    <row r="42" spans="1:133" x14ac:dyDescent="0.35">
      <c r="A42" s="385"/>
      <c r="C42" s="31">
        <v>38</v>
      </c>
      <c r="D42" s="32">
        <v>11446.09</v>
      </c>
      <c r="E42" s="32">
        <v>15208.77</v>
      </c>
      <c r="F42" s="72"/>
      <c r="G42" s="31">
        <v>38</v>
      </c>
      <c r="H42" s="73">
        <v>20439.45</v>
      </c>
      <c r="I42" s="73">
        <v>27158.52</v>
      </c>
      <c r="AH42" s="386"/>
      <c r="AN42" s="40">
        <v>38</v>
      </c>
      <c r="AO42" s="46">
        <v>8.0073265439587468E-2</v>
      </c>
      <c r="AQ42" s="40" t="s">
        <v>15</v>
      </c>
      <c r="AR42" s="40">
        <v>3</v>
      </c>
      <c r="AS42" s="49">
        <f t="shared" ref="AS42:AS74" si="87">VLOOKUP(AR42,$AU$41:$AV$47,2,0)</f>
        <v>0.111</v>
      </c>
      <c r="AU42" s="40">
        <v>2</v>
      </c>
      <c r="AV42" s="49">
        <v>0.17299999999999999</v>
      </c>
      <c r="AY42" s="40" t="s">
        <v>15</v>
      </c>
      <c r="AZ42" s="40">
        <v>3</v>
      </c>
      <c r="BA42" s="41">
        <v>0.76854999999999996</v>
      </c>
      <c r="BE42" s="40">
        <v>56</v>
      </c>
      <c r="BF42" s="40">
        <v>12.819000000000001</v>
      </c>
      <c r="BG42" s="40">
        <v>8.0969999999999995</v>
      </c>
      <c r="BJ42" s="386"/>
      <c r="BQ42">
        <v>36</v>
      </c>
      <c r="BR42" s="26" t="e">
        <f t="shared" si="37"/>
        <v>#N/A</v>
      </c>
      <c r="BS42" s="26" t="e">
        <f t="shared" si="38"/>
        <v>#N/A</v>
      </c>
      <c r="BT42" s="26"/>
      <c r="BU42" s="29">
        <v>36</v>
      </c>
      <c r="BV42" s="26" t="e">
        <f t="shared" si="51"/>
        <v>#N/A</v>
      </c>
      <c r="BW42" s="26" t="e">
        <f t="shared" si="52"/>
        <v>#N/A</v>
      </c>
      <c r="BY42" s="29">
        <v>36</v>
      </c>
      <c r="BZ42" s="26" t="e">
        <f t="shared" si="39"/>
        <v>#N/A</v>
      </c>
      <c r="CA42" s="26" t="e">
        <f t="shared" si="40"/>
        <v>#N/A</v>
      </c>
      <c r="CC42" s="29">
        <v>36</v>
      </c>
      <c r="CD42" s="26" t="e">
        <f t="shared" si="41"/>
        <v>#N/A</v>
      </c>
      <c r="CE42" s="26" t="e">
        <f t="shared" si="42"/>
        <v>#N/A</v>
      </c>
      <c r="CG42">
        <v>36</v>
      </c>
      <c r="CH42" s="24" t="e">
        <f t="shared" si="53"/>
        <v>#N/A</v>
      </c>
      <c r="CI42" s="24" t="e">
        <f t="shared" si="54"/>
        <v>#N/A</v>
      </c>
      <c r="CJ42" s="27">
        <f t="shared" si="55"/>
        <v>0</v>
      </c>
      <c r="CK42" s="27">
        <f t="shared" si="56"/>
        <v>0</v>
      </c>
      <c r="CL42" s="26">
        <f t="shared" si="57"/>
        <v>0</v>
      </c>
      <c r="CM42" s="26">
        <f t="shared" si="58"/>
        <v>0</v>
      </c>
      <c r="CN42" s="27">
        <f t="shared" si="59"/>
        <v>0</v>
      </c>
      <c r="CO42" s="27">
        <f t="shared" si="60"/>
        <v>0</v>
      </c>
      <c r="CP42" s="27">
        <f t="shared" si="61"/>
        <v>0</v>
      </c>
      <c r="CQ42" s="27">
        <f t="shared" si="62"/>
        <v>0</v>
      </c>
      <c r="CR42" s="24">
        <f t="shared" si="63"/>
        <v>0</v>
      </c>
      <c r="CS42" s="24">
        <f t="shared" si="64"/>
        <v>0</v>
      </c>
      <c r="CT42">
        <v>0</v>
      </c>
      <c r="CU42" s="24">
        <f t="shared" si="48"/>
        <v>0</v>
      </c>
      <c r="CV42" s="27">
        <f t="shared" si="65"/>
        <v>0</v>
      </c>
      <c r="CW42" s="27">
        <f t="shared" si="66"/>
        <v>0</v>
      </c>
      <c r="CX42" s="27">
        <f t="shared" si="67"/>
        <v>0</v>
      </c>
      <c r="CY42" s="27">
        <f t="shared" si="68"/>
        <v>0</v>
      </c>
      <c r="CZ42" s="24">
        <f t="shared" si="69"/>
        <v>0</v>
      </c>
      <c r="DA42" s="24">
        <f t="shared" si="70"/>
        <v>0</v>
      </c>
      <c r="DB42" s="27">
        <f t="shared" si="71"/>
        <v>0</v>
      </c>
      <c r="DC42" s="27">
        <f t="shared" si="72"/>
        <v>0</v>
      </c>
      <c r="DD42" s="27">
        <f t="shared" si="73"/>
        <v>0</v>
      </c>
      <c r="DE42" s="27">
        <f t="shared" si="74"/>
        <v>0</v>
      </c>
      <c r="DF42" s="24">
        <f t="shared" si="75"/>
        <v>0</v>
      </c>
      <c r="DG42" s="24">
        <f t="shared" si="76"/>
        <v>0</v>
      </c>
      <c r="DH42" s="24">
        <f t="shared" si="77"/>
        <v>0</v>
      </c>
      <c r="DI42" s="24">
        <f t="shared" si="78"/>
        <v>0</v>
      </c>
      <c r="DJ42" s="26">
        <f t="shared" si="49"/>
        <v>0</v>
      </c>
      <c r="DK42" s="26">
        <f t="shared" si="50"/>
        <v>0</v>
      </c>
      <c r="DP42" s="27"/>
      <c r="DQ42" s="27"/>
      <c r="DR42" s="27">
        <f t="shared" si="79"/>
        <v>0</v>
      </c>
      <c r="DS42" s="27">
        <f t="shared" si="80"/>
        <v>0</v>
      </c>
      <c r="DT42" s="27">
        <f t="shared" si="81"/>
        <v>0</v>
      </c>
      <c r="DU42" s="27">
        <f t="shared" si="82"/>
        <v>0</v>
      </c>
      <c r="DV42" s="27">
        <f t="shared" si="44"/>
        <v>0</v>
      </c>
      <c r="DW42" s="27">
        <f t="shared" si="45"/>
        <v>0</v>
      </c>
      <c r="DX42" s="27">
        <f t="shared" si="83"/>
        <v>0</v>
      </c>
      <c r="DY42" s="27">
        <f t="shared" si="84"/>
        <v>0</v>
      </c>
      <c r="DZ42" s="27">
        <f t="shared" si="85"/>
        <v>0</v>
      </c>
      <c r="EA42" s="27">
        <f t="shared" si="86"/>
        <v>0</v>
      </c>
      <c r="EB42" s="27">
        <f t="shared" si="46"/>
        <v>0</v>
      </c>
      <c r="EC42" s="27">
        <f t="shared" si="47"/>
        <v>0</v>
      </c>
    </row>
    <row r="43" spans="1:133" x14ac:dyDescent="0.35">
      <c r="A43" s="385"/>
      <c r="C43" s="31">
        <v>39</v>
      </c>
      <c r="D43" s="32">
        <v>11963.84</v>
      </c>
      <c r="E43" s="32">
        <v>15898.74</v>
      </c>
      <c r="F43" s="72"/>
      <c r="G43" s="31">
        <v>39</v>
      </c>
      <c r="H43" s="73">
        <v>21364</v>
      </c>
      <c r="I43" s="73">
        <v>28390.61</v>
      </c>
      <c r="AH43" s="386"/>
      <c r="AN43" s="40">
        <v>39</v>
      </c>
      <c r="AO43" s="46">
        <v>8.0073265439587468E-2</v>
      </c>
      <c r="AQ43" s="40" t="s">
        <v>16</v>
      </c>
      <c r="AR43" s="40">
        <v>2</v>
      </c>
      <c r="AS43" s="49">
        <f t="shared" si="87"/>
        <v>0.17299999999999999</v>
      </c>
      <c r="AU43" s="40">
        <v>3</v>
      </c>
      <c r="AV43" s="49">
        <v>0.111</v>
      </c>
      <c r="AY43" s="40" t="s">
        <v>16</v>
      </c>
      <c r="AZ43" s="40">
        <v>2</v>
      </c>
      <c r="BA43" s="41">
        <v>1.8326899999999999</v>
      </c>
      <c r="BE43" s="40">
        <v>57</v>
      </c>
      <c r="BF43" s="40">
        <v>13.756</v>
      </c>
      <c r="BG43" s="40">
        <v>8.4009999999999998</v>
      </c>
      <c r="BJ43" s="386"/>
      <c r="BQ43">
        <v>37</v>
      </c>
      <c r="BR43" s="26" t="e">
        <f t="shared" si="37"/>
        <v>#N/A</v>
      </c>
      <c r="BS43" s="26" t="e">
        <f t="shared" si="38"/>
        <v>#N/A</v>
      </c>
      <c r="BT43" s="26"/>
      <c r="BU43" s="29">
        <v>37</v>
      </c>
      <c r="BV43" s="26" t="e">
        <f t="shared" si="51"/>
        <v>#N/A</v>
      </c>
      <c r="BW43" s="26" t="e">
        <f t="shared" si="52"/>
        <v>#N/A</v>
      </c>
      <c r="BY43" s="29">
        <v>37</v>
      </c>
      <c r="BZ43" s="26" t="e">
        <f t="shared" si="39"/>
        <v>#N/A</v>
      </c>
      <c r="CA43" s="26" t="e">
        <f t="shared" si="40"/>
        <v>#N/A</v>
      </c>
      <c r="CC43" s="29">
        <v>37</v>
      </c>
      <c r="CD43" s="26" t="e">
        <f t="shared" si="41"/>
        <v>#N/A</v>
      </c>
      <c r="CE43" s="26" t="e">
        <f t="shared" si="42"/>
        <v>#N/A</v>
      </c>
      <c r="CG43">
        <v>37</v>
      </c>
      <c r="CH43" s="24" t="e">
        <f t="shared" si="53"/>
        <v>#N/A</v>
      </c>
      <c r="CI43" s="24" t="e">
        <f t="shared" si="54"/>
        <v>#N/A</v>
      </c>
      <c r="CJ43" s="27">
        <f t="shared" si="55"/>
        <v>0</v>
      </c>
      <c r="CK43" s="27">
        <f t="shared" si="56"/>
        <v>0</v>
      </c>
      <c r="CL43" s="26">
        <f t="shared" si="57"/>
        <v>0</v>
      </c>
      <c r="CM43" s="26">
        <f t="shared" si="58"/>
        <v>0</v>
      </c>
      <c r="CN43" s="27">
        <f t="shared" si="59"/>
        <v>0</v>
      </c>
      <c r="CO43" s="27">
        <f t="shared" si="60"/>
        <v>0</v>
      </c>
      <c r="CP43" s="27">
        <f t="shared" si="61"/>
        <v>0</v>
      </c>
      <c r="CQ43" s="27">
        <f t="shared" si="62"/>
        <v>0</v>
      </c>
      <c r="CR43" s="24">
        <f t="shared" si="63"/>
        <v>0</v>
      </c>
      <c r="CS43" s="24">
        <f t="shared" si="64"/>
        <v>0</v>
      </c>
      <c r="CT43">
        <v>0</v>
      </c>
      <c r="CU43" s="24">
        <f t="shared" si="48"/>
        <v>0</v>
      </c>
      <c r="CV43" s="27">
        <f t="shared" si="65"/>
        <v>0</v>
      </c>
      <c r="CW43" s="27">
        <f t="shared" si="66"/>
        <v>0</v>
      </c>
      <c r="CX43" s="27">
        <f t="shared" si="67"/>
        <v>0</v>
      </c>
      <c r="CY43" s="27">
        <f t="shared" si="68"/>
        <v>0</v>
      </c>
      <c r="CZ43" s="24">
        <f t="shared" si="69"/>
        <v>0</v>
      </c>
      <c r="DA43" s="24">
        <f t="shared" si="70"/>
        <v>0</v>
      </c>
      <c r="DB43" s="27">
        <f t="shared" si="71"/>
        <v>0</v>
      </c>
      <c r="DC43" s="27">
        <f t="shared" si="72"/>
        <v>0</v>
      </c>
      <c r="DD43" s="27">
        <f t="shared" si="73"/>
        <v>0</v>
      </c>
      <c r="DE43" s="27">
        <f t="shared" si="74"/>
        <v>0</v>
      </c>
      <c r="DF43" s="24">
        <f t="shared" si="75"/>
        <v>0</v>
      </c>
      <c r="DG43" s="24">
        <f t="shared" si="76"/>
        <v>0</v>
      </c>
      <c r="DH43" s="24">
        <f t="shared" si="77"/>
        <v>0</v>
      </c>
      <c r="DI43" s="24">
        <f t="shared" si="78"/>
        <v>0</v>
      </c>
      <c r="DJ43" s="26">
        <f t="shared" si="49"/>
        <v>0</v>
      </c>
      <c r="DK43" s="26">
        <f t="shared" si="50"/>
        <v>0</v>
      </c>
      <c r="DP43" s="27"/>
      <c r="DQ43" s="27"/>
      <c r="DR43" s="27">
        <f t="shared" si="79"/>
        <v>0</v>
      </c>
      <c r="DS43" s="27">
        <f t="shared" si="80"/>
        <v>0</v>
      </c>
      <c r="DT43" s="27">
        <f t="shared" si="81"/>
        <v>0</v>
      </c>
      <c r="DU43" s="27">
        <f t="shared" si="82"/>
        <v>0</v>
      </c>
      <c r="DV43" s="27">
        <f t="shared" si="44"/>
        <v>0</v>
      </c>
      <c r="DW43" s="27">
        <f t="shared" si="45"/>
        <v>0</v>
      </c>
      <c r="DX43" s="27">
        <f t="shared" si="83"/>
        <v>0</v>
      </c>
      <c r="DY43" s="27">
        <f t="shared" si="84"/>
        <v>0</v>
      </c>
      <c r="DZ43" s="27">
        <f t="shared" si="85"/>
        <v>0</v>
      </c>
      <c r="EA43" s="27">
        <f t="shared" si="86"/>
        <v>0</v>
      </c>
      <c r="EB43" s="27">
        <f t="shared" si="46"/>
        <v>0</v>
      </c>
      <c r="EC43" s="27">
        <f t="shared" si="47"/>
        <v>0</v>
      </c>
    </row>
    <row r="44" spans="1:133" x14ac:dyDescent="0.35">
      <c r="A44" s="385"/>
      <c r="C44" s="31">
        <v>40</v>
      </c>
      <c r="D44" s="32">
        <v>12537.18</v>
      </c>
      <c r="E44" s="32">
        <v>16649.75</v>
      </c>
      <c r="F44" s="72"/>
      <c r="G44" s="31">
        <v>40</v>
      </c>
      <c r="H44" s="73">
        <v>22387.82</v>
      </c>
      <c r="I44" s="73">
        <v>29731.7</v>
      </c>
      <c r="AH44" s="386"/>
      <c r="AN44" s="40">
        <v>40</v>
      </c>
      <c r="AO44" s="46">
        <v>8.0073265439587468E-2</v>
      </c>
      <c r="AQ44" s="40" t="s">
        <v>17</v>
      </c>
      <c r="AR44" s="40">
        <v>1</v>
      </c>
      <c r="AS44" s="49">
        <f t="shared" si="87"/>
        <v>0.23599999999999999</v>
      </c>
      <c r="AU44" s="40">
        <v>4</v>
      </c>
      <c r="AV44" s="49">
        <v>7.9000000000000001E-2</v>
      </c>
      <c r="AY44" s="40" t="s">
        <v>17</v>
      </c>
      <c r="AZ44" s="40">
        <v>1</v>
      </c>
      <c r="BA44" s="41">
        <v>2.1659099999999998</v>
      </c>
      <c r="BE44" s="40">
        <v>58</v>
      </c>
      <c r="BF44" s="40">
        <v>14.706</v>
      </c>
      <c r="BG44" s="40">
        <v>8.6349999999999998</v>
      </c>
      <c r="BJ44" s="386"/>
      <c r="BQ44">
        <v>38</v>
      </c>
      <c r="BR44" s="26" t="e">
        <f t="shared" si="37"/>
        <v>#N/A</v>
      </c>
      <c r="BS44" s="26" t="e">
        <f t="shared" si="38"/>
        <v>#N/A</v>
      </c>
      <c r="BT44" s="26"/>
      <c r="BU44" s="29">
        <v>38</v>
      </c>
      <c r="BV44" s="26" t="e">
        <f t="shared" si="51"/>
        <v>#N/A</v>
      </c>
      <c r="BW44" s="26" t="e">
        <f t="shared" si="52"/>
        <v>#N/A</v>
      </c>
      <c r="BY44" s="29">
        <v>38</v>
      </c>
      <c r="BZ44" s="26" t="e">
        <f t="shared" si="39"/>
        <v>#N/A</v>
      </c>
      <c r="CA44" s="26" t="e">
        <f t="shared" si="40"/>
        <v>#N/A</v>
      </c>
      <c r="CC44" s="29">
        <v>38</v>
      </c>
      <c r="CD44" s="26" t="e">
        <f t="shared" si="41"/>
        <v>#N/A</v>
      </c>
      <c r="CE44" s="26" t="e">
        <f t="shared" si="42"/>
        <v>#N/A</v>
      </c>
      <c r="CG44">
        <v>38</v>
      </c>
      <c r="CH44" s="24" t="e">
        <f t="shared" si="53"/>
        <v>#N/A</v>
      </c>
      <c r="CI44" s="24" t="e">
        <f t="shared" si="54"/>
        <v>#N/A</v>
      </c>
      <c r="CJ44" s="27">
        <f t="shared" si="55"/>
        <v>0</v>
      </c>
      <c r="CK44" s="27">
        <f t="shared" si="56"/>
        <v>0</v>
      </c>
      <c r="CL44" s="26">
        <f t="shared" si="57"/>
        <v>0</v>
      </c>
      <c r="CM44" s="26">
        <f t="shared" si="58"/>
        <v>0</v>
      </c>
      <c r="CN44" s="27">
        <f t="shared" si="59"/>
        <v>0</v>
      </c>
      <c r="CO44" s="27">
        <f t="shared" si="60"/>
        <v>0</v>
      </c>
      <c r="CP44" s="27">
        <f t="shared" si="61"/>
        <v>0</v>
      </c>
      <c r="CQ44" s="27">
        <f t="shared" si="62"/>
        <v>0</v>
      </c>
      <c r="CR44" s="24">
        <f t="shared" si="63"/>
        <v>0</v>
      </c>
      <c r="CS44" s="24">
        <f t="shared" si="64"/>
        <v>0</v>
      </c>
      <c r="CT44">
        <v>0</v>
      </c>
      <c r="CU44" s="24">
        <f t="shared" si="48"/>
        <v>0</v>
      </c>
      <c r="CV44" s="27">
        <f t="shared" si="65"/>
        <v>0</v>
      </c>
      <c r="CW44" s="27">
        <f t="shared" si="66"/>
        <v>0</v>
      </c>
      <c r="CX44" s="27">
        <f t="shared" si="67"/>
        <v>0</v>
      </c>
      <c r="CY44" s="27">
        <f t="shared" si="68"/>
        <v>0</v>
      </c>
      <c r="CZ44" s="24">
        <f t="shared" si="69"/>
        <v>0</v>
      </c>
      <c r="DA44" s="24">
        <f t="shared" si="70"/>
        <v>0</v>
      </c>
      <c r="DB44" s="27">
        <f t="shared" si="71"/>
        <v>0</v>
      </c>
      <c r="DC44" s="27">
        <f t="shared" si="72"/>
        <v>0</v>
      </c>
      <c r="DD44" s="27">
        <f t="shared" si="73"/>
        <v>0</v>
      </c>
      <c r="DE44" s="27">
        <f t="shared" si="74"/>
        <v>0</v>
      </c>
      <c r="DF44" s="24">
        <f t="shared" si="75"/>
        <v>0</v>
      </c>
      <c r="DG44" s="24">
        <f t="shared" si="76"/>
        <v>0</v>
      </c>
      <c r="DH44" s="24">
        <f t="shared" si="77"/>
        <v>0</v>
      </c>
      <c r="DI44" s="24">
        <f t="shared" si="78"/>
        <v>0</v>
      </c>
      <c r="DJ44" s="26">
        <f t="shared" si="49"/>
        <v>0</v>
      </c>
      <c r="DK44" s="26">
        <f t="shared" si="50"/>
        <v>0</v>
      </c>
      <c r="DP44" s="27"/>
      <c r="DQ44" s="27"/>
      <c r="DR44" s="27">
        <f t="shared" si="79"/>
        <v>0</v>
      </c>
      <c r="DS44" s="27">
        <f t="shared" si="80"/>
        <v>0</v>
      </c>
      <c r="DT44" s="27">
        <f t="shared" si="81"/>
        <v>0</v>
      </c>
      <c r="DU44" s="27">
        <f t="shared" si="82"/>
        <v>0</v>
      </c>
      <c r="DV44" s="27">
        <f t="shared" si="44"/>
        <v>0</v>
      </c>
      <c r="DW44" s="27">
        <f t="shared" si="45"/>
        <v>0</v>
      </c>
      <c r="DX44" s="27">
        <f t="shared" si="83"/>
        <v>0</v>
      </c>
      <c r="DY44" s="27">
        <f t="shared" si="84"/>
        <v>0</v>
      </c>
      <c r="DZ44" s="27">
        <f t="shared" si="85"/>
        <v>0</v>
      </c>
      <c r="EA44" s="27">
        <f t="shared" si="86"/>
        <v>0</v>
      </c>
      <c r="EB44" s="27">
        <f t="shared" si="46"/>
        <v>0</v>
      </c>
      <c r="EC44" s="27">
        <f t="shared" si="47"/>
        <v>0</v>
      </c>
    </row>
    <row r="45" spans="1:133" x14ac:dyDescent="0.35">
      <c r="A45" s="385"/>
      <c r="C45" s="31">
        <v>41</v>
      </c>
      <c r="D45" s="32">
        <v>13173.74</v>
      </c>
      <c r="E45" s="32">
        <v>17366.97</v>
      </c>
      <c r="F45" s="72"/>
      <c r="G45" s="31">
        <v>41</v>
      </c>
      <c r="H45" s="73">
        <v>23524.54</v>
      </c>
      <c r="I45" s="73">
        <v>31012.45</v>
      </c>
      <c r="AH45" s="386"/>
      <c r="AN45" s="40">
        <v>41</v>
      </c>
      <c r="AO45" s="46">
        <v>7.287326543958747E-2</v>
      </c>
      <c r="AQ45" s="40" t="s">
        <v>18</v>
      </c>
      <c r="AR45" s="40">
        <v>2</v>
      </c>
      <c r="AS45" s="49">
        <f t="shared" si="87"/>
        <v>0.17299999999999999</v>
      </c>
      <c r="AU45" s="40">
        <v>5</v>
      </c>
      <c r="AV45" s="49">
        <v>9.0999999999999998E-2</v>
      </c>
      <c r="AY45" s="40" t="s">
        <v>18</v>
      </c>
      <c r="AZ45" s="40">
        <v>2</v>
      </c>
      <c r="BA45" s="41">
        <v>1.8326899999999999</v>
      </c>
      <c r="BE45" s="40">
        <v>59</v>
      </c>
      <c r="BF45" s="40">
        <v>15.646000000000001</v>
      </c>
      <c r="BG45" s="40">
        <v>8.9390000000000001</v>
      </c>
      <c r="BJ45" s="386"/>
      <c r="BQ45">
        <v>39</v>
      </c>
      <c r="BR45" s="26" t="e">
        <f t="shared" si="37"/>
        <v>#N/A</v>
      </c>
      <c r="BS45" s="26" t="e">
        <f t="shared" si="38"/>
        <v>#N/A</v>
      </c>
      <c r="BT45" s="26"/>
      <c r="BU45" s="29">
        <v>39</v>
      </c>
      <c r="BV45" s="26" t="e">
        <f t="shared" si="51"/>
        <v>#N/A</v>
      </c>
      <c r="BW45" s="26" t="e">
        <f t="shared" si="52"/>
        <v>#N/A</v>
      </c>
      <c r="BY45" s="29">
        <v>39</v>
      </c>
      <c r="BZ45" s="26" t="e">
        <f t="shared" si="39"/>
        <v>#N/A</v>
      </c>
      <c r="CA45" s="26" t="e">
        <f t="shared" si="40"/>
        <v>#N/A</v>
      </c>
      <c r="CC45" s="29">
        <v>39</v>
      </c>
      <c r="CD45" s="26" t="e">
        <f t="shared" si="41"/>
        <v>#N/A</v>
      </c>
      <c r="CE45" s="26" t="e">
        <f t="shared" si="42"/>
        <v>#N/A</v>
      </c>
      <c r="CG45">
        <v>39</v>
      </c>
      <c r="CH45" s="24" t="e">
        <f t="shared" si="53"/>
        <v>#N/A</v>
      </c>
      <c r="CI45" s="24" t="e">
        <f t="shared" si="54"/>
        <v>#N/A</v>
      </c>
      <c r="CJ45" s="27">
        <f t="shared" si="55"/>
        <v>0</v>
      </c>
      <c r="CK45" s="27">
        <f t="shared" si="56"/>
        <v>0</v>
      </c>
      <c r="CL45" s="26">
        <f t="shared" si="57"/>
        <v>0</v>
      </c>
      <c r="CM45" s="26">
        <f t="shared" si="58"/>
        <v>0</v>
      </c>
      <c r="CN45" s="27">
        <f t="shared" si="59"/>
        <v>0</v>
      </c>
      <c r="CO45" s="27">
        <f t="shared" si="60"/>
        <v>0</v>
      </c>
      <c r="CP45" s="27">
        <f t="shared" si="61"/>
        <v>0</v>
      </c>
      <c r="CQ45" s="27">
        <f t="shared" si="62"/>
        <v>0</v>
      </c>
      <c r="CR45" s="24">
        <f t="shared" si="63"/>
        <v>0</v>
      </c>
      <c r="CS45" s="24">
        <f t="shared" si="64"/>
        <v>0</v>
      </c>
      <c r="CT45">
        <v>0</v>
      </c>
      <c r="CU45" s="24">
        <f t="shared" si="48"/>
        <v>0</v>
      </c>
      <c r="CV45" s="27">
        <f t="shared" si="65"/>
        <v>0</v>
      </c>
      <c r="CW45" s="27">
        <f t="shared" si="66"/>
        <v>0</v>
      </c>
      <c r="CX45" s="27">
        <f t="shared" si="67"/>
        <v>0</v>
      </c>
      <c r="CY45" s="27">
        <f t="shared" si="68"/>
        <v>0</v>
      </c>
      <c r="CZ45" s="24">
        <f t="shared" si="69"/>
        <v>0</v>
      </c>
      <c r="DA45" s="24">
        <f t="shared" si="70"/>
        <v>0</v>
      </c>
      <c r="DB45" s="27">
        <f t="shared" si="71"/>
        <v>0</v>
      </c>
      <c r="DC45" s="27">
        <f t="shared" si="72"/>
        <v>0</v>
      </c>
      <c r="DD45" s="27">
        <f t="shared" si="73"/>
        <v>0</v>
      </c>
      <c r="DE45" s="27">
        <f t="shared" si="74"/>
        <v>0</v>
      </c>
      <c r="DF45" s="24">
        <f t="shared" si="75"/>
        <v>0</v>
      </c>
      <c r="DG45" s="24">
        <f t="shared" si="76"/>
        <v>0</v>
      </c>
      <c r="DH45" s="24">
        <f t="shared" si="77"/>
        <v>0</v>
      </c>
      <c r="DI45" s="24">
        <f t="shared" si="78"/>
        <v>0</v>
      </c>
      <c r="DJ45" s="26">
        <f t="shared" si="49"/>
        <v>0</v>
      </c>
      <c r="DK45" s="26">
        <f t="shared" si="50"/>
        <v>0</v>
      </c>
      <c r="DP45" s="27"/>
      <c r="DQ45" s="27"/>
      <c r="DR45" s="27">
        <f t="shared" si="79"/>
        <v>0</v>
      </c>
      <c r="DS45" s="27">
        <f t="shared" si="80"/>
        <v>0</v>
      </c>
      <c r="DT45" s="27">
        <f t="shared" si="81"/>
        <v>0</v>
      </c>
      <c r="DU45" s="27">
        <f t="shared" si="82"/>
        <v>0</v>
      </c>
      <c r="DV45" s="27">
        <f t="shared" si="44"/>
        <v>0</v>
      </c>
      <c r="DW45" s="27">
        <f t="shared" si="45"/>
        <v>0</v>
      </c>
      <c r="DX45" s="27">
        <f t="shared" si="83"/>
        <v>0</v>
      </c>
      <c r="DY45" s="27">
        <f t="shared" si="84"/>
        <v>0</v>
      </c>
      <c r="DZ45" s="27">
        <f t="shared" si="85"/>
        <v>0</v>
      </c>
      <c r="EA45" s="27">
        <f t="shared" si="86"/>
        <v>0</v>
      </c>
      <c r="EB45" s="27">
        <f t="shared" si="46"/>
        <v>0</v>
      </c>
      <c r="EC45" s="27">
        <f t="shared" si="47"/>
        <v>0</v>
      </c>
    </row>
    <row r="46" spans="1:133" x14ac:dyDescent="0.35">
      <c r="A46" s="385"/>
      <c r="C46" s="31">
        <v>42</v>
      </c>
      <c r="D46" s="32">
        <v>13876.79</v>
      </c>
      <c r="E46" s="32">
        <v>18257.5</v>
      </c>
      <c r="F46" s="72"/>
      <c r="G46" s="31">
        <v>42</v>
      </c>
      <c r="H46" s="73">
        <v>24779.98</v>
      </c>
      <c r="I46" s="73">
        <v>32602.68</v>
      </c>
      <c r="AH46" s="386"/>
      <c r="AN46" s="40">
        <v>42</v>
      </c>
      <c r="AO46" s="46">
        <v>7.287326543958747E-2</v>
      </c>
      <c r="AQ46" s="40" t="s">
        <v>21</v>
      </c>
      <c r="AR46" s="40">
        <v>2</v>
      </c>
      <c r="AS46" s="49">
        <f t="shared" si="87"/>
        <v>0.17299999999999999</v>
      </c>
      <c r="AU46" s="40">
        <v>6</v>
      </c>
      <c r="AV46" s="49">
        <v>0</v>
      </c>
      <c r="AY46" s="40" t="s">
        <v>21</v>
      </c>
      <c r="AZ46" s="40">
        <v>2</v>
      </c>
      <c r="BA46" s="41">
        <v>1.8326899999999999</v>
      </c>
      <c r="BE46" s="40">
        <v>60</v>
      </c>
      <c r="BF46" s="40">
        <v>16.594000000000001</v>
      </c>
      <c r="BG46" s="40">
        <v>9.1720000000000006</v>
      </c>
      <c r="BJ46" s="386"/>
      <c r="BQ46">
        <v>40</v>
      </c>
      <c r="BR46" s="26" t="e">
        <f t="shared" si="37"/>
        <v>#N/A</v>
      </c>
      <c r="BS46" s="26" t="e">
        <f t="shared" si="38"/>
        <v>#N/A</v>
      </c>
      <c r="BT46" s="26"/>
      <c r="BU46" s="29">
        <v>40</v>
      </c>
      <c r="BV46" s="26" t="e">
        <f t="shared" si="51"/>
        <v>#N/A</v>
      </c>
      <c r="BW46" s="26" t="e">
        <f t="shared" si="52"/>
        <v>#N/A</v>
      </c>
      <c r="BY46" s="29">
        <v>40</v>
      </c>
      <c r="BZ46" s="26" t="e">
        <f t="shared" si="39"/>
        <v>#N/A</v>
      </c>
      <c r="CA46" s="26" t="e">
        <f t="shared" si="40"/>
        <v>#N/A</v>
      </c>
      <c r="CC46" s="29">
        <v>40</v>
      </c>
      <c r="CD46" s="26" t="e">
        <f t="shared" si="41"/>
        <v>#N/A</v>
      </c>
      <c r="CE46" s="26" t="e">
        <f t="shared" si="42"/>
        <v>#N/A</v>
      </c>
      <c r="CG46">
        <v>40</v>
      </c>
      <c r="CH46" s="24" t="e">
        <f t="shared" si="53"/>
        <v>#N/A</v>
      </c>
      <c r="CI46" s="24" t="e">
        <f t="shared" si="54"/>
        <v>#N/A</v>
      </c>
      <c r="CJ46" s="27">
        <f t="shared" si="55"/>
        <v>0</v>
      </c>
      <c r="CK46" s="27">
        <f t="shared" si="56"/>
        <v>0</v>
      </c>
      <c r="CL46" s="26">
        <f t="shared" si="57"/>
        <v>0</v>
      </c>
      <c r="CM46" s="26">
        <f t="shared" si="58"/>
        <v>0</v>
      </c>
      <c r="CN46" s="27">
        <f t="shared" si="59"/>
        <v>0</v>
      </c>
      <c r="CO46" s="27">
        <f t="shared" si="60"/>
        <v>0</v>
      </c>
      <c r="CP46" s="27">
        <f t="shared" si="61"/>
        <v>0</v>
      </c>
      <c r="CQ46" s="27">
        <f t="shared" si="62"/>
        <v>0</v>
      </c>
      <c r="CR46" s="24">
        <f t="shared" si="63"/>
        <v>0</v>
      </c>
      <c r="CS46" s="24">
        <f t="shared" si="64"/>
        <v>0</v>
      </c>
      <c r="CT46">
        <v>0</v>
      </c>
      <c r="CU46" s="24">
        <f t="shared" si="48"/>
        <v>0</v>
      </c>
      <c r="CV46" s="27">
        <f t="shared" si="65"/>
        <v>0</v>
      </c>
      <c r="CW46" s="27">
        <f t="shared" si="66"/>
        <v>0</v>
      </c>
      <c r="CX46" s="27">
        <f t="shared" si="67"/>
        <v>0</v>
      </c>
      <c r="CY46" s="27">
        <f t="shared" si="68"/>
        <v>0</v>
      </c>
      <c r="CZ46" s="24">
        <f t="shared" si="69"/>
        <v>0</v>
      </c>
      <c r="DA46" s="24">
        <f t="shared" si="70"/>
        <v>0</v>
      </c>
      <c r="DB46" s="27">
        <f t="shared" si="71"/>
        <v>0</v>
      </c>
      <c r="DC46" s="27">
        <f t="shared" si="72"/>
        <v>0</v>
      </c>
      <c r="DD46" s="27">
        <f t="shared" si="73"/>
        <v>0</v>
      </c>
      <c r="DE46" s="27">
        <f t="shared" si="74"/>
        <v>0</v>
      </c>
      <c r="DF46" s="24">
        <f t="shared" si="75"/>
        <v>0</v>
      </c>
      <c r="DG46" s="24">
        <f t="shared" si="76"/>
        <v>0</v>
      </c>
      <c r="DH46" s="24">
        <f t="shared" si="77"/>
        <v>0</v>
      </c>
      <c r="DI46" s="24">
        <f t="shared" si="78"/>
        <v>0</v>
      </c>
      <c r="DJ46" s="26">
        <f t="shared" si="49"/>
        <v>0</v>
      </c>
      <c r="DK46" s="26">
        <f t="shared" si="50"/>
        <v>0</v>
      </c>
      <c r="DP46" s="27"/>
      <c r="DQ46" s="27"/>
      <c r="DR46" s="27">
        <f t="shared" si="79"/>
        <v>0</v>
      </c>
      <c r="DS46" s="27">
        <f t="shared" si="80"/>
        <v>0</v>
      </c>
      <c r="DT46" s="27">
        <f t="shared" si="81"/>
        <v>0</v>
      </c>
      <c r="DU46" s="27">
        <f t="shared" si="82"/>
        <v>0</v>
      </c>
      <c r="DV46" s="27">
        <f t="shared" si="44"/>
        <v>0</v>
      </c>
      <c r="DW46" s="27">
        <f t="shared" si="45"/>
        <v>0</v>
      </c>
      <c r="DX46" s="27">
        <f t="shared" si="83"/>
        <v>0</v>
      </c>
      <c r="DY46" s="27">
        <f t="shared" si="84"/>
        <v>0</v>
      </c>
      <c r="DZ46" s="27">
        <f t="shared" si="85"/>
        <v>0</v>
      </c>
      <c r="EA46" s="27">
        <f t="shared" si="86"/>
        <v>0</v>
      </c>
      <c r="EB46" s="27">
        <f t="shared" si="46"/>
        <v>0</v>
      </c>
      <c r="EC46" s="27">
        <f t="shared" si="47"/>
        <v>0</v>
      </c>
    </row>
    <row r="47" spans="1:133" x14ac:dyDescent="0.35">
      <c r="A47" s="385"/>
      <c r="C47" s="31">
        <v>43</v>
      </c>
      <c r="D47" s="32">
        <v>14655.05</v>
      </c>
      <c r="E47" s="32">
        <v>19225.419999999998</v>
      </c>
      <c r="F47" s="72"/>
      <c r="G47" s="31">
        <v>43</v>
      </c>
      <c r="H47" s="73">
        <v>26169.73</v>
      </c>
      <c r="I47" s="73">
        <v>34331.11</v>
      </c>
      <c r="AH47" s="386"/>
      <c r="AN47" s="40">
        <v>43</v>
      </c>
      <c r="AO47" s="46">
        <v>7.287326543958747E-2</v>
      </c>
      <c r="AQ47" s="40" t="s">
        <v>22</v>
      </c>
      <c r="AR47" s="40">
        <v>2</v>
      </c>
      <c r="AS47" s="49">
        <f t="shared" si="87"/>
        <v>0.17299999999999999</v>
      </c>
      <c r="AU47" s="40">
        <v>7</v>
      </c>
      <c r="AV47" s="49">
        <v>4.2000000000000003E-2</v>
      </c>
      <c r="AY47" s="40" t="s">
        <v>22</v>
      </c>
      <c r="AZ47" s="40">
        <v>2</v>
      </c>
      <c r="BA47" s="41">
        <v>1.8326899999999999</v>
      </c>
      <c r="BE47" s="40">
        <v>61</v>
      </c>
      <c r="BF47" s="40">
        <v>17.841000000000001</v>
      </c>
      <c r="BG47" s="40">
        <v>9.8840000000000003</v>
      </c>
      <c r="BJ47" s="386"/>
      <c r="BQ47">
        <v>41</v>
      </c>
      <c r="BR47" s="26" t="e">
        <f t="shared" si="37"/>
        <v>#N/A</v>
      </c>
      <c r="BS47" s="26" t="e">
        <f t="shared" si="38"/>
        <v>#N/A</v>
      </c>
      <c r="BT47" s="26"/>
      <c r="BU47" s="29">
        <v>41</v>
      </c>
      <c r="BV47" s="26" t="e">
        <f t="shared" si="51"/>
        <v>#N/A</v>
      </c>
      <c r="BW47" s="26" t="e">
        <f t="shared" si="52"/>
        <v>#N/A</v>
      </c>
      <c r="BY47" s="29">
        <v>41</v>
      </c>
      <c r="BZ47" s="26" t="e">
        <f t="shared" si="39"/>
        <v>#N/A</v>
      </c>
      <c r="CA47" s="26" t="e">
        <f t="shared" si="40"/>
        <v>#N/A</v>
      </c>
      <c r="CC47" s="29">
        <v>41</v>
      </c>
      <c r="CD47" s="26" t="e">
        <f t="shared" si="41"/>
        <v>#N/A</v>
      </c>
      <c r="CE47" s="26" t="e">
        <f t="shared" si="42"/>
        <v>#N/A</v>
      </c>
      <c r="CG47">
        <v>41</v>
      </c>
      <c r="CH47" s="24" t="e">
        <f t="shared" si="53"/>
        <v>#N/A</v>
      </c>
      <c r="CI47" s="24" t="e">
        <f t="shared" si="54"/>
        <v>#N/A</v>
      </c>
      <c r="CJ47" s="27">
        <f t="shared" si="55"/>
        <v>0</v>
      </c>
      <c r="CK47" s="27">
        <f t="shared" si="56"/>
        <v>0</v>
      </c>
      <c r="CL47" s="26">
        <f t="shared" si="57"/>
        <v>0</v>
      </c>
      <c r="CM47" s="26">
        <f t="shared" si="58"/>
        <v>0</v>
      </c>
      <c r="CN47" s="27">
        <f t="shared" si="59"/>
        <v>0</v>
      </c>
      <c r="CO47" s="27">
        <f t="shared" si="60"/>
        <v>0</v>
      </c>
      <c r="CP47" s="27">
        <f t="shared" si="61"/>
        <v>0</v>
      </c>
      <c r="CQ47" s="27">
        <f t="shared" si="62"/>
        <v>0</v>
      </c>
      <c r="CR47" s="24">
        <f t="shared" si="63"/>
        <v>0</v>
      </c>
      <c r="CS47" s="24">
        <f t="shared" si="64"/>
        <v>0</v>
      </c>
      <c r="CT47">
        <v>0</v>
      </c>
      <c r="CU47" s="24">
        <f t="shared" si="48"/>
        <v>0</v>
      </c>
      <c r="CV47" s="27">
        <f t="shared" si="65"/>
        <v>0</v>
      </c>
      <c r="CW47" s="27">
        <f t="shared" si="66"/>
        <v>0</v>
      </c>
      <c r="CX47" s="27">
        <f t="shared" si="67"/>
        <v>0</v>
      </c>
      <c r="CY47" s="27">
        <f t="shared" si="68"/>
        <v>0</v>
      </c>
      <c r="CZ47" s="24">
        <f t="shared" si="69"/>
        <v>0</v>
      </c>
      <c r="DA47" s="24">
        <f t="shared" si="70"/>
        <v>0</v>
      </c>
      <c r="DB47" s="27">
        <f t="shared" si="71"/>
        <v>0</v>
      </c>
      <c r="DC47" s="27">
        <f t="shared" si="72"/>
        <v>0</v>
      </c>
      <c r="DD47" s="27">
        <f t="shared" si="73"/>
        <v>0</v>
      </c>
      <c r="DE47" s="27">
        <f t="shared" si="74"/>
        <v>0</v>
      </c>
      <c r="DF47" s="24">
        <f t="shared" si="75"/>
        <v>0</v>
      </c>
      <c r="DG47" s="24">
        <f t="shared" si="76"/>
        <v>0</v>
      </c>
      <c r="DH47" s="24">
        <f t="shared" si="77"/>
        <v>0</v>
      </c>
      <c r="DI47" s="24">
        <f t="shared" si="78"/>
        <v>0</v>
      </c>
      <c r="DJ47" s="26">
        <f t="shared" si="49"/>
        <v>0</v>
      </c>
      <c r="DK47" s="26">
        <f t="shared" si="50"/>
        <v>0</v>
      </c>
      <c r="DP47" s="27"/>
      <c r="DQ47" s="27"/>
      <c r="DR47" s="27">
        <f t="shared" si="79"/>
        <v>0</v>
      </c>
      <c r="DS47" s="27">
        <f t="shared" si="80"/>
        <v>0</v>
      </c>
      <c r="DT47" s="27">
        <f t="shared" si="81"/>
        <v>0</v>
      </c>
      <c r="DU47" s="27">
        <f t="shared" si="82"/>
        <v>0</v>
      </c>
      <c r="DV47" s="27">
        <f t="shared" si="44"/>
        <v>0</v>
      </c>
      <c r="DW47" s="27">
        <f t="shared" si="45"/>
        <v>0</v>
      </c>
      <c r="DX47" s="27">
        <f t="shared" si="83"/>
        <v>0</v>
      </c>
      <c r="DY47" s="27">
        <f t="shared" si="84"/>
        <v>0</v>
      </c>
      <c r="DZ47" s="27">
        <f t="shared" si="85"/>
        <v>0</v>
      </c>
      <c r="EA47" s="27">
        <f t="shared" si="86"/>
        <v>0</v>
      </c>
      <c r="EB47" s="27">
        <f t="shared" si="46"/>
        <v>0</v>
      </c>
      <c r="EC47" s="27">
        <f t="shared" si="47"/>
        <v>0</v>
      </c>
    </row>
    <row r="48" spans="1:133" x14ac:dyDescent="0.35">
      <c r="A48" s="385"/>
      <c r="C48" s="31">
        <v>44</v>
      </c>
      <c r="D48" s="32">
        <v>15513.97</v>
      </c>
      <c r="E48" s="32">
        <v>20276.18</v>
      </c>
      <c r="F48" s="72"/>
      <c r="G48" s="31">
        <v>44</v>
      </c>
      <c r="H48" s="73">
        <v>27703.52</v>
      </c>
      <c r="I48" s="73">
        <v>36207.46</v>
      </c>
      <c r="AH48" s="386"/>
      <c r="AN48" s="40">
        <v>44</v>
      </c>
      <c r="AO48" s="46">
        <v>7.287326543958747E-2</v>
      </c>
      <c r="AQ48" s="40" t="s">
        <v>3</v>
      </c>
      <c r="AR48" s="40">
        <v>6</v>
      </c>
      <c r="AS48" s="49">
        <f t="shared" si="87"/>
        <v>0</v>
      </c>
      <c r="AY48" s="40" t="s">
        <v>3</v>
      </c>
      <c r="AZ48" s="40">
        <v>6</v>
      </c>
      <c r="BA48" s="41">
        <v>0.47649999999999998</v>
      </c>
      <c r="BE48" s="40">
        <v>62</v>
      </c>
      <c r="BF48" s="40">
        <v>19.097999999999999</v>
      </c>
      <c r="BG48" s="40">
        <v>10.595000000000001</v>
      </c>
      <c r="BJ48" s="386"/>
      <c r="BQ48">
        <v>42</v>
      </c>
      <c r="BR48" s="26" t="e">
        <f t="shared" si="37"/>
        <v>#N/A</v>
      </c>
      <c r="BS48" s="26" t="e">
        <f t="shared" si="38"/>
        <v>#N/A</v>
      </c>
      <c r="BT48" s="26"/>
      <c r="BU48" s="29">
        <v>42</v>
      </c>
      <c r="BV48" s="26" t="e">
        <f t="shared" si="51"/>
        <v>#N/A</v>
      </c>
      <c r="BW48" s="26" t="e">
        <f t="shared" si="52"/>
        <v>#N/A</v>
      </c>
      <c r="BY48" s="29">
        <v>42</v>
      </c>
      <c r="BZ48" s="26" t="e">
        <f t="shared" si="39"/>
        <v>#N/A</v>
      </c>
      <c r="CA48" s="26" t="e">
        <f t="shared" si="40"/>
        <v>#N/A</v>
      </c>
      <c r="CC48" s="29">
        <v>42</v>
      </c>
      <c r="CD48" s="26" t="e">
        <f t="shared" si="41"/>
        <v>#N/A</v>
      </c>
      <c r="CE48" s="26" t="e">
        <f t="shared" si="42"/>
        <v>#N/A</v>
      </c>
      <c r="CG48">
        <v>42</v>
      </c>
      <c r="CH48" s="24" t="e">
        <f t="shared" si="53"/>
        <v>#N/A</v>
      </c>
      <c r="CI48" s="24" t="e">
        <f t="shared" si="54"/>
        <v>#N/A</v>
      </c>
      <c r="CJ48" s="27">
        <f t="shared" si="55"/>
        <v>0</v>
      </c>
      <c r="CK48" s="27">
        <f t="shared" si="56"/>
        <v>0</v>
      </c>
      <c r="CL48" s="26">
        <f t="shared" si="57"/>
        <v>0</v>
      </c>
      <c r="CM48" s="26">
        <f t="shared" si="58"/>
        <v>0</v>
      </c>
      <c r="CN48" s="27">
        <f t="shared" si="59"/>
        <v>0</v>
      </c>
      <c r="CO48" s="27">
        <f t="shared" si="60"/>
        <v>0</v>
      </c>
      <c r="CP48" s="27">
        <f t="shared" si="61"/>
        <v>0</v>
      </c>
      <c r="CQ48" s="27">
        <f t="shared" si="62"/>
        <v>0</v>
      </c>
      <c r="CR48" s="24">
        <f t="shared" si="63"/>
        <v>0</v>
      </c>
      <c r="CS48" s="24">
        <f t="shared" si="64"/>
        <v>0</v>
      </c>
      <c r="CT48">
        <v>0</v>
      </c>
      <c r="CU48" s="24">
        <f t="shared" si="48"/>
        <v>0</v>
      </c>
      <c r="CV48" s="27">
        <f t="shared" si="65"/>
        <v>0</v>
      </c>
      <c r="CW48" s="27">
        <f t="shared" si="66"/>
        <v>0</v>
      </c>
      <c r="CX48" s="27">
        <f t="shared" si="67"/>
        <v>0</v>
      </c>
      <c r="CY48" s="27">
        <f t="shared" si="68"/>
        <v>0</v>
      </c>
      <c r="CZ48" s="24">
        <f t="shared" si="69"/>
        <v>0</v>
      </c>
      <c r="DA48" s="24">
        <f t="shared" si="70"/>
        <v>0</v>
      </c>
      <c r="DB48" s="27">
        <f t="shared" si="71"/>
        <v>0</v>
      </c>
      <c r="DC48" s="27">
        <f t="shared" si="72"/>
        <v>0</v>
      </c>
      <c r="DD48" s="27">
        <f t="shared" si="73"/>
        <v>0</v>
      </c>
      <c r="DE48" s="27">
        <f t="shared" si="74"/>
        <v>0</v>
      </c>
      <c r="DF48" s="24">
        <f t="shared" si="75"/>
        <v>0</v>
      </c>
      <c r="DG48" s="24">
        <f t="shared" si="76"/>
        <v>0</v>
      </c>
      <c r="DH48" s="24">
        <f t="shared" si="77"/>
        <v>0</v>
      </c>
      <c r="DI48" s="24">
        <f t="shared" si="78"/>
        <v>0</v>
      </c>
      <c r="DJ48" s="26">
        <f t="shared" si="49"/>
        <v>0</v>
      </c>
      <c r="DK48" s="26">
        <f t="shared" si="50"/>
        <v>0</v>
      </c>
      <c r="DP48" s="27"/>
      <c r="DQ48" s="27"/>
      <c r="DR48" s="27">
        <f t="shared" si="79"/>
        <v>0</v>
      </c>
      <c r="DS48" s="27">
        <f t="shared" si="80"/>
        <v>0</v>
      </c>
      <c r="DT48" s="27">
        <f t="shared" si="81"/>
        <v>0</v>
      </c>
      <c r="DU48" s="27">
        <f t="shared" si="82"/>
        <v>0</v>
      </c>
      <c r="DV48" s="27">
        <f t="shared" si="44"/>
        <v>0</v>
      </c>
      <c r="DW48" s="27">
        <f t="shared" si="45"/>
        <v>0</v>
      </c>
      <c r="DX48" s="27">
        <f t="shared" si="83"/>
        <v>0</v>
      </c>
      <c r="DY48" s="27">
        <f t="shared" si="84"/>
        <v>0</v>
      </c>
      <c r="DZ48" s="27">
        <f t="shared" si="85"/>
        <v>0</v>
      </c>
      <c r="EA48" s="27">
        <f t="shared" si="86"/>
        <v>0</v>
      </c>
      <c r="EB48" s="27">
        <f t="shared" si="46"/>
        <v>0</v>
      </c>
      <c r="EC48" s="27">
        <f t="shared" si="47"/>
        <v>0</v>
      </c>
    </row>
    <row r="49" spans="1:133" x14ac:dyDescent="0.35">
      <c r="A49" s="385"/>
      <c r="C49" s="31">
        <v>45</v>
      </c>
      <c r="D49" s="32">
        <v>16461.18</v>
      </c>
      <c r="E49" s="32">
        <v>21415.23</v>
      </c>
      <c r="F49" s="72"/>
      <c r="G49" s="31">
        <v>45</v>
      </c>
      <c r="H49" s="73">
        <v>29394.959999999999</v>
      </c>
      <c r="I49" s="73">
        <v>38241.480000000003</v>
      </c>
      <c r="AH49" s="386"/>
      <c r="AN49" s="40">
        <v>45</v>
      </c>
      <c r="AO49" s="46">
        <v>7.287326543958747E-2</v>
      </c>
      <c r="AQ49" s="40" t="s">
        <v>19</v>
      </c>
      <c r="AR49" s="321">
        <v>1</v>
      </c>
      <c r="AS49" s="49">
        <f t="shared" si="87"/>
        <v>0.23599999999999999</v>
      </c>
      <c r="AY49" s="40" t="s">
        <v>19</v>
      </c>
      <c r="AZ49" s="321">
        <v>1</v>
      </c>
      <c r="BA49" s="41">
        <v>1.8326899999999999</v>
      </c>
      <c r="BE49" s="40">
        <v>63</v>
      </c>
      <c r="BF49" s="40">
        <v>20.344000000000001</v>
      </c>
      <c r="BG49" s="40">
        <v>11.305</v>
      </c>
      <c r="BJ49" s="386"/>
      <c r="BQ49">
        <v>43</v>
      </c>
      <c r="BR49" s="26" t="e">
        <f t="shared" si="37"/>
        <v>#N/A</v>
      </c>
      <c r="BS49" s="26" t="e">
        <f t="shared" si="38"/>
        <v>#N/A</v>
      </c>
      <c r="BT49" s="26"/>
      <c r="BU49" s="29">
        <v>43</v>
      </c>
      <c r="BV49" s="26" t="e">
        <f t="shared" si="51"/>
        <v>#N/A</v>
      </c>
      <c r="BW49" s="26" t="e">
        <f t="shared" si="52"/>
        <v>#N/A</v>
      </c>
      <c r="BY49" s="29">
        <v>43</v>
      </c>
      <c r="BZ49" s="26" t="e">
        <f t="shared" si="39"/>
        <v>#N/A</v>
      </c>
      <c r="CA49" s="26" t="e">
        <f t="shared" si="40"/>
        <v>#N/A</v>
      </c>
      <c r="CC49" s="29">
        <v>43</v>
      </c>
      <c r="CD49" s="26" t="e">
        <f t="shared" si="41"/>
        <v>#N/A</v>
      </c>
      <c r="CE49" s="26" t="e">
        <f t="shared" si="42"/>
        <v>#N/A</v>
      </c>
      <c r="CG49">
        <v>43</v>
      </c>
      <c r="CH49" s="24" t="e">
        <f t="shared" si="53"/>
        <v>#N/A</v>
      </c>
      <c r="CI49" s="24" t="e">
        <f t="shared" si="54"/>
        <v>#N/A</v>
      </c>
      <c r="CJ49" s="27">
        <f t="shared" si="55"/>
        <v>0</v>
      </c>
      <c r="CK49" s="27">
        <f t="shared" si="56"/>
        <v>0</v>
      </c>
      <c r="CL49" s="26">
        <f t="shared" si="57"/>
        <v>0</v>
      </c>
      <c r="CM49" s="26">
        <f t="shared" si="58"/>
        <v>0</v>
      </c>
      <c r="CN49" s="27">
        <f t="shared" si="59"/>
        <v>0</v>
      </c>
      <c r="CO49" s="27">
        <f t="shared" si="60"/>
        <v>0</v>
      </c>
      <c r="CP49" s="27">
        <f t="shared" si="61"/>
        <v>0</v>
      </c>
      <c r="CQ49" s="27">
        <f t="shared" si="62"/>
        <v>0</v>
      </c>
      <c r="CR49" s="24">
        <f t="shared" si="63"/>
        <v>0</v>
      </c>
      <c r="CS49" s="24">
        <f t="shared" si="64"/>
        <v>0</v>
      </c>
      <c r="CT49">
        <v>0</v>
      </c>
      <c r="CU49" s="24">
        <f t="shared" si="48"/>
        <v>0</v>
      </c>
      <c r="CV49" s="27">
        <f t="shared" si="65"/>
        <v>0</v>
      </c>
      <c r="CW49" s="27">
        <f t="shared" si="66"/>
        <v>0</v>
      </c>
      <c r="CX49" s="27">
        <f t="shared" si="67"/>
        <v>0</v>
      </c>
      <c r="CY49" s="27">
        <f t="shared" si="68"/>
        <v>0</v>
      </c>
      <c r="CZ49" s="24">
        <f t="shared" si="69"/>
        <v>0</v>
      </c>
      <c r="DA49" s="24">
        <f t="shared" si="70"/>
        <v>0</v>
      </c>
      <c r="DB49" s="27">
        <f t="shared" si="71"/>
        <v>0</v>
      </c>
      <c r="DC49" s="27">
        <f t="shared" si="72"/>
        <v>0</v>
      </c>
      <c r="DD49" s="27">
        <f t="shared" si="73"/>
        <v>0</v>
      </c>
      <c r="DE49" s="27">
        <f t="shared" si="74"/>
        <v>0</v>
      </c>
      <c r="DF49" s="24">
        <f t="shared" si="75"/>
        <v>0</v>
      </c>
      <c r="DG49" s="24">
        <f t="shared" si="76"/>
        <v>0</v>
      </c>
      <c r="DH49" s="24">
        <f t="shared" si="77"/>
        <v>0</v>
      </c>
      <c r="DI49" s="24">
        <f t="shared" si="78"/>
        <v>0</v>
      </c>
      <c r="DJ49" s="26">
        <f t="shared" si="49"/>
        <v>0</v>
      </c>
      <c r="DK49" s="26">
        <f t="shared" si="50"/>
        <v>0</v>
      </c>
      <c r="DP49" s="27"/>
      <c r="DQ49" s="27"/>
      <c r="DR49" s="27">
        <f t="shared" si="79"/>
        <v>0</v>
      </c>
      <c r="DS49" s="27">
        <f t="shared" si="80"/>
        <v>0</v>
      </c>
      <c r="DT49" s="27">
        <f t="shared" si="81"/>
        <v>0</v>
      </c>
      <c r="DU49" s="27">
        <f t="shared" si="82"/>
        <v>0</v>
      </c>
      <c r="DV49" s="27">
        <f t="shared" si="44"/>
        <v>0</v>
      </c>
      <c r="DW49" s="27">
        <f t="shared" si="45"/>
        <v>0</v>
      </c>
      <c r="DX49" s="27">
        <f t="shared" si="83"/>
        <v>0</v>
      </c>
      <c r="DY49" s="27">
        <f t="shared" si="84"/>
        <v>0</v>
      </c>
      <c r="DZ49" s="27">
        <f t="shared" si="85"/>
        <v>0</v>
      </c>
      <c r="EA49" s="27">
        <f t="shared" si="86"/>
        <v>0</v>
      </c>
      <c r="EB49" s="27">
        <f t="shared" si="46"/>
        <v>0</v>
      </c>
      <c r="EC49" s="27">
        <f t="shared" si="47"/>
        <v>0</v>
      </c>
    </row>
    <row r="50" spans="1:133" x14ac:dyDescent="0.35">
      <c r="A50" s="385"/>
      <c r="C50" s="31">
        <v>46</v>
      </c>
      <c r="D50" s="32">
        <v>17503.22</v>
      </c>
      <c r="E50" s="32">
        <v>21623.42</v>
      </c>
      <c r="F50" s="72"/>
      <c r="G50" s="31">
        <v>46</v>
      </c>
      <c r="H50" s="73">
        <v>31255.75</v>
      </c>
      <c r="I50" s="73">
        <v>38613.25</v>
      </c>
      <c r="AH50" s="386"/>
      <c r="AN50" s="40">
        <v>46</v>
      </c>
      <c r="AO50" s="46">
        <v>2.290799289918314E-2</v>
      </c>
      <c r="AQ50" s="40" t="s">
        <v>20</v>
      </c>
      <c r="AR50" s="324">
        <v>1</v>
      </c>
      <c r="AS50" s="49">
        <f t="shared" si="87"/>
        <v>0.23599999999999999</v>
      </c>
      <c r="AY50" s="40" t="s">
        <v>20</v>
      </c>
      <c r="AZ50" s="40">
        <v>2</v>
      </c>
      <c r="BA50" s="41">
        <v>0.91635</v>
      </c>
      <c r="BE50" s="40">
        <v>64</v>
      </c>
      <c r="BF50" s="40">
        <v>21.591000000000001</v>
      </c>
      <c r="BG50" s="40">
        <v>12.007</v>
      </c>
      <c r="BJ50" s="386"/>
      <c r="BQ50">
        <v>44</v>
      </c>
      <c r="BR50" s="26" t="e">
        <f t="shared" si="37"/>
        <v>#N/A</v>
      </c>
      <c r="BS50" s="26" t="e">
        <f t="shared" si="38"/>
        <v>#N/A</v>
      </c>
      <c r="BT50" s="26"/>
      <c r="BU50" s="29">
        <v>44</v>
      </c>
      <c r="BV50" s="26" t="e">
        <f t="shared" si="51"/>
        <v>#N/A</v>
      </c>
      <c r="BW50" s="26" t="e">
        <f t="shared" si="52"/>
        <v>#N/A</v>
      </c>
      <c r="BY50" s="29">
        <v>44</v>
      </c>
      <c r="BZ50" s="26" t="e">
        <f t="shared" si="39"/>
        <v>#N/A</v>
      </c>
      <c r="CA50" s="26" t="e">
        <f t="shared" si="40"/>
        <v>#N/A</v>
      </c>
      <c r="CC50" s="29">
        <v>44</v>
      </c>
      <c r="CD50" s="26" t="e">
        <f t="shared" si="41"/>
        <v>#N/A</v>
      </c>
      <c r="CE50" s="26" t="e">
        <f t="shared" si="42"/>
        <v>#N/A</v>
      </c>
      <c r="CG50">
        <v>44</v>
      </c>
      <c r="CH50" s="24" t="e">
        <f t="shared" si="53"/>
        <v>#N/A</v>
      </c>
      <c r="CI50" s="24" t="e">
        <f t="shared" si="54"/>
        <v>#N/A</v>
      </c>
      <c r="CJ50" s="27">
        <f t="shared" si="55"/>
        <v>0</v>
      </c>
      <c r="CK50" s="27">
        <f t="shared" si="56"/>
        <v>0</v>
      </c>
      <c r="CL50" s="26">
        <f t="shared" si="57"/>
        <v>0</v>
      </c>
      <c r="CM50" s="26">
        <f t="shared" si="58"/>
        <v>0</v>
      </c>
      <c r="CN50" s="27">
        <f t="shared" si="59"/>
        <v>0</v>
      </c>
      <c r="CO50" s="27">
        <f t="shared" si="60"/>
        <v>0</v>
      </c>
      <c r="CP50" s="27">
        <f t="shared" si="61"/>
        <v>0</v>
      </c>
      <c r="CQ50" s="27">
        <f t="shared" si="62"/>
        <v>0</v>
      </c>
      <c r="CR50" s="24">
        <f t="shared" si="63"/>
        <v>0</v>
      </c>
      <c r="CS50" s="24">
        <f t="shared" si="64"/>
        <v>0</v>
      </c>
      <c r="CT50">
        <v>0</v>
      </c>
      <c r="CU50" s="24">
        <f t="shared" si="48"/>
        <v>0</v>
      </c>
      <c r="CV50" s="27">
        <f t="shared" si="65"/>
        <v>0</v>
      </c>
      <c r="CW50" s="27">
        <f t="shared" si="66"/>
        <v>0</v>
      </c>
      <c r="CX50" s="27">
        <f t="shared" si="67"/>
        <v>0</v>
      </c>
      <c r="CY50" s="27">
        <f t="shared" si="68"/>
        <v>0</v>
      </c>
      <c r="CZ50" s="24">
        <f t="shared" si="69"/>
        <v>0</v>
      </c>
      <c r="DA50" s="24">
        <f t="shared" si="70"/>
        <v>0</v>
      </c>
      <c r="DB50" s="27">
        <f t="shared" si="71"/>
        <v>0</v>
      </c>
      <c r="DC50" s="27">
        <f t="shared" si="72"/>
        <v>0</v>
      </c>
      <c r="DD50" s="27">
        <f t="shared" si="73"/>
        <v>0</v>
      </c>
      <c r="DE50" s="27">
        <f t="shared" si="74"/>
        <v>0</v>
      </c>
      <c r="DF50" s="24">
        <f t="shared" si="75"/>
        <v>0</v>
      </c>
      <c r="DG50" s="24">
        <f t="shared" si="76"/>
        <v>0</v>
      </c>
      <c r="DH50" s="24">
        <f t="shared" si="77"/>
        <v>0</v>
      </c>
      <c r="DI50" s="24">
        <f t="shared" si="78"/>
        <v>0</v>
      </c>
      <c r="DJ50" s="26">
        <f t="shared" si="49"/>
        <v>0</v>
      </c>
      <c r="DK50" s="26">
        <f t="shared" si="50"/>
        <v>0</v>
      </c>
      <c r="DP50" s="27"/>
      <c r="DQ50" s="27"/>
      <c r="DR50" s="27">
        <f t="shared" si="79"/>
        <v>0</v>
      </c>
      <c r="DS50" s="27">
        <f t="shared" si="80"/>
        <v>0</v>
      </c>
      <c r="DT50" s="27">
        <f t="shared" si="81"/>
        <v>0</v>
      </c>
      <c r="DU50" s="27">
        <f t="shared" si="82"/>
        <v>0</v>
      </c>
      <c r="DV50" s="27">
        <f t="shared" si="44"/>
        <v>0</v>
      </c>
      <c r="DW50" s="27">
        <f t="shared" si="45"/>
        <v>0</v>
      </c>
      <c r="DX50" s="27">
        <f t="shared" si="83"/>
        <v>0</v>
      </c>
      <c r="DY50" s="27">
        <f t="shared" si="84"/>
        <v>0</v>
      </c>
      <c r="DZ50" s="27">
        <f t="shared" si="85"/>
        <v>0</v>
      </c>
      <c r="EA50" s="27">
        <f t="shared" si="86"/>
        <v>0</v>
      </c>
      <c r="EB50" s="27">
        <f t="shared" si="46"/>
        <v>0</v>
      </c>
      <c r="EC50" s="27">
        <f t="shared" si="47"/>
        <v>0</v>
      </c>
    </row>
    <row r="51" spans="1:133" x14ac:dyDescent="0.35">
      <c r="A51" s="385"/>
      <c r="C51" s="31">
        <v>47</v>
      </c>
      <c r="D51" s="32">
        <v>18648.810000000001</v>
      </c>
      <c r="E51" s="32">
        <v>22956.49</v>
      </c>
      <c r="F51" s="72"/>
      <c r="G51" s="31">
        <v>47</v>
      </c>
      <c r="H51" s="73">
        <v>33301.449999999997</v>
      </c>
      <c r="I51" s="73">
        <v>40993.730000000003</v>
      </c>
      <c r="AH51" s="386"/>
      <c r="AN51" s="40">
        <v>47</v>
      </c>
      <c r="AO51" s="46">
        <v>2.290799289918314E-2</v>
      </c>
      <c r="AQ51" s="40" t="s">
        <v>243</v>
      </c>
      <c r="AR51" s="40">
        <v>2</v>
      </c>
      <c r="AS51" s="49">
        <f t="shared" si="87"/>
        <v>0.17299999999999999</v>
      </c>
      <c r="AY51" s="40" t="s">
        <v>243</v>
      </c>
      <c r="AZ51" s="40">
        <v>2</v>
      </c>
      <c r="BA51" s="41">
        <v>0.91635</v>
      </c>
      <c r="BJ51" s="386"/>
      <c r="BQ51">
        <v>45</v>
      </c>
      <c r="BR51" s="26" t="e">
        <f t="shared" si="37"/>
        <v>#N/A</v>
      </c>
      <c r="BS51" s="26" t="e">
        <f t="shared" si="38"/>
        <v>#N/A</v>
      </c>
      <c r="BT51" s="26"/>
      <c r="BU51" s="29">
        <v>45</v>
      </c>
      <c r="BV51" s="26" t="e">
        <f t="shared" si="51"/>
        <v>#N/A</v>
      </c>
      <c r="BW51" s="26" t="e">
        <f t="shared" si="52"/>
        <v>#N/A</v>
      </c>
      <c r="BY51" s="29">
        <v>45</v>
      </c>
      <c r="BZ51" s="26" t="e">
        <f t="shared" si="39"/>
        <v>#N/A</v>
      </c>
      <c r="CA51" s="26" t="e">
        <f t="shared" si="40"/>
        <v>#N/A</v>
      </c>
      <c r="CC51" s="29">
        <v>45</v>
      </c>
      <c r="CD51" s="26" t="e">
        <f t="shared" si="41"/>
        <v>#N/A</v>
      </c>
      <c r="CE51" s="26" t="e">
        <f t="shared" si="42"/>
        <v>#N/A</v>
      </c>
      <c r="CG51">
        <v>45</v>
      </c>
      <c r="CH51" s="24" t="e">
        <f t="shared" si="53"/>
        <v>#N/A</v>
      </c>
      <c r="CI51" s="24" t="e">
        <f t="shared" si="54"/>
        <v>#N/A</v>
      </c>
      <c r="CJ51" s="27">
        <f t="shared" si="55"/>
        <v>0</v>
      </c>
      <c r="CK51" s="27">
        <f t="shared" si="56"/>
        <v>0</v>
      </c>
      <c r="CL51" s="26">
        <f t="shared" si="57"/>
        <v>0</v>
      </c>
      <c r="CM51" s="26">
        <f t="shared" si="58"/>
        <v>0</v>
      </c>
      <c r="CN51" s="27">
        <f t="shared" si="59"/>
        <v>0</v>
      </c>
      <c r="CO51" s="27">
        <f t="shared" si="60"/>
        <v>0</v>
      </c>
      <c r="CP51" s="27">
        <f t="shared" si="61"/>
        <v>0</v>
      </c>
      <c r="CQ51" s="27">
        <f t="shared" si="62"/>
        <v>0</v>
      </c>
      <c r="CR51" s="24">
        <f t="shared" si="63"/>
        <v>0</v>
      </c>
      <c r="CS51" s="24">
        <f t="shared" si="64"/>
        <v>0</v>
      </c>
      <c r="CT51">
        <v>0</v>
      </c>
      <c r="CU51" s="24">
        <f t="shared" si="48"/>
        <v>0</v>
      </c>
      <c r="CV51" s="27">
        <f t="shared" si="65"/>
        <v>0</v>
      </c>
      <c r="CW51" s="27">
        <f t="shared" si="66"/>
        <v>0</v>
      </c>
      <c r="CX51" s="27">
        <f t="shared" si="67"/>
        <v>0</v>
      </c>
      <c r="CY51" s="27">
        <f t="shared" si="68"/>
        <v>0</v>
      </c>
      <c r="CZ51" s="24">
        <f t="shared" si="69"/>
        <v>0</v>
      </c>
      <c r="DA51" s="24">
        <f t="shared" si="70"/>
        <v>0</v>
      </c>
      <c r="DB51" s="27">
        <f t="shared" si="71"/>
        <v>0</v>
      </c>
      <c r="DC51" s="27">
        <f t="shared" si="72"/>
        <v>0</v>
      </c>
      <c r="DD51" s="27">
        <f t="shared" si="73"/>
        <v>0</v>
      </c>
      <c r="DE51" s="27">
        <f t="shared" si="74"/>
        <v>0</v>
      </c>
      <c r="DF51" s="24">
        <f t="shared" si="75"/>
        <v>0</v>
      </c>
      <c r="DG51" s="24">
        <f t="shared" si="76"/>
        <v>0</v>
      </c>
      <c r="DH51" s="24">
        <f t="shared" si="77"/>
        <v>0</v>
      </c>
      <c r="DI51" s="24">
        <f t="shared" si="78"/>
        <v>0</v>
      </c>
      <c r="DJ51" s="26">
        <f t="shared" si="49"/>
        <v>0</v>
      </c>
      <c r="DK51" s="26">
        <f t="shared" si="50"/>
        <v>0</v>
      </c>
      <c r="DP51" s="27"/>
      <c r="DQ51" s="27"/>
      <c r="DR51" s="27">
        <f t="shared" si="79"/>
        <v>0</v>
      </c>
      <c r="DS51" s="27">
        <f t="shared" si="80"/>
        <v>0</v>
      </c>
      <c r="DT51" s="27">
        <f t="shared" si="81"/>
        <v>0</v>
      </c>
      <c r="DU51" s="27">
        <f t="shared" si="82"/>
        <v>0</v>
      </c>
      <c r="DV51" s="27">
        <f t="shared" si="44"/>
        <v>0</v>
      </c>
      <c r="DW51" s="27">
        <f t="shared" si="45"/>
        <v>0</v>
      </c>
      <c r="DX51" s="27">
        <f t="shared" si="83"/>
        <v>0</v>
      </c>
      <c r="DY51" s="27">
        <f t="shared" si="84"/>
        <v>0</v>
      </c>
      <c r="DZ51" s="27">
        <f t="shared" si="85"/>
        <v>0</v>
      </c>
      <c r="EA51" s="27">
        <f t="shared" si="86"/>
        <v>0</v>
      </c>
      <c r="EB51" s="27">
        <f t="shared" si="46"/>
        <v>0</v>
      </c>
      <c r="EC51" s="27">
        <f t="shared" si="47"/>
        <v>0</v>
      </c>
    </row>
    <row r="52" spans="1:133" x14ac:dyDescent="0.35">
      <c r="A52" s="385"/>
      <c r="C52" s="31">
        <v>48</v>
      </c>
      <c r="D52" s="32">
        <v>19906.669999999998</v>
      </c>
      <c r="E52" s="32">
        <v>24397.47</v>
      </c>
      <c r="F52" s="72"/>
      <c r="G52" s="31">
        <v>48</v>
      </c>
      <c r="H52" s="73">
        <v>35547.629999999997</v>
      </c>
      <c r="I52" s="73">
        <v>43566.91</v>
      </c>
      <c r="AH52" s="386"/>
      <c r="AN52" s="40">
        <v>48</v>
      </c>
      <c r="AO52" s="46">
        <v>2.290799289918314E-2</v>
      </c>
      <c r="AQ52" s="40" t="s">
        <v>245</v>
      </c>
      <c r="AR52" s="40">
        <v>6</v>
      </c>
      <c r="AS52" s="49">
        <f t="shared" si="87"/>
        <v>0</v>
      </c>
      <c r="AY52" s="40" t="s">
        <v>245</v>
      </c>
      <c r="AZ52" s="40">
        <v>6</v>
      </c>
      <c r="BA52" s="41">
        <v>0.47649999999999998</v>
      </c>
      <c r="BJ52" s="386"/>
      <c r="BQ52">
        <v>46</v>
      </c>
      <c r="BR52" s="26" t="e">
        <f t="shared" si="37"/>
        <v>#N/A</v>
      </c>
      <c r="BS52" s="26" t="e">
        <f t="shared" si="38"/>
        <v>#N/A</v>
      </c>
      <c r="BT52" s="26"/>
      <c r="BU52" s="29">
        <v>46</v>
      </c>
      <c r="BV52" s="26" t="e">
        <f t="shared" si="51"/>
        <v>#N/A</v>
      </c>
      <c r="BW52" s="26" t="e">
        <f t="shared" si="52"/>
        <v>#N/A</v>
      </c>
      <c r="BY52" s="29">
        <v>46</v>
      </c>
      <c r="BZ52" s="26" t="e">
        <f t="shared" si="39"/>
        <v>#N/A</v>
      </c>
      <c r="CA52" s="26" t="e">
        <f t="shared" si="40"/>
        <v>#N/A</v>
      </c>
      <c r="CC52" s="29">
        <v>46</v>
      </c>
      <c r="CD52" s="26" t="e">
        <f t="shared" si="41"/>
        <v>#N/A</v>
      </c>
      <c r="CE52" s="26" t="e">
        <f t="shared" si="42"/>
        <v>#N/A</v>
      </c>
      <c r="CG52">
        <v>46</v>
      </c>
      <c r="CH52" s="207" t="e">
        <f t="shared" si="53"/>
        <v>#N/A</v>
      </c>
      <c r="CI52" s="207" t="e">
        <f t="shared" si="54"/>
        <v>#N/A</v>
      </c>
      <c r="CJ52" s="208">
        <f t="shared" si="55"/>
        <v>0</v>
      </c>
      <c r="CK52" s="208">
        <f t="shared" si="56"/>
        <v>0</v>
      </c>
      <c r="CL52" s="209">
        <f t="shared" si="57"/>
        <v>0</v>
      </c>
      <c r="CM52" s="209">
        <f t="shared" si="58"/>
        <v>0</v>
      </c>
      <c r="CN52" s="208">
        <f t="shared" si="59"/>
        <v>0</v>
      </c>
      <c r="CO52" s="208">
        <f t="shared" si="60"/>
        <v>0</v>
      </c>
      <c r="CP52" s="208">
        <f t="shared" si="61"/>
        <v>0</v>
      </c>
      <c r="CQ52" s="208">
        <f t="shared" si="62"/>
        <v>0</v>
      </c>
      <c r="CR52" s="24">
        <f t="shared" si="63"/>
        <v>0</v>
      </c>
      <c r="CS52" s="24">
        <f t="shared" si="64"/>
        <v>0</v>
      </c>
      <c r="CT52" s="210">
        <v>0</v>
      </c>
      <c r="CU52" s="207">
        <f t="shared" si="48"/>
        <v>0</v>
      </c>
      <c r="CV52" s="27">
        <f t="shared" si="65"/>
        <v>0</v>
      </c>
      <c r="CW52" s="27">
        <f t="shared" si="66"/>
        <v>0</v>
      </c>
      <c r="CX52" s="208">
        <f t="shared" si="67"/>
        <v>0</v>
      </c>
      <c r="CY52" s="208">
        <f t="shared" si="68"/>
        <v>0</v>
      </c>
      <c r="CZ52" s="207">
        <f t="shared" si="69"/>
        <v>0</v>
      </c>
      <c r="DA52" s="207">
        <f t="shared" si="70"/>
        <v>0</v>
      </c>
      <c r="DB52" s="208">
        <f t="shared" si="71"/>
        <v>0</v>
      </c>
      <c r="DC52" s="208">
        <f t="shared" si="72"/>
        <v>0</v>
      </c>
      <c r="DD52" s="27">
        <f t="shared" si="73"/>
        <v>0</v>
      </c>
      <c r="DE52" s="27">
        <f t="shared" si="74"/>
        <v>0</v>
      </c>
      <c r="DF52" s="207">
        <f t="shared" si="75"/>
        <v>0</v>
      </c>
      <c r="DG52" s="207">
        <f t="shared" si="76"/>
        <v>0</v>
      </c>
      <c r="DH52" s="207">
        <f t="shared" si="77"/>
        <v>0</v>
      </c>
      <c r="DI52" s="207">
        <f t="shared" si="78"/>
        <v>0</v>
      </c>
      <c r="DJ52" s="209">
        <f t="shared" si="49"/>
        <v>0</v>
      </c>
      <c r="DK52" s="209">
        <f t="shared" si="50"/>
        <v>0</v>
      </c>
      <c r="DP52" s="27"/>
      <c r="DQ52" s="27"/>
      <c r="DR52" s="27">
        <f t="shared" si="79"/>
        <v>0</v>
      </c>
      <c r="DS52" s="27">
        <f t="shared" si="80"/>
        <v>0</v>
      </c>
      <c r="DT52" s="27">
        <f t="shared" si="81"/>
        <v>0</v>
      </c>
      <c r="DU52" s="27">
        <f t="shared" si="82"/>
        <v>0</v>
      </c>
      <c r="DV52" s="27">
        <f t="shared" si="44"/>
        <v>0</v>
      </c>
      <c r="DW52" s="27">
        <f t="shared" si="45"/>
        <v>0</v>
      </c>
      <c r="DX52" s="27">
        <f t="shared" si="83"/>
        <v>0</v>
      </c>
      <c r="DY52" s="27">
        <f t="shared" si="84"/>
        <v>0</v>
      </c>
      <c r="DZ52" s="27">
        <f t="shared" si="85"/>
        <v>0</v>
      </c>
      <c r="EA52" s="27">
        <f t="shared" si="86"/>
        <v>0</v>
      </c>
      <c r="EB52" s="27">
        <f t="shared" si="46"/>
        <v>0</v>
      </c>
      <c r="EC52" s="27">
        <f t="shared" si="47"/>
        <v>0</v>
      </c>
    </row>
    <row r="53" spans="1:133" x14ac:dyDescent="0.35">
      <c r="A53" s="385"/>
      <c r="C53" s="31">
        <v>49</v>
      </c>
      <c r="D53" s="32">
        <v>21284.43</v>
      </c>
      <c r="E53" s="32">
        <v>25950.720000000001</v>
      </c>
      <c r="F53" s="72"/>
      <c r="G53" s="31">
        <v>49</v>
      </c>
      <c r="H53" s="73">
        <v>38007.910000000003</v>
      </c>
      <c r="I53" s="73">
        <v>46340.57</v>
      </c>
      <c r="AH53" s="386"/>
      <c r="AN53" s="40">
        <v>49</v>
      </c>
      <c r="AO53" s="46">
        <v>2.290799289918314E-2</v>
      </c>
      <c r="AQ53" s="40" t="s">
        <v>23</v>
      </c>
      <c r="AR53" s="324">
        <v>1</v>
      </c>
      <c r="AS53" s="49">
        <f t="shared" si="87"/>
        <v>0.23599999999999999</v>
      </c>
      <c r="AY53" s="40" t="s">
        <v>23</v>
      </c>
      <c r="AZ53" s="40">
        <v>3</v>
      </c>
      <c r="BA53" s="41">
        <v>0.76854999999999996</v>
      </c>
      <c r="BJ53" s="386"/>
      <c r="BQ53">
        <v>47</v>
      </c>
      <c r="BR53" s="26" t="e">
        <f t="shared" si="37"/>
        <v>#N/A</v>
      </c>
      <c r="BS53" s="26" t="e">
        <f t="shared" si="38"/>
        <v>#N/A</v>
      </c>
      <c r="BT53" s="26"/>
      <c r="BU53" s="29">
        <v>47</v>
      </c>
      <c r="BV53" s="26" t="e">
        <f t="shared" si="51"/>
        <v>#N/A</v>
      </c>
      <c r="BW53" s="26" t="e">
        <f t="shared" si="52"/>
        <v>#N/A</v>
      </c>
      <c r="BY53" s="29">
        <v>47</v>
      </c>
      <c r="BZ53" s="26" t="e">
        <f t="shared" si="39"/>
        <v>#N/A</v>
      </c>
      <c r="CA53" s="26" t="e">
        <f t="shared" si="40"/>
        <v>#N/A</v>
      </c>
      <c r="CC53" s="29">
        <v>47</v>
      </c>
      <c r="CD53" s="26" t="e">
        <f t="shared" si="41"/>
        <v>#N/A</v>
      </c>
      <c r="CE53" s="26" t="e">
        <f t="shared" si="42"/>
        <v>#N/A</v>
      </c>
      <c r="CG53">
        <v>47</v>
      </c>
      <c r="CH53" s="24" t="e">
        <f t="shared" si="53"/>
        <v>#N/A</v>
      </c>
      <c r="CI53" s="24" t="e">
        <f t="shared" si="54"/>
        <v>#N/A</v>
      </c>
      <c r="CJ53" s="27">
        <f t="shared" si="55"/>
        <v>0</v>
      </c>
      <c r="CK53" s="27">
        <f t="shared" si="56"/>
        <v>0</v>
      </c>
      <c r="CL53" s="26">
        <f t="shared" si="57"/>
        <v>0</v>
      </c>
      <c r="CM53" s="26">
        <f t="shared" si="58"/>
        <v>0</v>
      </c>
      <c r="CN53" s="27">
        <f t="shared" si="59"/>
        <v>0</v>
      </c>
      <c r="CO53" s="27">
        <f t="shared" si="60"/>
        <v>0</v>
      </c>
      <c r="CP53" s="27">
        <f t="shared" si="61"/>
        <v>0</v>
      </c>
      <c r="CQ53" s="27">
        <f t="shared" si="62"/>
        <v>0</v>
      </c>
      <c r="CR53" s="24">
        <f t="shared" si="63"/>
        <v>0</v>
      </c>
      <c r="CS53" s="24">
        <f t="shared" si="64"/>
        <v>0</v>
      </c>
      <c r="CT53">
        <v>0</v>
      </c>
      <c r="CU53" s="24">
        <f t="shared" ref="CU53:CU84" si="88">ROUND(IF($CU$1=1,(AO51*$CU$2)/(1-$L$7),0),4)</f>
        <v>0</v>
      </c>
      <c r="CV53" s="27">
        <f t="shared" si="65"/>
        <v>0</v>
      </c>
      <c r="CW53" s="27">
        <f t="shared" si="66"/>
        <v>0</v>
      </c>
      <c r="CX53" s="27">
        <f t="shared" si="67"/>
        <v>0</v>
      </c>
      <c r="CY53" s="27">
        <f t="shared" si="68"/>
        <v>0</v>
      </c>
      <c r="CZ53" s="24">
        <f t="shared" si="69"/>
        <v>0</v>
      </c>
      <c r="DA53" s="24">
        <f t="shared" si="70"/>
        <v>0</v>
      </c>
      <c r="DB53" s="27">
        <f t="shared" si="71"/>
        <v>0</v>
      </c>
      <c r="DC53" s="27">
        <f t="shared" si="72"/>
        <v>0</v>
      </c>
      <c r="DD53" s="27">
        <f t="shared" si="73"/>
        <v>0</v>
      </c>
      <c r="DE53" s="27">
        <f t="shared" si="74"/>
        <v>0</v>
      </c>
      <c r="DF53" s="24">
        <f t="shared" si="75"/>
        <v>0</v>
      </c>
      <c r="DG53" s="24">
        <f t="shared" si="76"/>
        <v>0</v>
      </c>
      <c r="DH53" s="24">
        <f t="shared" si="77"/>
        <v>0</v>
      </c>
      <c r="DI53" s="24">
        <f t="shared" si="78"/>
        <v>0</v>
      </c>
      <c r="DJ53" s="26">
        <f t="shared" si="49"/>
        <v>0</v>
      </c>
      <c r="DK53" s="26">
        <f t="shared" si="50"/>
        <v>0</v>
      </c>
      <c r="DP53" s="27"/>
      <c r="DQ53" s="27"/>
      <c r="DR53" s="27">
        <f t="shared" si="79"/>
        <v>0</v>
      </c>
      <c r="DS53" s="27">
        <f t="shared" si="80"/>
        <v>0</v>
      </c>
      <c r="DT53" s="27">
        <f t="shared" si="81"/>
        <v>0</v>
      </c>
      <c r="DU53" s="27">
        <f t="shared" si="82"/>
        <v>0</v>
      </c>
      <c r="DV53" s="27">
        <f t="shared" si="44"/>
        <v>0</v>
      </c>
      <c r="DW53" s="27">
        <f t="shared" si="45"/>
        <v>0</v>
      </c>
      <c r="DX53" s="27">
        <f t="shared" si="83"/>
        <v>0</v>
      </c>
      <c r="DY53" s="27">
        <f t="shared" si="84"/>
        <v>0</v>
      </c>
      <c r="DZ53" s="27">
        <f t="shared" si="85"/>
        <v>0</v>
      </c>
      <c r="EA53" s="27">
        <f t="shared" si="86"/>
        <v>0</v>
      </c>
      <c r="EB53" s="27">
        <f t="shared" si="46"/>
        <v>0</v>
      </c>
      <c r="EC53" s="27">
        <f t="shared" si="47"/>
        <v>0</v>
      </c>
    </row>
    <row r="54" spans="1:133" x14ac:dyDescent="0.35">
      <c r="A54" s="385"/>
      <c r="C54" s="31">
        <v>50</v>
      </c>
      <c r="D54" s="32">
        <v>22791.9</v>
      </c>
      <c r="E54" s="32">
        <v>27623.87</v>
      </c>
      <c r="F54" s="72"/>
      <c r="G54" s="31">
        <v>50</v>
      </c>
      <c r="H54" s="73">
        <v>40699.82</v>
      </c>
      <c r="I54" s="73">
        <v>49328.34</v>
      </c>
      <c r="AH54" s="386"/>
      <c r="AN54" s="40">
        <v>50</v>
      </c>
      <c r="AO54" s="46">
        <v>1.8750244230586313E-2</v>
      </c>
      <c r="AQ54" s="40" t="s">
        <v>24</v>
      </c>
      <c r="AR54" s="40">
        <v>3</v>
      </c>
      <c r="AS54" s="49">
        <f t="shared" si="87"/>
        <v>0.111</v>
      </c>
      <c r="AY54" s="40" t="s">
        <v>24</v>
      </c>
      <c r="AZ54" s="40">
        <v>3</v>
      </c>
      <c r="BA54" s="41">
        <v>0.76854999999999996</v>
      </c>
      <c r="BJ54" s="386"/>
      <c r="BQ54">
        <v>48</v>
      </c>
      <c r="BR54" s="26" t="e">
        <f t="shared" si="37"/>
        <v>#N/A</v>
      </c>
      <c r="BS54" s="26" t="e">
        <f t="shared" si="38"/>
        <v>#N/A</v>
      </c>
      <c r="BT54" s="26"/>
      <c r="BU54" s="29">
        <v>48</v>
      </c>
      <c r="BV54" s="26" t="e">
        <f t="shared" si="51"/>
        <v>#N/A</v>
      </c>
      <c r="BW54" s="26" t="e">
        <f t="shared" si="52"/>
        <v>#N/A</v>
      </c>
      <c r="BY54" s="29">
        <v>48</v>
      </c>
      <c r="BZ54" s="26" t="e">
        <f t="shared" si="39"/>
        <v>#N/A</v>
      </c>
      <c r="CA54" s="26" t="e">
        <f t="shared" si="40"/>
        <v>#N/A</v>
      </c>
      <c r="CC54" s="29">
        <v>48</v>
      </c>
      <c r="CD54" s="26" t="e">
        <f t="shared" si="41"/>
        <v>#N/A</v>
      </c>
      <c r="CE54" s="26" t="e">
        <f t="shared" si="42"/>
        <v>#N/A</v>
      </c>
      <c r="CG54">
        <v>48</v>
      </c>
      <c r="CH54" s="24" t="e">
        <f t="shared" si="53"/>
        <v>#N/A</v>
      </c>
      <c r="CI54" s="24" t="e">
        <f t="shared" si="54"/>
        <v>#N/A</v>
      </c>
      <c r="CJ54" s="27">
        <f t="shared" si="55"/>
        <v>0</v>
      </c>
      <c r="CK54" s="27">
        <f t="shared" si="56"/>
        <v>0</v>
      </c>
      <c r="CL54" s="26">
        <f t="shared" si="57"/>
        <v>0</v>
      </c>
      <c r="CM54" s="26">
        <f t="shared" si="58"/>
        <v>0</v>
      </c>
      <c r="CN54" s="27">
        <f t="shared" si="59"/>
        <v>0</v>
      </c>
      <c r="CO54" s="27">
        <f t="shared" si="60"/>
        <v>0</v>
      </c>
      <c r="CP54" s="27">
        <f t="shared" si="61"/>
        <v>0</v>
      </c>
      <c r="CQ54" s="27">
        <f t="shared" si="62"/>
        <v>0</v>
      </c>
      <c r="CR54" s="24">
        <f t="shared" si="63"/>
        <v>0</v>
      </c>
      <c r="CS54" s="24">
        <f t="shared" si="64"/>
        <v>0</v>
      </c>
      <c r="CT54">
        <v>0</v>
      </c>
      <c r="CU54" s="24">
        <f t="shared" si="88"/>
        <v>0</v>
      </c>
      <c r="CV54" s="27">
        <f t="shared" si="65"/>
        <v>0</v>
      </c>
      <c r="CW54" s="27">
        <f t="shared" si="66"/>
        <v>0</v>
      </c>
      <c r="CX54" s="27">
        <f t="shared" si="67"/>
        <v>0</v>
      </c>
      <c r="CY54" s="27">
        <f t="shared" si="68"/>
        <v>0</v>
      </c>
      <c r="CZ54" s="24">
        <f t="shared" si="69"/>
        <v>0</v>
      </c>
      <c r="DA54" s="24">
        <f t="shared" si="70"/>
        <v>0</v>
      </c>
      <c r="DB54" s="27">
        <f t="shared" si="71"/>
        <v>0</v>
      </c>
      <c r="DC54" s="27">
        <f t="shared" si="72"/>
        <v>0</v>
      </c>
      <c r="DD54" s="27">
        <f t="shared" si="73"/>
        <v>0</v>
      </c>
      <c r="DE54" s="27">
        <f t="shared" si="74"/>
        <v>0</v>
      </c>
      <c r="DF54" s="24">
        <f t="shared" si="75"/>
        <v>0</v>
      </c>
      <c r="DG54" s="24">
        <f t="shared" si="76"/>
        <v>0</v>
      </c>
      <c r="DH54" s="24">
        <f t="shared" si="77"/>
        <v>0</v>
      </c>
      <c r="DI54" s="24">
        <f t="shared" si="78"/>
        <v>0</v>
      </c>
      <c r="DJ54" s="26">
        <f t="shared" si="49"/>
        <v>0</v>
      </c>
      <c r="DK54" s="26">
        <f t="shared" si="50"/>
        <v>0</v>
      </c>
      <c r="DP54" s="27"/>
      <c r="DQ54" s="27"/>
      <c r="DR54" s="27">
        <f t="shared" si="79"/>
        <v>0</v>
      </c>
      <c r="DS54" s="27">
        <f t="shared" si="80"/>
        <v>0</v>
      </c>
      <c r="DT54" s="27">
        <f t="shared" si="81"/>
        <v>0</v>
      </c>
      <c r="DU54" s="27">
        <f t="shared" si="82"/>
        <v>0</v>
      </c>
      <c r="DV54" s="27">
        <f t="shared" si="44"/>
        <v>0</v>
      </c>
      <c r="DW54" s="27">
        <f t="shared" si="45"/>
        <v>0</v>
      </c>
      <c r="DX54" s="27">
        <f t="shared" si="83"/>
        <v>0</v>
      </c>
      <c r="DY54" s="27">
        <f t="shared" si="84"/>
        <v>0</v>
      </c>
      <c r="DZ54" s="27">
        <f t="shared" si="85"/>
        <v>0</v>
      </c>
      <c r="EA54" s="27">
        <f t="shared" si="86"/>
        <v>0</v>
      </c>
      <c r="EB54" s="27">
        <f t="shared" si="46"/>
        <v>0</v>
      </c>
      <c r="EC54" s="27">
        <f t="shared" si="47"/>
        <v>0</v>
      </c>
    </row>
    <row r="55" spans="1:133" x14ac:dyDescent="0.35">
      <c r="A55" s="385"/>
      <c r="C55" s="31">
        <v>51</v>
      </c>
      <c r="D55" s="32">
        <v>24438.89</v>
      </c>
      <c r="E55" s="32">
        <v>29423.46</v>
      </c>
      <c r="F55" s="72"/>
      <c r="G55" s="31">
        <v>51</v>
      </c>
      <c r="H55" s="73">
        <v>43640.88</v>
      </c>
      <c r="I55" s="73">
        <v>52541.89</v>
      </c>
      <c r="AH55" s="386"/>
      <c r="AN55" s="40">
        <v>51</v>
      </c>
      <c r="AO55" s="46">
        <v>1.8750244230586313E-2</v>
      </c>
      <c r="AQ55" s="40" t="s">
        <v>25</v>
      </c>
      <c r="AR55" s="40">
        <v>3</v>
      </c>
      <c r="AS55" s="49">
        <f t="shared" si="87"/>
        <v>0.111</v>
      </c>
      <c r="AY55" s="40" t="s">
        <v>25</v>
      </c>
      <c r="AZ55" s="40">
        <v>3</v>
      </c>
      <c r="BA55" s="41">
        <v>0.76854999999999996</v>
      </c>
      <c r="BJ55" s="386"/>
      <c r="BQ55">
        <v>49</v>
      </c>
      <c r="BR55" s="26" t="e">
        <f t="shared" si="37"/>
        <v>#N/A</v>
      </c>
      <c r="BS55" s="26" t="e">
        <f t="shared" si="38"/>
        <v>#N/A</v>
      </c>
      <c r="BT55" s="26"/>
      <c r="BU55" s="29">
        <v>49</v>
      </c>
      <c r="BV55" s="26" t="e">
        <f t="shared" si="51"/>
        <v>#N/A</v>
      </c>
      <c r="BW55" s="26" t="e">
        <f t="shared" si="52"/>
        <v>#N/A</v>
      </c>
      <c r="BY55" s="29">
        <v>49</v>
      </c>
      <c r="BZ55" s="26" t="e">
        <f t="shared" si="39"/>
        <v>#N/A</v>
      </c>
      <c r="CA55" s="26" t="e">
        <f t="shared" si="40"/>
        <v>#N/A</v>
      </c>
      <c r="CC55" s="29">
        <v>49</v>
      </c>
      <c r="CD55" s="26" t="e">
        <f t="shared" si="41"/>
        <v>#N/A</v>
      </c>
      <c r="CE55" s="26" t="e">
        <f t="shared" si="42"/>
        <v>#N/A</v>
      </c>
      <c r="CG55">
        <v>49</v>
      </c>
      <c r="CH55" s="24" t="e">
        <f t="shared" si="53"/>
        <v>#N/A</v>
      </c>
      <c r="CI55" s="24" t="e">
        <f t="shared" si="54"/>
        <v>#N/A</v>
      </c>
      <c r="CJ55" s="27">
        <f t="shared" si="55"/>
        <v>0</v>
      </c>
      <c r="CK55" s="27">
        <f t="shared" si="56"/>
        <v>0</v>
      </c>
      <c r="CL55" s="26">
        <f t="shared" si="57"/>
        <v>0</v>
      </c>
      <c r="CM55" s="26">
        <f t="shared" si="58"/>
        <v>0</v>
      </c>
      <c r="CN55" s="27">
        <f t="shared" si="59"/>
        <v>0</v>
      </c>
      <c r="CO55" s="27">
        <f t="shared" si="60"/>
        <v>0</v>
      </c>
      <c r="CP55" s="27">
        <f t="shared" si="61"/>
        <v>0</v>
      </c>
      <c r="CQ55" s="27">
        <f t="shared" si="62"/>
        <v>0</v>
      </c>
      <c r="CR55" s="24">
        <f t="shared" si="63"/>
        <v>0</v>
      </c>
      <c r="CS55" s="24">
        <f t="shared" si="64"/>
        <v>0</v>
      </c>
      <c r="CT55">
        <v>0</v>
      </c>
      <c r="CU55" s="24">
        <f t="shared" si="88"/>
        <v>0</v>
      </c>
      <c r="CV55" s="27">
        <f t="shared" si="65"/>
        <v>0</v>
      </c>
      <c r="CW55" s="27">
        <f t="shared" si="66"/>
        <v>0</v>
      </c>
      <c r="CX55" s="27">
        <f t="shared" si="67"/>
        <v>0</v>
      </c>
      <c r="CY55" s="27">
        <f t="shared" si="68"/>
        <v>0</v>
      </c>
      <c r="CZ55" s="24">
        <f t="shared" si="69"/>
        <v>0</v>
      </c>
      <c r="DA55" s="24">
        <f t="shared" si="70"/>
        <v>0</v>
      </c>
      <c r="DB55" s="27">
        <f t="shared" si="71"/>
        <v>0</v>
      </c>
      <c r="DC55" s="27">
        <f t="shared" si="72"/>
        <v>0</v>
      </c>
      <c r="DD55" s="27">
        <f t="shared" si="73"/>
        <v>0</v>
      </c>
      <c r="DE55" s="27">
        <f t="shared" si="74"/>
        <v>0</v>
      </c>
      <c r="DF55" s="24">
        <f t="shared" si="75"/>
        <v>0</v>
      </c>
      <c r="DG55" s="24">
        <f t="shared" si="76"/>
        <v>0</v>
      </c>
      <c r="DH55" s="24">
        <f t="shared" si="77"/>
        <v>0</v>
      </c>
      <c r="DI55" s="24">
        <f t="shared" si="78"/>
        <v>0</v>
      </c>
      <c r="DJ55" s="26">
        <f t="shared" si="49"/>
        <v>0</v>
      </c>
      <c r="DK55" s="26">
        <f t="shared" si="50"/>
        <v>0</v>
      </c>
      <c r="DP55" s="27"/>
      <c r="DQ55" s="27"/>
      <c r="DR55" s="27">
        <f t="shared" si="79"/>
        <v>0</v>
      </c>
      <c r="DS55" s="27">
        <f t="shared" si="80"/>
        <v>0</v>
      </c>
      <c r="DT55" s="27">
        <f t="shared" si="81"/>
        <v>0</v>
      </c>
      <c r="DU55" s="27">
        <f t="shared" si="82"/>
        <v>0</v>
      </c>
      <c r="DV55" s="27">
        <f t="shared" si="44"/>
        <v>0</v>
      </c>
      <c r="DW55" s="27">
        <f t="shared" si="45"/>
        <v>0</v>
      </c>
      <c r="DX55" s="27">
        <f t="shared" si="83"/>
        <v>0</v>
      </c>
      <c r="DY55" s="27">
        <f t="shared" si="84"/>
        <v>0</v>
      </c>
      <c r="DZ55" s="27">
        <f t="shared" si="85"/>
        <v>0</v>
      </c>
      <c r="EA55" s="27">
        <f t="shared" si="86"/>
        <v>0</v>
      </c>
      <c r="EB55" s="27">
        <f t="shared" si="46"/>
        <v>0</v>
      </c>
      <c r="EC55" s="27">
        <f t="shared" si="47"/>
        <v>0</v>
      </c>
    </row>
    <row r="56" spans="1:133" x14ac:dyDescent="0.35">
      <c r="A56" s="385"/>
      <c r="C56" s="31">
        <v>52</v>
      </c>
      <c r="D56" s="32">
        <v>26235.21</v>
      </c>
      <c r="E56" s="32">
        <v>31357.119999999999</v>
      </c>
      <c r="F56" s="72"/>
      <c r="G56" s="31">
        <v>52</v>
      </c>
      <c r="H56" s="73">
        <v>46848.59</v>
      </c>
      <c r="I56" s="73">
        <v>55994.86</v>
      </c>
      <c r="AH56" s="386"/>
      <c r="AN56" s="40">
        <v>52</v>
      </c>
      <c r="AO56" s="46">
        <v>1.8750244230586313E-2</v>
      </c>
      <c r="AQ56" s="40" t="s">
        <v>282</v>
      </c>
      <c r="AR56" s="40">
        <v>5</v>
      </c>
      <c r="AS56" s="49">
        <f t="shared" si="87"/>
        <v>9.0999999999999998E-2</v>
      </c>
      <c r="AY56" s="40" t="s">
        <v>282</v>
      </c>
      <c r="AZ56" s="324">
        <v>3</v>
      </c>
      <c r="BA56" s="325">
        <v>0.76854999999999996</v>
      </c>
      <c r="BJ56" s="386"/>
      <c r="BQ56">
        <v>50</v>
      </c>
      <c r="BR56" s="26" t="e">
        <f t="shared" si="37"/>
        <v>#N/A</v>
      </c>
      <c r="BS56" s="26" t="e">
        <f t="shared" si="38"/>
        <v>#N/A</v>
      </c>
      <c r="BT56" s="26"/>
      <c r="BU56" s="29">
        <v>50</v>
      </c>
      <c r="BV56" s="26" t="e">
        <f t="shared" si="51"/>
        <v>#N/A</v>
      </c>
      <c r="BW56" s="26" t="e">
        <f t="shared" si="52"/>
        <v>#N/A</v>
      </c>
      <c r="BY56" s="29">
        <v>50</v>
      </c>
      <c r="BZ56" s="26" t="e">
        <f t="shared" si="39"/>
        <v>#N/A</v>
      </c>
      <c r="CA56" s="26" t="e">
        <f t="shared" si="40"/>
        <v>#N/A</v>
      </c>
      <c r="CC56" s="29">
        <v>50</v>
      </c>
      <c r="CD56" s="26" t="e">
        <f t="shared" si="41"/>
        <v>#N/A</v>
      </c>
      <c r="CE56" s="26" t="e">
        <f t="shared" si="42"/>
        <v>#N/A</v>
      </c>
      <c r="CG56">
        <v>50</v>
      </c>
      <c r="CH56" s="24" t="e">
        <f t="shared" si="53"/>
        <v>#N/A</v>
      </c>
      <c r="CI56" s="24" t="e">
        <f t="shared" si="54"/>
        <v>#N/A</v>
      </c>
      <c r="CJ56" s="27">
        <f t="shared" si="55"/>
        <v>0</v>
      </c>
      <c r="CK56" s="27">
        <f t="shared" si="56"/>
        <v>0</v>
      </c>
      <c r="CL56" s="26">
        <f t="shared" si="57"/>
        <v>0</v>
      </c>
      <c r="CM56" s="26">
        <f t="shared" si="58"/>
        <v>0</v>
      </c>
      <c r="CN56" s="27">
        <f t="shared" si="59"/>
        <v>0</v>
      </c>
      <c r="CO56" s="27">
        <f t="shared" si="60"/>
        <v>0</v>
      </c>
      <c r="CP56" s="27">
        <f t="shared" si="61"/>
        <v>0</v>
      </c>
      <c r="CQ56" s="27">
        <f t="shared" si="62"/>
        <v>0</v>
      </c>
      <c r="CR56" s="24">
        <f t="shared" si="63"/>
        <v>0</v>
      </c>
      <c r="CS56" s="24">
        <f t="shared" si="64"/>
        <v>0</v>
      </c>
      <c r="CT56">
        <v>0</v>
      </c>
      <c r="CU56" s="24">
        <f t="shared" si="88"/>
        <v>0</v>
      </c>
      <c r="CV56" s="27">
        <f t="shared" si="65"/>
        <v>0</v>
      </c>
      <c r="CW56" s="27">
        <f t="shared" si="66"/>
        <v>0</v>
      </c>
      <c r="CX56" s="27">
        <f t="shared" si="67"/>
        <v>0</v>
      </c>
      <c r="CY56" s="27">
        <f t="shared" si="68"/>
        <v>0</v>
      </c>
      <c r="CZ56" s="24">
        <f t="shared" si="69"/>
        <v>0</v>
      </c>
      <c r="DA56" s="24">
        <f t="shared" si="70"/>
        <v>0</v>
      </c>
      <c r="DB56" s="27">
        <f t="shared" si="71"/>
        <v>0</v>
      </c>
      <c r="DC56" s="27">
        <f t="shared" si="72"/>
        <v>0</v>
      </c>
      <c r="DD56" s="27">
        <f t="shared" si="73"/>
        <v>0</v>
      </c>
      <c r="DE56" s="27">
        <f t="shared" si="74"/>
        <v>0</v>
      </c>
      <c r="DF56" s="24">
        <f t="shared" si="75"/>
        <v>0</v>
      </c>
      <c r="DG56" s="24">
        <f t="shared" si="76"/>
        <v>0</v>
      </c>
      <c r="DH56" s="24">
        <f t="shared" si="77"/>
        <v>0</v>
      </c>
      <c r="DI56" s="24">
        <f t="shared" si="78"/>
        <v>0</v>
      </c>
      <c r="DJ56" s="26">
        <f t="shared" ref="DJ56:DJ87" si="89">ROUND(IF($DK$1=1,(($DK$2/1000)*BF36)/(1-$L$7),0),4)</f>
        <v>0</v>
      </c>
      <c r="DK56" s="26">
        <f t="shared" ref="DK56:DK87" si="90">ROUND(IF($DK$1=1,(($DK$2/1000)*BG36)/(1-$L$7),0),4)</f>
        <v>0</v>
      </c>
      <c r="DP56" s="27"/>
      <c r="DQ56" s="27"/>
      <c r="DR56" s="27">
        <f t="shared" si="79"/>
        <v>0</v>
      </c>
      <c r="DS56" s="27">
        <f t="shared" si="80"/>
        <v>0</v>
      </c>
      <c r="DT56" s="27">
        <f t="shared" si="81"/>
        <v>0</v>
      </c>
      <c r="DU56" s="27">
        <f t="shared" si="82"/>
        <v>0</v>
      </c>
      <c r="DV56" s="27">
        <f t="shared" si="44"/>
        <v>0</v>
      </c>
      <c r="DW56" s="27">
        <f t="shared" si="45"/>
        <v>0</v>
      </c>
      <c r="DX56" s="27">
        <f t="shared" si="83"/>
        <v>0</v>
      </c>
      <c r="DY56" s="27">
        <f t="shared" si="84"/>
        <v>0</v>
      </c>
      <c r="DZ56" s="27">
        <f t="shared" si="85"/>
        <v>0</v>
      </c>
      <c r="EA56" s="27">
        <f t="shared" si="86"/>
        <v>0</v>
      </c>
      <c r="EB56" s="27">
        <f t="shared" si="46"/>
        <v>0</v>
      </c>
      <c r="EC56" s="27">
        <f t="shared" si="47"/>
        <v>0</v>
      </c>
    </row>
    <row r="57" spans="1:133" x14ac:dyDescent="0.35">
      <c r="A57" s="385"/>
      <c r="C57" s="31">
        <v>53</v>
      </c>
      <c r="D57" s="32">
        <v>28192.85</v>
      </c>
      <c r="E57" s="32">
        <v>33432.480000000003</v>
      </c>
      <c r="F57" s="72"/>
      <c r="G57" s="31">
        <v>53</v>
      </c>
      <c r="H57" s="73">
        <v>50344.38</v>
      </c>
      <c r="I57" s="73">
        <v>59700.86</v>
      </c>
      <c r="AH57" s="386"/>
      <c r="AN57" s="40">
        <v>53</v>
      </c>
      <c r="AO57" s="46">
        <v>1.8750244230586313E-2</v>
      </c>
      <c r="AQ57" s="40" t="s">
        <v>283</v>
      </c>
      <c r="AR57" s="40">
        <v>3</v>
      </c>
      <c r="AS57" s="49">
        <f t="shared" si="87"/>
        <v>0.111</v>
      </c>
      <c r="AY57" s="40" t="s">
        <v>283</v>
      </c>
      <c r="AZ57" s="40">
        <v>3</v>
      </c>
      <c r="BA57" s="41">
        <v>0.76854999999999996</v>
      </c>
      <c r="BJ57" s="386"/>
      <c r="BQ57">
        <v>51</v>
      </c>
      <c r="BR57" s="26" t="e">
        <f t="shared" si="37"/>
        <v>#N/A</v>
      </c>
      <c r="BS57" s="26" t="e">
        <f t="shared" si="38"/>
        <v>#N/A</v>
      </c>
      <c r="BT57" s="26"/>
      <c r="BU57" s="29">
        <v>51</v>
      </c>
      <c r="BV57" s="26" t="e">
        <f t="shared" si="51"/>
        <v>#N/A</v>
      </c>
      <c r="BW57" s="26" t="e">
        <f t="shared" si="52"/>
        <v>#N/A</v>
      </c>
      <c r="BY57" s="29">
        <v>51</v>
      </c>
      <c r="BZ57" s="26" t="e">
        <f t="shared" si="39"/>
        <v>#N/A</v>
      </c>
      <c r="CA57" s="26" t="e">
        <f t="shared" si="40"/>
        <v>#N/A</v>
      </c>
      <c r="CC57" s="29">
        <v>51</v>
      </c>
      <c r="CD57" s="26" t="e">
        <f t="shared" si="41"/>
        <v>#N/A</v>
      </c>
      <c r="CE57" s="26" t="e">
        <f t="shared" si="42"/>
        <v>#N/A</v>
      </c>
      <c r="CG57">
        <v>51</v>
      </c>
      <c r="CH57" s="24" t="e">
        <f t="shared" si="53"/>
        <v>#N/A</v>
      </c>
      <c r="CI57" s="24" t="e">
        <f t="shared" si="54"/>
        <v>#N/A</v>
      </c>
      <c r="CJ57" s="27">
        <f t="shared" si="55"/>
        <v>0</v>
      </c>
      <c r="CK57" s="27">
        <f t="shared" si="56"/>
        <v>0</v>
      </c>
      <c r="CL57" s="26">
        <f t="shared" si="57"/>
        <v>0</v>
      </c>
      <c r="CM57" s="26">
        <f t="shared" si="58"/>
        <v>0</v>
      </c>
      <c r="CN57" s="27">
        <f t="shared" si="59"/>
        <v>0</v>
      </c>
      <c r="CO57" s="27">
        <f t="shared" si="60"/>
        <v>0</v>
      </c>
      <c r="CP57" s="27">
        <f t="shared" si="61"/>
        <v>0</v>
      </c>
      <c r="CQ57" s="27">
        <f t="shared" si="62"/>
        <v>0</v>
      </c>
      <c r="CR57" s="24">
        <f t="shared" si="63"/>
        <v>0</v>
      </c>
      <c r="CS57" s="24">
        <f t="shared" si="64"/>
        <v>0</v>
      </c>
      <c r="CT57">
        <v>0</v>
      </c>
      <c r="CU57" s="24">
        <f t="shared" si="88"/>
        <v>0</v>
      </c>
      <c r="CV57" s="27">
        <f t="shared" si="65"/>
        <v>0</v>
      </c>
      <c r="CW57" s="27">
        <f t="shared" si="66"/>
        <v>0</v>
      </c>
      <c r="CX57" s="27">
        <f t="shared" si="67"/>
        <v>0</v>
      </c>
      <c r="CY57" s="27">
        <f t="shared" si="68"/>
        <v>0</v>
      </c>
      <c r="CZ57" s="24">
        <f t="shared" si="69"/>
        <v>0</v>
      </c>
      <c r="DA57" s="24">
        <f t="shared" si="70"/>
        <v>0</v>
      </c>
      <c r="DB57" s="27">
        <f t="shared" si="71"/>
        <v>0</v>
      </c>
      <c r="DC57" s="27">
        <f t="shared" si="72"/>
        <v>0</v>
      </c>
      <c r="DD57" s="27">
        <f t="shared" si="73"/>
        <v>0</v>
      </c>
      <c r="DE57" s="27">
        <f t="shared" si="74"/>
        <v>0</v>
      </c>
      <c r="DF57" s="24">
        <f t="shared" si="75"/>
        <v>0</v>
      </c>
      <c r="DG57" s="24">
        <f t="shared" si="76"/>
        <v>0</v>
      </c>
      <c r="DH57" s="24">
        <f t="shared" si="77"/>
        <v>0</v>
      </c>
      <c r="DI57" s="24">
        <f t="shared" si="78"/>
        <v>0</v>
      </c>
      <c r="DJ57" s="26">
        <f t="shared" si="89"/>
        <v>0</v>
      </c>
      <c r="DK57" s="26">
        <f t="shared" si="90"/>
        <v>0</v>
      </c>
      <c r="DP57" s="27"/>
      <c r="DQ57" s="27"/>
      <c r="DR57" s="27">
        <f t="shared" si="79"/>
        <v>0</v>
      </c>
      <c r="DS57" s="27">
        <f t="shared" si="80"/>
        <v>0</v>
      </c>
      <c r="DT57" s="27">
        <f t="shared" si="81"/>
        <v>0</v>
      </c>
      <c r="DU57" s="27">
        <f t="shared" si="82"/>
        <v>0</v>
      </c>
      <c r="DV57" s="27">
        <f t="shared" si="44"/>
        <v>0</v>
      </c>
      <c r="DW57" s="27">
        <f t="shared" si="45"/>
        <v>0</v>
      </c>
      <c r="DX57" s="27">
        <f t="shared" si="83"/>
        <v>0</v>
      </c>
      <c r="DY57" s="27">
        <f t="shared" si="84"/>
        <v>0</v>
      </c>
      <c r="DZ57" s="27">
        <f t="shared" si="85"/>
        <v>0</v>
      </c>
      <c r="EA57" s="27">
        <f t="shared" si="86"/>
        <v>0</v>
      </c>
      <c r="EB57" s="27">
        <f t="shared" si="46"/>
        <v>0</v>
      </c>
      <c r="EC57" s="27">
        <f t="shared" si="47"/>
        <v>0</v>
      </c>
    </row>
    <row r="58" spans="1:133" x14ac:dyDescent="0.35">
      <c r="A58" s="385"/>
      <c r="C58" s="31">
        <v>54</v>
      </c>
      <c r="D58" s="32">
        <v>30320.53</v>
      </c>
      <c r="E58" s="32">
        <v>35654.99</v>
      </c>
      <c r="F58" s="72"/>
      <c r="G58" s="31">
        <v>54</v>
      </c>
      <c r="H58" s="73">
        <v>54143.8</v>
      </c>
      <c r="I58" s="73">
        <v>63669.63</v>
      </c>
      <c r="AH58" s="386"/>
      <c r="AN58" s="40">
        <v>54</v>
      </c>
      <c r="AO58" s="46">
        <v>1.8750244230586313E-2</v>
      </c>
      <c r="AQ58" s="40" t="s">
        <v>26</v>
      </c>
      <c r="AR58" s="40">
        <v>3</v>
      </c>
      <c r="AS58" s="49">
        <f t="shared" si="87"/>
        <v>0.111</v>
      </c>
      <c r="AY58" s="40" t="s">
        <v>26</v>
      </c>
      <c r="AZ58" s="40">
        <v>3</v>
      </c>
      <c r="BA58" s="41">
        <v>0.76854999999999996</v>
      </c>
      <c r="BJ58" s="386"/>
      <c r="BQ58">
        <v>52</v>
      </c>
      <c r="BR58" s="26" t="e">
        <f t="shared" si="37"/>
        <v>#N/A</v>
      </c>
      <c r="BS58" s="26" t="e">
        <f t="shared" si="38"/>
        <v>#N/A</v>
      </c>
      <c r="BT58" s="26"/>
      <c r="BU58" s="29">
        <v>52</v>
      </c>
      <c r="BV58" s="26" t="e">
        <f t="shared" si="51"/>
        <v>#N/A</v>
      </c>
      <c r="BW58" s="26" t="e">
        <f t="shared" si="52"/>
        <v>#N/A</v>
      </c>
      <c r="BY58" s="29">
        <v>52</v>
      </c>
      <c r="BZ58" s="26" t="e">
        <f t="shared" si="39"/>
        <v>#N/A</v>
      </c>
      <c r="CA58" s="26" t="e">
        <f t="shared" si="40"/>
        <v>#N/A</v>
      </c>
      <c r="CC58" s="29">
        <v>52</v>
      </c>
      <c r="CD58" s="26" t="e">
        <f t="shared" si="41"/>
        <v>#N/A</v>
      </c>
      <c r="CE58" s="26" t="e">
        <f t="shared" si="42"/>
        <v>#N/A</v>
      </c>
      <c r="CG58">
        <v>52</v>
      </c>
      <c r="CH58" s="24" t="e">
        <f t="shared" si="53"/>
        <v>#N/A</v>
      </c>
      <c r="CI58" s="24" t="e">
        <f t="shared" si="54"/>
        <v>#N/A</v>
      </c>
      <c r="CJ58" s="27">
        <f t="shared" si="55"/>
        <v>0</v>
      </c>
      <c r="CK58" s="27">
        <f t="shared" si="56"/>
        <v>0</v>
      </c>
      <c r="CL58" s="26">
        <f t="shared" si="57"/>
        <v>0</v>
      </c>
      <c r="CM58" s="26">
        <f t="shared" si="58"/>
        <v>0</v>
      </c>
      <c r="CN58" s="27">
        <f t="shared" si="59"/>
        <v>0</v>
      </c>
      <c r="CO58" s="27">
        <f t="shared" si="60"/>
        <v>0</v>
      </c>
      <c r="CP58" s="27">
        <f t="shared" si="61"/>
        <v>0</v>
      </c>
      <c r="CQ58" s="27">
        <f t="shared" si="62"/>
        <v>0</v>
      </c>
      <c r="CR58" s="24">
        <f t="shared" si="63"/>
        <v>0</v>
      </c>
      <c r="CS58" s="24">
        <f t="shared" si="64"/>
        <v>0</v>
      </c>
      <c r="CT58">
        <v>0</v>
      </c>
      <c r="CU58" s="24">
        <f t="shared" si="88"/>
        <v>0</v>
      </c>
      <c r="CV58" s="27">
        <f t="shared" si="65"/>
        <v>0</v>
      </c>
      <c r="CW58" s="27">
        <f t="shared" si="66"/>
        <v>0</v>
      </c>
      <c r="CX58" s="27">
        <f t="shared" si="67"/>
        <v>0</v>
      </c>
      <c r="CY58" s="27">
        <f t="shared" si="68"/>
        <v>0</v>
      </c>
      <c r="CZ58" s="24">
        <f t="shared" si="69"/>
        <v>0</v>
      </c>
      <c r="DA58" s="24">
        <f t="shared" si="70"/>
        <v>0</v>
      </c>
      <c r="DB58" s="27">
        <f t="shared" si="71"/>
        <v>0</v>
      </c>
      <c r="DC58" s="27">
        <f t="shared" si="72"/>
        <v>0</v>
      </c>
      <c r="DD58" s="27">
        <f t="shared" si="73"/>
        <v>0</v>
      </c>
      <c r="DE58" s="27">
        <f t="shared" si="74"/>
        <v>0</v>
      </c>
      <c r="DF58" s="24">
        <f t="shared" si="75"/>
        <v>0</v>
      </c>
      <c r="DG58" s="24">
        <f t="shared" si="76"/>
        <v>0</v>
      </c>
      <c r="DH58" s="24">
        <f t="shared" si="77"/>
        <v>0</v>
      </c>
      <c r="DI58" s="24">
        <f t="shared" si="78"/>
        <v>0</v>
      </c>
      <c r="DJ58" s="26">
        <f t="shared" si="89"/>
        <v>0</v>
      </c>
      <c r="DK58" s="26">
        <f t="shared" si="90"/>
        <v>0</v>
      </c>
      <c r="DP58" s="27"/>
      <c r="DQ58" s="27"/>
      <c r="DR58" s="27">
        <f t="shared" si="79"/>
        <v>0</v>
      </c>
      <c r="DS58" s="27">
        <f t="shared" si="80"/>
        <v>0</v>
      </c>
      <c r="DT58" s="27">
        <f t="shared" si="81"/>
        <v>0</v>
      </c>
      <c r="DU58" s="27">
        <f t="shared" si="82"/>
        <v>0</v>
      </c>
      <c r="DV58" s="27">
        <f t="shared" si="44"/>
        <v>0</v>
      </c>
      <c r="DW58" s="27">
        <f t="shared" si="45"/>
        <v>0</v>
      </c>
      <c r="DX58" s="27">
        <f t="shared" si="83"/>
        <v>0</v>
      </c>
      <c r="DY58" s="27">
        <f t="shared" si="84"/>
        <v>0</v>
      </c>
      <c r="DZ58" s="27">
        <f t="shared" si="85"/>
        <v>0</v>
      </c>
      <c r="EA58" s="27">
        <f t="shared" si="86"/>
        <v>0</v>
      </c>
      <c r="EB58" s="27">
        <f t="shared" si="46"/>
        <v>0</v>
      </c>
      <c r="EC58" s="27">
        <f t="shared" si="47"/>
        <v>0</v>
      </c>
    </row>
    <row r="59" spans="1:133" x14ac:dyDescent="0.35">
      <c r="A59" s="385"/>
      <c r="C59" s="31">
        <v>55</v>
      </c>
      <c r="D59" s="32">
        <v>32631.33</v>
      </c>
      <c r="E59" s="32">
        <v>38035.550000000003</v>
      </c>
      <c r="F59" s="72"/>
      <c r="G59" s="31">
        <v>55</v>
      </c>
      <c r="H59" s="73">
        <v>58270.23</v>
      </c>
      <c r="I59" s="73">
        <v>67920.63</v>
      </c>
      <c r="AH59" s="386"/>
      <c r="AN59" s="40">
        <v>55</v>
      </c>
      <c r="AO59" s="46">
        <v>1.8750244230586313E-2</v>
      </c>
      <c r="AQ59" s="40" t="s">
        <v>244</v>
      </c>
      <c r="AR59" s="40">
        <v>3</v>
      </c>
      <c r="AS59" s="49">
        <f t="shared" si="87"/>
        <v>0.111</v>
      </c>
      <c r="AY59" s="40" t="s">
        <v>244</v>
      </c>
      <c r="AZ59" s="40">
        <v>3</v>
      </c>
      <c r="BA59" s="41">
        <v>0.76854999999999996</v>
      </c>
      <c r="BJ59" s="386"/>
      <c r="BQ59">
        <v>53</v>
      </c>
      <c r="BR59" s="26" t="e">
        <f t="shared" si="37"/>
        <v>#N/A</v>
      </c>
      <c r="BS59" s="26" t="e">
        <f t="shared" si="38"/>
        <v>#N/A</v>
      </c>
      <c r="BT59" s="26"/>
      <c r="BU59" s="29">
        <v>53</v>
      </c>
      <c r="BV59" s="26" t="e">
        <f t="shared" si="51"/>
        <v>#N/A</v>
      </c>
      <c r="BW59" s="26" t="e">
        <f t="shared" si="52"/>
        <v>#N/A</v>
      </c>
      <c r="BY59" s="29">
        <v>53</v>
      </c>
      <c r="BZ59" s="26" t="e">
        <f t="shared" si="39"/>
        <v>#N/A</v>
      </c>
      <c r="CA59" s="26" t="e">
        <f t="shared" si="40"/>
        <v>#N/A</v>
      </c>
      <c r="CC59" s="29">
        <v>53</v>
      </c>
      <c r="CD59" s="26" t="e">
        <f t="shared" si="41"/>
        <v>#N/A</v>
      </c>
      <c r="CE59" s="26" t="e">
        <f t="shared" si="42"/>
        <v>#N/A</v>
      </c>
      <c r="CG59">
        <v>53</v>
      </c>
      <c r="CH59" s="24" t="e">
        <f t="shared" si="53"/>
        <v>#N/A</v>
      </c>
      <c r="CI59" s="24" t="e">
        <f t="shared" si="54"/>
        <v>#N/A</v>
      </c>
      <c r="CJ59" s="27">
        <f t="shared" si="55"/>
        <v>0</v>
      </c>
      <c r="CK59" s="27">
        <f t="shared" si="56"/>
        <v>0</v>
      </c>
      <c r="CL59" s="26">
        <f t="shared" si="57"/>
        <v>0</v>
      </c>
      <c r="CM59" s="26">
        <f t="shared" si="58"/>
        <v>0</v>
      </c>
      <c r="CN59" s="27">
        <f t="shared" si="59"/>
        <v>0</v>
      </c>
      <c r="CO59" s="27">
        <f t="shared" si="60"/>
        <v>0</v>
      </c>
      <c r="CP59" s="27">
        <f t="shared" si="61"/>
        <v>0</v>
      </c>
      <c r="CQ59" s="27">
        <f t="shared" si="62"/>
        <v>0</v>
      </c>
      <c r="CR59" s="24">
        <f t="shared" si="63"/>
        <v>0</v>
      </c>
      <c r="CS59" s="24">
        <f t="shared" si="64"/>
        <v>0</v>
      </c>
      <c r="CT59">
        <v>0</v>
      </c>
      <c r="CU59" s="24">
        <f t="shared" si="88"/>
        <v>0</v>
      </c>
      <c r="CV59" s="27">
        <f t="shared" si="65"/>
        <v>0</v>
      </c>
      <c r="CW59" s="27">
        <f t="shared" si="66"/>
        <v>0</v>
      </c>
      <c r="CX59" s="27">
        <f t="shared" si="67"/>
        <v>0</v>
      </c>
      <c r="CY59" s="27">
        <f t="shared" si="68"/>
        <v>0</v>
      </c>
      <c r="CZ59" s="24">
        <f t="shared" si="69"/>
        <v>0</v>
      </c>
      <c r="DA59" s="24">
        <f t="shared" si="70"/>
        <v>0</v>
      </c>
      <c r="DB59" s="27">
        <f t="shared" si="71"/>
        <v>0</v>
      </c>
      <c r="DC59" s="27">
        <f t="shared" si="72"/>
        <v>0</v>
      </c>
      <c r="DD59" s="27">
        <f t="shared" si="73"/>
        <v>0</v>
      </c>
      <c r="DE59" s="27">
        <f t="shared" si="74"/>
        <v>0</v>
      </c>
      <c r="DF59" s="24">
        <f t="shared" si="75"/>
        <v>0</v>
      </c>
      <c r="DG59" s="24">
        <f t="shared" si="76"/>
        <v>0</v>
      </c>
      <c r="DH59" s="24">
        <f t="shared" si="77"/>
        <v>0</v>
      </c>
      <c r="DI59" s="24">
        <f t="shared" si="78"/>
        <v>0</v>
      </c>
      <c r="DJ59" s="26">
        <f t="shared" si="89"/>
        <v>0</v>
      </c>
      <c r="DK59" s="26">
        <f t="shared" si="90"/>
        <v>0</v>
      </c>
      <c r="DP59" s="27"/>
      <c r="DQ59" s="27"/>
      <c r="DR59" s="27">
        <f t="shared" si="79"/>
        <v>0</v>
      </c>
      <c r="DS59" s="27">
        <f t="shared" si="80"/>
        <v>0</v>
      </c>
      <c r="DT59" s="27">
        <f t="shared" si="81"/>
        <v>0</v>
      </c>
      <c r="DU59" s="27">
        <f t="shared" si="82"/>
        <v>0</v>
      </c>
      <c r="DV59" s="27">
        <f t="shared" si="44"/>
        <v>0</v>
      </c>
      <c r="DW59" s="27">
        <f t="shared" si="45"/>
        <v>0</v>
      </c>
      <c r="DX59" s="27">
        <f t="shared" si="83"/>
        <v>0</v>
      </c>
      <c r="DY59" s="27">
        <f t="shared" si="84"/>
        <v>0</v>
      </c>
      <c r="DZ59" s="27">
        <f t="shared" si="85"/>
        <v>0</v>
      </c>
      <c r="EA59" s="27">
        <f t="shared" si="86"/>
        <v>0</v>
      </c>
      <c r="EB59" s="27">
        <f t="shared" si="46"/>
        <v>0</v>
      </c>
      <c r="EC59" s="27">
        <f t="shared" si="47"/>
        <v>0</v>
      </c>
    </row>
    <row r="60" spans="1:133" x14ac:dyDescent="0.35">
      <c r="A60" s="385"/>
      <c r="C60" s="31">
        <v>56</v>
      </c>
      <c r="D60" s="32">
        <v>35137.24</v>
      </c>
      <c r="E60" s="32">
        <v>40578.519999999997</v>
      </c>
      <c r="F60" s="72"/>
      <c r="G60" s="31">
        <v>56</v>
      </c>
      <c r="H60" s="73">
        <v>62745.07</v>
      </c>
      <c r="I60" s="73">
        <v>72461.64</v>
      </c>
      <c r="AH60" s="386"/>
      <c r="AN60" s="40">
        <v>56</v>
      </c>
      <c r="AO60" s="46">
        <v>1.8750244230586313E-2</v>
      </c>
      <c r="AQ60" s="40" t="s">
        <v>27</v>
      </c>
      <c r="AR60" s="324">
        <v>1</v>
      </c>
      <c r="AS60" s="49">
        <f t="shared" si="87"/>
        <v>0.23599999999999999</v>
      </c>
      <c r="AY60" s="40" t="s">
        <v>27</v>
      </c>
      <c r="AZ60" s="40">
        <v>3</v>
      </c>
      <c r="BA60" s="41">
        <v>0.76854999999999996</v>
      </c>
      <c r="BJ60" s="386"/>
      <c r="BQ60">
        <v>54</v>
      </c>
      <c r="BR60" s="26" t="e">
        <f t="shared" si="37"/>
        <v>#N/A</v>
      </c>
      <c r="BS60" s="26" t="e">
        <f t="shared" si="38"/>
        <v>#N/A</v>
      </c>
      <c r="BT60" s="26"/>
      <c r="BU60" s="29">
        <v>54</v>
      </c>
      <c r="BV60" s="26" t="e">
        <f t="shared" si="51"/>
        <v>#N/A</v>
      </c>
      <c r="BW60" s="26" t="e">
        <f t="shared" si="52"/>
        <v>#N/A</v>
      </c>
      <c r="BY60" s="29">
        <v>54</v>
      </c>
      <c r="BZ60" s="26" t="e">
        <f t="shared" si="39"/>
        <v>#N/A</v>
      </c>
      <c r="CA60" s="26" t="e">
        <f t="shared" si="40"/>
        <v>#N/A</v>
      </c>
      <c r="CC60" s="29">
        <v>54</v>
      </c>
      <c r="CD60" s="26" t="e">
        <f t="shared" si="41"/>
        <v>#N/A</v>
      </c>
      <c r="CE60" s="26" t="e">
        <f t="shared" si="42"/>
        <v>#N/A</v>
      </c>
      <c r="CG60">
        <v>54</v>
      </c>
      <c r="CH60" s="24" t="e">
        <f t="shared" si="53"/>
        <v>#N/A</v>
      </c>
      <c r="CI60" s="24" t="e">
        <f t="shared" si="54"/>
        <v>#N/A</v>
      </c>
      <c r="CJ60" s="27">
        <f t="shared" si="55"/>
        <v>0</v>
      </c>
      <c r="CK60" s="27">
        <f t="shared" si="56"/>
        <v>0</v>
      </c>
      <c r="CL60" s="26">
        <f t="shared" si="57"/>
        <v>0</v>
      </c>
      <c r="CM60" s="26">
        <f t="shared" si="58"/>
        <v>0</v>
      </c>
      <c r="CN60" s="27">
        <f t="shared" si="59"/>
        <v>0</v>
      </c>
      <c r="CO60" s="27">
        <f t="shared" si="60"/>
        <v>0</v>
      </c>
      <c r="CP60" s="27">
        <f t="shared" si="61"/>
        <v>0</v>
      </c>
      <c r="CQ60" s="27">
        <f t="shared" si="62"/>
        <v>0</v>
      </c>
      <c r="CR60" s="24">
        <f t="shared" si="63"/>
        <v>0</v>
      </c>
      <c r="CS60" s="24">
        <f t="shared" si="64"/>
        <v>0</v>
      </c>
      <c r="CT60">
        <v>0</v>
      </c>
      <c r="CU60" s="24">
        <f t="shared" si="88"/>
        <v>0</v>
      </c>
      <c r="CV60" s="27">
        <f t="shared" si="65"/>
        <v>0</v>
      </c>
      <c r="CW60" s="27">
        <f t="shared" si="66"/>
        <v>0</v>
      </c>
      <c r="CX60" s="27">
        <f t="shared" si="67"/>
        <v>0</v>
      </c>
      <c r="CY60" s="27">
        <f t="shared" si="68"/>
        <v>0</v>
      </c>
      <c r="CZ60" s="24">
        <f t="shared" si="69"/>
        <v>0</v>
      </c>
      <c r="DA60" s="24">
        <f t="shared" si="70"/>
        <v>0</v>
      </c>
      <c r="DB60" s="27">
        <f t="shared" si="71"/>
        <v>0</v>
      </c>
      <c r="DC60" s="27">
        <f t="shared" si="72"/>
        <v>0</v>
      </c>
      <c r="DD60" s="27">
        <f t="shared" si="73"/>
        <v>0</v>
      </c>
      <c r="DE60" s="27">
        <f t="shared" si="74"/>
        <v>0</v>
      </c>
      <c r="DF60" s="24">
        <f t="shared" si="75"/>
        <v>0</v>
      </c>
      <c r="DG60" s="24">
        <f t="shared" si="76"/>
        <v>0</v>
      </c>
      <c r="DH60" s="24">
        <f t="shared" si="77"/>
        <v>0</v>
      </c>
      <c r="DI60" s="24">
        <f t="shared" si="78"/>
        <v>0</v>
      </c>
      <c r="DJ60" s="26">
        <f t="shared" si="89"/>
        <v>0</v>
      </c>
      <c r="DK60" s="26">
        <f t="shared" si="90"/>
        <v>0</v>
      </c>
      <c r="DP60" s="27"/>
      <c r="DQ60" s="27"/>
      <c r="DR60" s="27">
        <f t="shared" si="79"/>
        <v>0</v>
      </c>
      <c r="DS60" s="27">
        <f t="shared" si="80"/>
        <v>0</v>
      </c>
      <c r="DT60" s="27">
        <f t="shared" si="81"/>
        <v>0</v>
      </c>
      <c r="DU60" s="27">
        <f t="shared" si="82"/>
        <v>0</v>
      </c>
      <c r="DV60" s="27">
        <f t="shared" si="44"/>
        <v>0</v>
      </c>
      <c r="DW60" s="27">
        <f t="shared" si="45"/>
        <v>0</v>
      </c>
      <c r="DX60" s="27">
        <f t="shared" si="83"/>
        <v>0</v>
      </c>
      <c r="DY60" s="27">
        <f t="shared" si="84"/>
        <v>0</v>
      </c>
      <c r="DZ60" s="27">
        <f t="shared" si="85"/>
        <v>0</v>
      </c>
      <c r="EA60" s="27">
        <f t="shared" si="86"/>
        <v>0</v>
      </c>
      <c r="EB60" s="27">
        <f t="shared" si="46"/>
        <v>0</v>
      </c>
      <c r="EC60" s="27">
        <f t="shared" si="47"/>
        <v>0</v>
      </c>
    </row>
    <row r="61" spans="1:133" x14ac:dyDescent="0.35">
      <c r="A61" s="385"/>
      <c r="C61" s="31">
        <v>57</v>
      </c>
      <c r="D61" s="32">
        <v>37851.339999999997</v>
      </c>
      <c r="E61" s="32">
        <v>43295.89</v>
      </c>
      <c r="F61" s="72"/>
      <c r="G61" s="31">
        <v>57</v>
      </c>
      <c r="H61" s="73">
        <v>67591.679999999993</v>
      </c>
      <c r="I61" s="73">
        <v>77314.09</v>
      </c>
      <c r="AH61" s="386"/>
      <c r="AN61" s="40">
        <v>57</v>
      </c>
      <c r="AO61" s="46">
        <v>1.8750244230586313E-2</v>
      </c>
      <c r="AQ61" s="40" t="s">
        <v>28</v>
      </c>
      <c r="AR61" s="40">
        <v>7</v>
      </c>
      <c r="AS61" s="49">
        <f t="shared" si="87"/>
        <v>4.2000000000000003E-2</v>
      </c>
      <c r="AY61" s="40" t="s">
        <v>28</v>
      </c>
      <c r="AZ61" s="40">
        <v>7</v>
      </c>
      <c r="BA61" s="41">
        <v>1.14819</v>
      </c>
      <c r="BJ61" s="386"/>
      <c r="BQ61">
        <v>55</v>
      </c>
      <c r="BR61" s="26" t="e">
        <f t="shared" si="37"/>
        <v>#N/A</v>
      </c>
      <c r="BS61" s="26" t="e">
        <f t="shared" si="38"/>
        <v>#N/A</v>
      </c>
      <c r="BT61" s="26"/>
      <c r="BU61" s="29">
        <v>55</v>
      </c>
      <c r="BV61" s="26" t="e">
        <f t="shared" si="51"/>
        <v>#N/A</v>
      </c>
      <c r="BW61" s="26" t="e">
        <f t="shared" si="52"/>
        <v>#N/A</v>
      </c>
      <c r="BY61" s="29">
        <v>55</v>
      </c>
      <c r="BZ61" s="26" t="e">
        <f t="shared" si="39"/>
        <v>#N/A</v>
      </c>
      <c r="CA61" s="26" t="e">
        <f t="shared" si="40"/>
        <v>#N/A</v>
      </c>
      <c r="CC61" s="29">
        <v>55</v>
      </c>
      <c r="CD61" s="26" t="e">
        <f t="shared" si="41"/>
        <v>#N/A</v>
      </c>
      <c r="CE61" s="26" t="e">
        <f t="shared" si="42"/>
        <v>#N/A</v>
      </c>
      <c r="CG61">
        <v>55</v>
      </c>
      <c r="CH61" s="24" t="e">
        <f t="shared" si="53"/>
        <v>#N/A</v>
      </c>
      <c r="CI61" s="24" t="e">
        <f t="shared" si="54"/>
        <v>#N/A</v>
      </c>
      <c r="CJ61" s="27">
        <f t="shared" si="55"/>
        <v>0</v>
      </c>
      <c r="CK61" s="27">
        <f t="shared" si="56"/>
        <v>0</v>
      </c>
      <c r="CL61" s="26">
        <f t="shared" si="57"/>
        <v>0</v>
      </c>
      <c r="CM61" s="26">
        <f t="shared" si="58"/>
        <v>0</v>
      </c>
      <c r="CN61" s="27">
        <f t="shared" si="59"/>
        <v>0</v>
      </c>
      <c r="CO61" s="27">
        <f t="shared" si="60"/>
        <v>0</v>
      </c>
      <c r="CP61" s="27">
        <f t="shared" si="61"/>
        <v>0</v>
      </c>
      <c r="CQ61" s="27">
        <f t="shared" si="62"/>
        <v>0</v>
      </c>
      <c r="CR61" s="24">
        <f t="shared" si="63"/>
        <v>0</v>
      </c>
      <c r="CS61" s="24">
        <f t="shared" si="64"/>
        <v>0</v>
      </c>
      <c r="CT61">
        <v>0</v>
      </c>
      <c r="CU61" s="24">
        <f t="shared" si="88"/>
        <v>0</v>
      </c>
      <c r="CV61" s="27">
        <f t="shared" si="65"/>
        <v>0</v>
      </c>
      <c r="CW61" s="27">
        <f t="shared" si="66"/>
        <v>0</v>
      </c>
      <c r="CX61" s="27">
        <f t="shared" si="67"/>
        <v>0</v>
      </c>
      <c r="CY61" s="27">
        <f t="shared" si="68"/>
        <v>0</v>
      </c>
      <c r="CZ61" s="24">
        <f t="shared" si="69"/>
        <v>0</v>
      </c>
      <c r="DA61" s="24">
        <f t="shared" si="70"/>
        <v>0</v>
      </c>
      <c r="DB61" s="27">
        <f t="shared" si="71"/>
        <v>0</v>
      </c>
      <c r="DC61" s="27">
        <f t="shared" si="72"/>
        <v>0</v>
      </c>
      <c r="DD61" s="27">
        <f t="shared" si="73"/>
        <v>0</v>
      </c>
      <c r="DE61" s="27">
        <f t="shared" si="74"/>
        <v>0</v>
      </c>
      <c r="DF61" s="24">
        <f t="shared" si="75"/>
        <v>0</v>
      </c>
      <c r="DG61" s="24">
        <f t="shared" si="76"/>
        <v>0</v>
      </c>
      <c r="DH61" s="24">
        <f t="shared" si="77"/>
        <v>0</v>
      </c>
      <c r="DI61" s="24">
        <f t="shared" si="78"/>
        <v>0</v>
      </c>
      <c r="DJ61" s="26">
        <f t="shared" si="89"/>
        <v>0</v>
      </c>
      <c r="DK61" s="26">
        <f t="shared" si="90"/>
        <v>0</v>
      </c>
      <c r="DP61" s="27"/>
      <c r="DQ61" s="27"/>
      <c r="DR61" s="27">
        <f t="shared" si="79"/>
        <v>0</v>
      </c>
      <c r="DS61" s="27">
        <f t="shared" si="80"/>
        <v>0</v>
      </c>
      <c r="DT61" s="27">
        <f t="shared" si="81"/>
        <v>0</v>
      </c>
      <c r="DU61" s="27">
        <f t="shared" si="82"/>
        <v>0</v>
      </c>
      <c r="DV61" s="27">
        <f t="shared" si="44"/>
        <v>0</v>
      </c>
      <c r="DW61" s="27">
        <f t="shared" si="45"/>
        <v>0</v>
      </c>
      <c r="DX61" s="27">
        <f t="shared" si="83"/>
        <v>0</v>
      </c>
      <c r="DY61" s="27">
        <f t="shared" si="84"/>
        <v>0</v>
      </c>
      <c r="DZ61" s="27">
        <f t="shared" si="85"/>
        <v>0</v>
      </c>
      <c r="EA61" s="27">
        <f t="shared" si="86"/>
        <v>0</v>
      </c>
      <c r="EB61" s="27">
        <f t="shared" si="46"/>
        <v>0</v>
      </c>
      <c r="EC61" s="27">
        <f t="shared" si="47"/>
        <v>0</v>
      </c>
    </row>
    <row r="62" spans="1:133" x14ac:dyDescent="0.35">
      <c r="A62" s="385"/>
      <c r="C62" s="31">
        <v>58</v>
      </c>
      <c r="D62" s="32">
        <v>40786.71</v>
      </c>
      <c r="E62" s="32">
        <v>46192.02</v>
      </c>
      <c r="F62" s="72"/>
      <c r="G62" s="31">
        <v>58</v>
      </c>
      <c r="H62" s="73">
        <v>72833.41</v>
      </c>
      <c r="I62" s="73">
        <v>82485.75</v>
      </c>
      <c r="AH62" s="386"/>
      <c r="AN62" s="40">
        <v>58</v>
      </c>
      <c r="AO62" s="46">
        <v>1.8750244230586313E-2</v>
      </c>
      <c r="AQ62" s="40" t="s">
        <v>29</v>
      </c>
      <c r="AR62" s="40">
        <v>2</v>
      </c>
      <c r="AS62" s="49">
        <f t="shared" si="87"/>
        <v>0.17299999999999999</v>
      </c>
      <c r="AY62" s="40" t="s">
        <v>29</v>
      </c>
      <c r="AZ62" s="40">
        <v>2</v>
      </c>
      <c r="BA62" s="41">
        <v>0.91635</v>
      </c>
      <c r="BJ62" s="386"/>
      <c r="BQ62">
        <v>56</v>
      </c>
      <c r="BR62" s="26" t="e">
        <f t="shared" si="37"/>
        <v>#N/A</v>
      </c>
      <c r="BS62" s="26" t="e">
        <f t="shared" si="38"/>
        <v>#N/A</v>
      </c>
      <c r="BT62" s="26"/>
      <c r="BU62" s="29">
        <v>56</v>
      </c>
      <c r="BV62" s="26" t="e">
        <f t="shared" si="51"/>
        <v>#N/A</v>
      </c>
      <c r="BW62" s="26" t="e">
        <f t="shared" si="52"/>
        <v>#N/A</v>
      </c>
      <c r="BY62" s="29">
        <v>56</v>
      </c>
      <c r="BZ62" s="26" t="e">
        <f t="shared" si="39"/>
        <v>#N/A</v>
      </c>
      <c r="CA62" s="26" t="e">
        <f t="shared" si="40"/>
        <v>#N/A</v>
      </c>
      <c r="CC62" s="29">
        <v>56</v>
      </c>
      <c r="CD62" s="26" t="e">
        <f t="shared" si="41"/>
        <v>#N/A</v>
      </c>
      <c r="CE62" s="26" t="e">
        <f t="shared" si="42"/>
        <v>#N/A</v>
      </c>
      <c r="CG62">
        <v>56</v>
      </c>
      <c r="CH62" s="24" t="e">
        <f t="shared" si="53"/>
        <v>#N/A</v>
      </c>
      <c r="CI62" s="24" t="e">
        <f t="shared" si="54"/>
        <v>#N/A</v>
      </c>
      <c r="CJ62" s="27">
        <f t="shared" si="55"/>
        <v>0</v>
      </c>
      <c r="CK62" s="27">
        <f t="shared" si="56"/>
        <v>0</v>
      </c>
      <c r="CL62" s="26">
        <f t="shared" si="57"/>
        <v>0</v>
      </c>
      <c r="CM62" s="26">
        <f t="shared" si="58"/>
        <v>0</v>
      </c>
      <c r="CN62" s="27">
        <f t="shared" si="59"/>
        <v>0</v>
      </c>
      <c r="CO62" s="27">
        <f t="shared" si="60"/>
        <v>0</v>
      </c>
      <c r="CP62" s="27">
        <f t="shared" si="61"/>
        <v>0</v>
      </c>
      <c r="CQ62" s="27">
        <f t="shared" si="62"/>
        <v>0</v>
      </c>
      <c r="CR62" s="24">
        <f t="shared" si="63"/>
        <v>0</v>
      </c>
      <c r="CS62" s="24">
        <f t="shared" si="64"/>
        <v>0</v>
      </c>
      <c r="CT62">
        <v>0</v>
      </c>
      <c r="CU62" s="24">
        <f t="shared" si="88"/>
        <v>0</v>
      </c>
      <c r="CV62" s="27">
        <f t="shared" si="65"/>
        <v>0</v>
      </c>
      <c r="CW62" s="27">
        <f t="shared" si="66"/>
        <v>0</v>
      </c>
      <c r="CX62" s="27">
        <f t="shared" si="67"/>
        <v>0</v>
      </c>
      <c r="CY62" s="27">
        <f t="shared" si="68"/>
        <v>0</v>
      </c>
      <c r="CZ62" s="24">
        <f t="shared" si="69"/>
        <v>0</v>
      </c>
      <c r="DA62" s="24">
        <f t="shared" si="70"/>
        <v>0</v>
      </c>
      <c r="DB62" s="27">
        <f t="shared" si="71"/>
        <v>0</v>
      </c>
      <c r="DC62" s="27">
        <f t="shared" si="72"/>
        <v>0</v>
      </c>
      <c r="DD62" s="27">
        <f t="shared" si="73"/>
        <v>0</v>
      </c>
      <c r="DE62" s="27">
        <f t="shared" si="74"/>
        <v>0</v>
      </c>
      <c r="DF62" s="24">
        <f t="shared" si="75"/>
        <v>0</v>
      </c>
      <c r="DG62" s="24">
        <f t="shared" si="76"/>
        <v>0</v>
      </c>
      <c r="DH62" s="24">
        <f t="shared" si="77"/>
        <v>0</v>
      </c>
      <c r="DI62" s="24">
        <f t="shared" si="78"/>
        <v>0</v>
      </c>
      <c r="DJ62" s="26">
        <f t="shared" si="89"/>
        <v>0</v>
      </c>
      <c r="DK62" s="26">
        <f t="shared" si="90"/>
        <v>0</v>
      </c>
      <c r="DP62" s="27"/>
      <c r="DQ62" s="27"/>
      <c r="DR62" s="27">
        <f t="shared" si="79"/>
        <v>0</v>
      </c>
      <c r="DS62" s="27">
        <f t="shared" si="80"/>
        <v>0</v>
      </c>
      <c r="DT62" s="27">
        <f t="shared" si="81"/>
        <v>0</v>
      </c>
      <c r="DU62" s="27">
        <f t="shared" si="82"/>
        <v>0</v>
      </c>
      <c r="DV62" s="27">
        <f t="shared" si="44"/>
        <v>0</v>
      </c>
      <c r="DW62" s="27">
        <f t="shared" si="45"/>
        <v>0</v>
      </c>
      <c r="DX62" s="27">
        <f t="shared" si="83"/>
        <v>0</v>
      </c>
      <c r="DY62" s="27">
        <f t="shared" si="84"/>
        <v>0</v>
      </c>
      <c r="DZ62" s="27">
        <f t="shared" si="85"/>
        <v>0</v>
      </c>
      <c r="EA62" s="27">
        <f t="shared" si="86"/>
        <v>0</v>
      </c>
      <c r="EB62" s="27">
        <f t="shared" si="46"/>
        <v>0</v>
      </c>
      <c r="EC62" s="27">
        <f t="shared" si="47"/>
        <v>0</v>
      </c>
    </row>
    <row r="63" spans="1:133" x14ac:dyDescent="0.35">
      <c r="A63" s="385"/>
      <c r="C63" s="31">
        <v>59</v>
      </c>
      <c r="D63" s="32">
        <v>43956.43</v>
      </c>
      <c r="E63" s="32">
        <v>49278.9</v>
      </c>
      <c r="F63" s="72"/>
      <c r="G63" s="31">
        <v>59</v>
      </c>
      <c r="H63" s="73">
        <v>78493.63</v>
      </c>
      <c r="I63" s="73">
        <v>87998.04</v>
      </c>
      <c r="AH63" s="386"/>
      <c r="AN63" s="40">
        <v>59</v>
      </c>
      <c r="AO63" s="46">
        <v>1.8750244230586313E-2</v>
      </c>
      <c r="AQ63" s="40" t="s">
        <v>30</v>
      </c>
      <c r="AR63" s="40">
        <v>3</v>
      </c>
      <c r="AS63" s="49">
        <f t="shared" si="87"/>
        <v>0.111</v>
      </c>
      <c r="AY63" s="40" t="s">
        <v>30</v>
      </c>
      <c r="AZ63" s="40">
        <v>3</v>
      </c>
      <c r="BA63" s="41">
        <v>0.76854999999999996</v>
      </c>
      <c r="BJ63" s="386"/>
      <c r="BQ63">
        <v>57</v>
      </c>
      <c r="BR63" s="26" t="e">
        <f t="shared" si="37"/>
        <v>#N/A</v>
      </c>
      <c r="BS63" s="26" t="e">
        <f t="shared" si="38"/>
        <v>#N/A</v>
      </c>
      <c r="BT63" s="26"/>
      <c r="BU63" s="29">
        <v>57</v>
      </c>
      <c r="BV63" s="26" t="e">
        <f t="shared" si="51"/>
        <v>#N/A</v>
      </c>
      <c r="BW63" s="26" t="e">
        <f t="shared" si="52"/>
        <v>#N/A</v>
      </c>
      <c r="BY63" s="29">
        <v>57</v>
      </c>
      <c r="BZ63" s="26" t="e">
        <f t="shared" si="39"/>
        <v>#N/A</v>
      </c>
      <c r="CA63" s="26" t="e">
        <f t="shared" si="40"/>
        <v>#N/A</v>
      </c>
      <c r="CC63" s="29">
        <v>57</v>
      </c>
      <c r="CD63" s="26" t="e">
        <f t="shared" si="41"/>
        <v>#N/A</v>
      </c>
      <c r="CE63" s="26" t="e">
        <f t="shared" si="42"/>
        <v>#N/A</v>
      </c>
      <c r="CG63">
        <v>57</v>
      </c>
      <c r="CH63" s="24" t="e">
        <f t="shared" si="53"/>
        <v>#N/A</v>
      </c>
      <c r="CI63" s="24" t="e">
        <f t="shared" si="54"/>
        <v>#N/A</v>
      </c>
      <c r="CJ63" s="27">
        <f t="shared" si="55"/>
        <v>0</v>
      </c>
      <c r="CK63" s="27">
        <f t="shared" si="56"/>
        <v>0</v>
      </c>
      <c r="CL63" s="26">
        <f t="shared" si="57"/>
        <v>0</v>
      </c>
      <c r="CM63" s="26">
        <f t="shared" si="58"/>
        <v>0</v>
      </c>
      <c r="CN63" s="27">
        <f t="shared" si="59"/>
        <v>0</v>
      </c>
      <c r="CO63" s="27">
        <f t="shared" si="60"/>
        <v>0</v>
      </c>
      <c r="CP63" s="27">
        <f t="shared" si="61"/>
        <v>0</v>
      </c>
      <c r="CQ63" s="27">
        <f t="shared" si="62"/>
        <v>0</v>
      </c>
      <c r="CR63" s="24">
        <f t="shared" si="63"/>
        <v>0</v>
      </c>
      <c r="CS63" s="24">
        <f t="shared" si="64"/>
        <v>0</v>
      </c>
      <c r="CT63">
        <v>0</v>
      </c>
      <c r="CU63" s="24">
        <f t="shared" si="88"/>
        <v>0</v>
      </c>
      <c r="CV63" s="27">
        <f t="shared" si="65"/>
        <v>0</v>
      </c>
      <c r="CW63" s="27">
        <f t="shared" si="66"/>
        <v>0</v>
      </c>
      <c r="CX63" s="27">
        <f t="shared" si="67"/>
        <v>0</v>
      </c>
      <c r="CY63" s="27">
        <f t="shared" si="68"/>
        <v>0</v>
      </c>
      <c r="CZ63" s="24">
        <f t="shared" si="69"/>
        <v>0</v>
      </c>
      <c r="DA63" s="24">
        <f t="shared" si="70"/>
        <v>0</v>
      </c>
      <c r="DB63" s="27">
        <f t="shared" si="71"/>
        <v>0</v>
      </c>
      <c r="DC63" s="27">
        <f t="shared" si="72"/>
        <v>0</v>
      </c>
      <c r="DD63" s="27">
        <f t="shared" si="73"/>
        <v>0</v>
      </c>
      <c r="DE63" s="27">
        <f t="shared" si="74"/>
        <v>0</v>
      </c>
      <c r="DF63" s="24">
        <f t="shared" si="75"/>
        <v>0</v>
      </c>
      <c r="DG63" s="24">
        <f t="shared" si="76"/>
        <v>0</v>
      </c>
      <c r="DH63" s="24">
        <f t="shared" si="77"/>
        <v>0</v>
      </c>
      <c r="DI63" s="24">
        <f t="shared" si="78"/>
        <v>0</v>
      </c>
      <c r="DJ63" s="26">
        <f t="shared" si="89"/>
        <v>0</v>
      </c>
      <c r="DK63" s="26">
        <f t="shared" si="90"/>
        <v>0</v>
      </c>
      <c r="DP63" s="27"/>
      <c r="DQ63" s="27"/>
      <c r="DR63" s="27">
        <f t="shared" si="79"/>
        <v>0</v>
      </c>
      <c r="DS63" s="27">
        <f t="shared" si="80"/>
        <v>0</v>
      </c>
      <c r="DT63" s="27">
        <f t="shared" si="81"/>
        <v>0</v>
      </c>
      <c r="DU63" s="27">
        <f t="shared" si="82"/>
        <v>0</v>
      </c>
      <c r="DV63" s="27">
        <f t="shared" si="44"/>
        <v>0</v>
      </c>
      <c r="DW63" s="27">
        <f t="shared" si="45"/>
        <v>0</v>
      </c>
      <c r="DX63" s="27">
        <f t="shared" si="83"/>
        <v>0</v>
      </c>
      <c r="DY63" s="27">
        <f t="shared" si="84"/>
        <v>0</v>
      </c>
      <c r="DZ63" s="27">
        <f t="shared" si="85"/>
        <v>0</v>
      </c>
      <c r="EA63" s="27">
        <f t="shared" si="86"/>
        <v>0</v>
      </c>
      <c r="EB63" s="27">
        <f t="shared" si="46"/>
        <v>0</v>
      </c>
      <c r="EC63" s="27">
        <f t="shared" si="47"/>
        <v>0</v>
      </c>
    </row>
    <row r="64" spans="1:133" x14ac:dyDescent="0.35">
      <c r="A64" s="385"/>
      <c r="C64" s="31">
        <v>60</v>
      </c>
      <c r="D64" s="32">
        <v>47375.76</v>
      </c>
      <c r="E64" s="32">
        <v>52563.07</v>
      </c>
      <c r="F64" s="72"/>
      <c r="G64" s="31">
        <v>60</v>
      </c>
      <c r="H64" s="73">
        <v>84599.57</v>
      </c>
      <c r="I64" s="73">
        <v>93862.63</v>
      </c>
      <c r="AH64" s="386"/>
      <c r="AN64" s="40">
        <v>60</v>
      </c>
      <c r="AO64" s="46">
        <v>0</v>
      </c>
      <c r="AQ64" s="40" t="s">
        <v>31</v>
      </c>
      <c r="AR64" s="321">
        <v>5</v>
      </c>
      <c r="AS64" s="49">
        <f t="shared" si="87"/>
        <v>9.0999999999999998E-2</v>
      </c>
      <c r="AY64" s="40" t="s">
        <v>31</v>
      </c>
      <c r="AZ64" s="321">
        <v>5</v>
      </c>
      <c r="BA64" s="41">
        <v>0.68071000000000004</v>
      </c>
      <c r="BJ64" s="386"/>
      <c r="BQ64">
        <v>58</v>
      </c>
      <c r="BR64" s="26" t="e">
        <f t="shared" si="37"/>
        <v>#N/A</v>
      </c>
      <c r="BS64" s="26" t="e">
        <f t="shared" si="38"/>
        <v>#N/A</v>
      </c>
      <c r="BT64" s="26"/>
      <c r="BU64" s="29">
        <v>58</v>
      </c>
      <c r="BV64" s="26" t="e">
        <f t="shared" si="51"/>
        <v>#N/A</v>
      </c>
      <c r="BW64" s="26" t="e">
        <f t="shared" si="52"/>
        <v>#N/A</v>
      </c>
      <c r="BY64" s="29">
        <v>58</v>
      </c>
      <c r="BZ64" s="26" t="e">
        <f t="shared" si="39"/>
        <v>#N/A</v>
      </c>
      <c r="CA64" s="26" t="e">
        <f t="shared" si="40"/>
        <v>#N/A</v>
      </c>
      <c r="CC64" s="29">
        <v>58</v>
      </c>
      <c r="CD64" s="26" t="e">
        <f t="shared" si="41"/>
        <v>#N/A</v>
      </c>
      <c r="CE64" s="26" t="e">
        <f t="shared" si="42"/>
        <v>#N/A</v>
      </c>
      <c r="CG64">
        <v>58</v>
      </c>
      <c r="CH64" s="24" t="e">
        <f t="shared" si="53"/>
        <v>#N/A</v>
      </c>
      <c r="CI64" s="24" t="e">
        <f t="shared" si="54"/>
        <v>#N/A</v>
      </c>
      <c r="CJ64" s="27">
        <f t="shared" si="55"/>
        <v>0</v>
      </c>
      <c r="CK64" s="27">
        <f t="shared" si="56"/>
        <v>0</v>
      </c>
      <c r="CL64" s="26">
        <f t="shared" si="57"/>
        <v>0</v>
      </c>
      <c r="CM64" s="26">
        <f t="shared" si="58"/>
        <v>0</v>
      </c>
      <c r="CN64" s="27">
        <f t="shared" si="59"/>
        <v>0</v>
      </c>
      <c r="CO64" s="27">
        <f t="shared" si="60"/>
        <v>0</v>
      </c>
      <c r="CP64" s="27">
        <f t="shared" si="61"/>
        <v>0</v>
      </c>
      <c r="CQ64" s="27">
        <f t="shared" si="62"/>
        <v>0</v>
      </c>
      <c r="CR64" s="24">
        <f t="shared" si="63"/>
        <v>0</v>
      </c>
      <c r="CS64" s="24">
        <f t="shared" si="64"/>
        <v>0</v>
      </c>
      <c r="CT64">
        <v>0</v>
      </c>
      <c r="CU64" s="24">
        <f t="shared" si="88"/>
        <v>0</v>
      </c>
      <c r="CV64" s="27">
        <f t="shared" si="65"/>
        <v>0</v>
      </c>
      <c r="CW64" s="27">
        <f t="shared" si="66"/>
        <v>0</v>
      </c>
      <c r="CX64" s="27">
        <f t="shared" si="67"/>
        <v>0</v>
      </c>
      <c r="CY64" s="27">
        <f t="shared" si="68"/>
        <v>0</v>
      </c>
      <c r="CZ64" s="24">
        <f t="shared" si="69"/>
        <v>0</v>
      </c>
      <c r="DA64" s="24">
        <f t="shared" si="70"/>
        <v>0</v>
      </c>
      <c r="DB64" s="27">
        <f t="shared" si="71"/>
        <v>0</v>
      </c>
      <c r="DC64" s="27">
        <f t="shared" si="72"/>
        <v>0</v>
      </c>
      <c r="DD64" s="27">
        <f t="shared" si="73"/>
        <v>0</v>
      </c>
      <c r="DE64" s="27">
        <f t="shared" si="74"/>
        <v>0</v>
      </c>
      <c r="DF64" s="24">
        <f t="shared" si="75"/>
        <v>0</v>
      </c>
      <c r="DG64" s="24">
        <f t="shared" si="76"/>
        <v>0</v>
      </c>
      <c r="DH64" s="24">
        <f t="shared" si="77"/>
        <v>0</v>
      </c>
      <c r="DI64" s="24">
        <f t="shared" si="78"/>
        <v>0</v>
      </c>
      <c r="DJ64" s="26">
        <f t="shared" si="89"/>
        <v>0</v>
      </c>
      <c r="DK64" s="26">
        <f t="shared" si="90"/>
        <v>0</v>
      </c>
      <c r="DP64" s="27"/>
      <c r="DQ64" s="27"/>
      <c r="DR64" s="27">
        <f t="shared" si="79"/>
        <v>0</v>
      </c>
      <c r="DS64" s="27">
        <f t="shared" si="80"/>
        <v>0</v>
      </c>
      <c r="DT64" s="27">
        <f t="shared" si="81"/>
        <v>0</v>
      </c>
      <c r="DU64" s="27">
        <f t="shared" si="82"/>
        <v>0</v>
      </c>
      <c r="DV64" s="27">
        <f t="shared" si="44"/>
        <v>0</v>
      </c>
      <c r="DW64" s="27">
        <f t="shared" si="45"/>
        <v>0</v>
      </c>
      <c r="DX64" s="27">
        <f t="shared" si="83"/>
        <v>0</v>
      </c>
      <c r="DY64" s="27">
        <f t="shared" si="84"/>
        <v>0</v>
      </c>
      <c r="DZ64" s="27">
        <f t="shared" si="85"/>
        <v>0</v>
      </c>
      <c r="EA64" s="27">
        <f t="shared" si="86"/>
        <v>0</v>
      </c>
      <c r="EB64" s="27">
        <f t="shared" si="46"/>
        <v>0</v>
      </c>
      <c r="EC64" s="27">
        <f t="shared" si="47"/>
        <v>0</v>
      </c>
    </row>
    <row r="65" spans="1:133" x14ac:dyDescent="0.35">
      <c r="A65" s="385"/>
      <c r="C65" s="31">
        <v>61</v>
      </c>
      <c r="D65" s="32">
        <v>51059.96</v>
      </c>
      <c r="E65" s="32">
        <v>56054.34</v>
      </c>
      <c r="F65" s="72"/>
      <c r="G65" s="31">
        <v>61</v>
      </c>
      <c r="H65" s="73">
        <v>91178.5</v>
      </c>
      <c r="I65" s="73">
        <v>100097.04</v>
      </c>
      <c r="AH65" s="386"/>
      <c r="AN65" s="40">
        <v>61</v>
      </c>
      <c r="AO65" s="46">
        <v>0</v>
      </c>
      <c r="AQ65" s="40" t="s">
        <v>32</v>
      </c>
      <c r="AR65" s="40">
        <v>2</v>
      </c>
      <c r="AS65" s="49">
        <f t="shared" si="87"/>
        <v>0.17299999999999999</v>
      </c>
      <c r="AY65" s="40" t="s">
        <v>32</v>
      </c>
      <c r="AZ65" s="40">
        <v>2</v>
      </c>
      <c r="BA65" s="41">
        <v>1.8326899999999999</v>
      </c>
      <c r="BJ65" s="386"/>
      <c r="BQ65">
        <v>59</v>
      </c>
      <c r="BR65" s="26" t="e">
        <f t="shared" si="37"/>
        <v>#N/A</v>
      </c>
      <c r="BS65" s="26" t="e">
        <f t="shared" si="38"/>
        <v>#N/A</v>
      </c>
      <c r="BT65" s="26"/>
      <c r="BU65" s="29">
        <v>59</v>
      </c>
      <c r="BV65" s="26" t="e">
        <f t="shared" si="51"/>
        <v>#N/A</v>
      </c>
      <c r="BW65" s="26" t="e">
        <f t="shared" si="52"/>
        <v>#N/A</v>
      </c>
      <c r="BY65" s="29">
        <v>59</v>
      </c>
      <c r="BZ65" s="26" t="e">
        <f t="shared" si="39"/>
        <v>#N/A</v>
      </c>
      <c r="CA65" s="26" t="e">
        <f t="shared" si="40"/>
        <v>#N/A</v>
      </c>
      <c r="CC65" s="29">
        <v>59</v>
      </c>
      <c r="CD65" s="26" t="e">
        <f t="shared" si="41"/>
        <v>#N/A</v>
      </c>
      <c r="CE65" s="26" t="e">
        <f t="shared" si="42"/>
        <v>#N/A</v>
      </c>
      <c r="CG65">
        <v>59</v>
      </c>
      <c r="CH65" s="24" t="e">
        <f t="shared" si="53"/>
        <v>#N/A</v>
      </c>
      <c r="CI65" s="24" t="e">
        <f t="shared" si="54"/>
        <v>#N/A</v>
      </c>
      <c r="CJ65" s="27">
        <f t="shared" si="55"/>
        <v>0</v>
      </c>
      <c r="CK65" s="27">
        <f t="shared" si="56"/>
        <v>0</v>
      </c>
      <c r="CL65" s="26">
        <f t="shared" si="57"/>
        <v>0</v>
      </c>
      <c r="CM65" s="26">
        <f t="shared" si="58"/>
        <v>0</v>
      </c>
      <c r="CN65" s="27">
        <f t="shared" si="59"/>
        <v>0</v>
      </c>
      <c r="CO65" s="27">
        <f t="shared" si="60"/>
        <v>0</v>
      </c>
      <c r="CP65" s="27">
        <f t="shared" si="61"/>
        <v>0</v>
      </c>
      <c r="CQ65" s="27">
        <f t="shared" si="62"/>
        <v>0</v>
      </c>
      <c r="CR65" s="24">
        <f t="shared" si="63"/>
        <v>0</v>
      </c>
      <c r="CS65" s="24">
        <f t="shared" si="64"/>
        <v>0</v>
      </c>
      <c r="CT65">
        <v>0</v>
      </c>
      <c r="CU65" s="24">
        <f t="shared" si="88"/>
        <v>0</v>
      </c>
      <c r="CV65" s="27">
        <f t="shared" si="65"/>
        <v>0</v>
      </c>
      <c r="CW65" s="27">
        <f t="shared" si="66"/>
        <v>0</v>
      </c>
      <c r="CX65" s="27">
        <f t="shared" si="67"/>
        <v>0</v>
      </c>
      <c r="CY65" s="27">
        <f t="shared" si="68"/>
        <v>0</v>
      </c>
      <c r="CZ65" s="24">
        <f t="shared" si="69"/>
        <v>0</v>
      </c>
      <c r="DA65" s="24">
        <f t="shared" si="70"/>
        <v>0</v>
      </c>
      <c r="DB65" s="27">
        <f t="shared" si="71"/>
        <v>0</v>
      </c>
      <c r="DC65" s="27">
        <f t="shared" si="72"/>
        <v>0</v>
      </c>
      <c r="DD65" s="27">
        <f t="shared" si="73"/>
        <v>0</v>
      </c>
      <c r="DE65" s="27">
        <f t="shared" si="74"/>
        <v>0</v>
      </c>
      <c r="DF65" s="24">
        <f t="shared" si="75"/>
        <v>0</v>
      </c>
      <c r="DG65" s="24">
        <f t="shared" si="76"/>
        <v>0</v>
      </c>
      <c r="DH65" s="24">
        <f t="shared" si="77"/>
        <v>0</v>
      </c>
      <c r="DI65" s="24">
        <f t="shared" si="78"/>
        <v>0</v>
      </c>
      <c r="DJ65" s="26">
        <f t="shared" si="89"/>
        <v>0</v>
      </c>
      <c r="DK65" s="26">
        <f t="shared" si="90"/>
        <v>0</v>
      </c>
      <c r="DP65" s="27"/>
      <c r="DQ65" s="27"/>
      <c r="DR65" s="27">
        <f t="shared" si="79"/>
        <v>0</v>
      </c>
      <c r="DS65" s="27">
        <f t="shared" si="80"/>
        <v>0</v>
      </c>
      <c r="DT65" s="27">
        <f t="shared" si="81"/>
        <v>0</v>
      </c>
      <c r="DU65" s="27">
        <f t="shared" si="82"/>
        <v>0</v>
      </c>
      <c r="DV65" s="27">
        <f t="shared" si="44"/>
        <v>0</v>
      </c>
      <c r="DW65" s="27">
        <f t="shared" si="45"/>
        <v>0</v>
      </c>
      <c r="DX65" s="27">
        <f t="shared" si="83"/>
        <v>0</v>
      </c>
      <c r="DY65" s="27">
        <f t="shared" si="84"/>
        <v>0</v>
      </c>
      <c r="DZ65" s="27">
        <f t="shared" si="85"/>
        <v>0</v>
      </c>
      <c r="EA65" s="27">
        <f t="shared" si="86"/>
        <v>0</v>
      </c>
      <c r="EB65" s="27">
        <f t="shared" si="46"/>
        <v>0</v>
      </c>
      <c r="EC65" s="27">
        <f t="shared" si="47"/>
        <v>0</v>
      </c>
    </row>
    <row r="66" spans="1:133" x14ac:dyDescent="0.35">
      <c r="A66" s="385"/>
      <c r="C66" s="31">
        <v>62</v>
      </c>
      <c r="D66" s="32">
        <v>55022.11</v>
      </c>
      <c r="E66" s="32">
        <v>59762.52</v>
      </c>
      <c r="F66" s="72"/>
      <c r="G66" s="31">
        <v>62</v>
      </c>
      <c r="H66" s="73">
        <v>98253.77</v>
      </c>
      <c r="I66" s="73">
        <v>106718.79</v>
      </c>
      <c r="K66" t="s">
        <v>0</v>
      </c>
      <c r="L66" t="s">
        <v>1</v>
      </c>
      <c r="AH66" s="386"/>
      <c r="AN66" s="40">
        <v>62</v>
      </c>
      <c r="AO66" s="46">
        <v>0</v>
      </c>
      <c r="AQ66" s="40" t="s">
        <v>33</v>
      </c>
      <c r="AR66" s="40">
        <v>3</v>
      </c>
      <c r="AS66" s="49">
        <f t="shared" si="87"/>
        <v>0.111</v>
      </c>
      <c r="AY66" s="40" t="s">
        <v>33</v>
      </c>
      <c r="AZ66" s="40">
        <v>3</v>
      </c>
      <c r="BA66" s="41">
        <v>0.76854999999999996</v>
      </c>
      <c r="BJ66" s="386"/>
      <c r="BQ66">
        <v>60</v>
      </c>
      <c r="BR66" s="26" t="e">
        <f t="shared" si="37"/>
        <v>#N/A</v>
      </c>
      <c r="BS66" s="26" t="e">
        <f t="shared" si="38"/>
        <v>#N/A</v>
      </c>
      <c r="BT66" s="26"/>
      <c r="BU66" s="29">
        <v>60</v>
      </c>
      <c r="BV66" s="26" t="e">
        <f t="shared" si="51"/>
        <v>#N/A</v>
      </c>
      <c r="BW66" s="26" t="e">
        <f t="shared" si="52"/>
        <v>#N/A</v>
      </c>
      <c r="BY66" s="29">
        <v>60</v>
      </c>
      <c r="BZ66" s="26" t="e">
        <f t="shared" si="39"/>
        <v>#N/A</v>
      </c>
      <c r="CA66" s="26" t="e">
        <f t="shared" si="40"/>
        <v>#N/A</v>
      </c>
      <c r="CC66" s="29">
        <v>60</v>
      </c>
      <c r="CD66" s="26" t="e">
        <f t="shared" si="41"/>
        <v>#N/A</v>
      </c>
      <c r="CE66" s="26" t="e">
        <f t="shared" si="42"/>
        <v>#N/A</v>
      </c>
      <c r="CG66">
        <v>60</v>
      </c>
      <c r="CH66" s="24" t="e">
        <f t="shared" si="53"/>
        <v>#N/A</v>
      </c>
      <c r="CI66" s="24" t="e">
        <f t="shared" si="54"/>
        <v>#N/A</v>
      </c>
      <c r="CJ66" s="27">
        <f t="shared" si="55"/>
        <v>0</v>
      </c>
      <c r="CK66" s="27">
        <f t="shared" si="56"/>
        <v>0</v>
      </c>
      <c r="CL66" s="26">
        <f t="shared" si="57"/>
        <v>0</v>
      </c>
      <c r="CM66" s="26">
        <f t="shared" si="58"/>
        <v>0</v>
      </c>
      <c r="CN66" s="27">
        <f t="shared" si="59"/>
        <v>0</v>
      </c>
      <c r="CO66" s="27">
        <f t="shared" si="60"/>
        <v>0</v>
      </c>
      <c r="CP66" s="27">
        <f t="shared" si="61"/>
        <v>0</v>
      </c>
      <c r="CQ66" s="27">
        <f t="shared" si="62"/>
        <v>0</v>
      </c>
      <c r="CR66" s="24">
        <f t="shared" si="63"/>
        <v>0</v>
      </c>
      <c r="CS66" s="24">
        <f t="shared" si="64"/>
        <v>0</v>
      </c>
      <c r="CT66">
        <v>0</v>
      </c>
      <c r="CU66" s="24">
        <f t="shared" si="88"/>
        <v>0</v>
      </c>
      <c r="CV66" s="27">
        <f t="shared" si="65"/>
        <v>0</v>
      </c>
      <c r="CW66" s="27">
        <f t="shared" si="66"/>
        <v>0</v>
      </c>
      <c r="CX66" s="27">
        <f t="shared" si="67"/>
        <v>0</v>
      </c>
      <c r="CY66" s="27">
        <f t="shared" si="68"/>
        <v>0</v>
      </c>
      <c r="CZ66" s="24">
        <f t="shared" si="69"/>
        <v>0</v>
      </c>
      <c r="DA66" s="24">
        <f t="shared" si="70"/>
        <v>0</v>
      </c>
      <c r="DB66" s="27">
        <f t="shared" si="71"/>
        <v>0</v>
      </c>
      <c r="DC66" s="27">
        <f t="shared" si="72"/>
        <v>0</v>
      </c>
      <c r="DD66" s="27">
        <f t="shared" si="73"/>
        <v>0</v>
      </c>
      <c r="DE66" s="27">
        <f t="shared" si="74"/>
        <v>0</v>
      </c>
      <c r="DF66" s="24">
        <f t="shared" si="75"/>
        <v>0</v>
      </c>
      <c r="DG66" s="24">
        <f t="shared" si="76"/>
        <v>0</v>
      </c>
      <c r="DH66" s="24">
        <f t="shared" si="77"/>
        <v>0</v>
      </c>
      <c r="DI66" s="24">
        <f t="shared" si="78"/>
        <v>0</v>
      </c>
      <c r="DJ66" s="26">
        <f t="shared" si="89"/>
        <v>0</v>
      </c>
      <c r="DK66" s="26">
        <f t="shared" si="90"/>
        <v>0</v>
      </c>
      <c r="DP66" s="27"/>
      <c r="DQ66" s="27"/>
      <c r="DR66" s="27">
        <f t="shared" si="79"/>
        <v>0</v>
      </c>
      <c r="DS66" s="27">
        <f t="shared" si="80"/>
        <v>0</v>
      </c>
      <c r="DT66" s="27">
        <f t="shared" si="81"/>
        <v>0</v>
      </c>
      <c r="DU66" s="27">
        <f t="shared" si="82"/>
        <v>0</v>
      </c>
      <c r="DV66" s="27">
        <f t="shared" si="44"/>
        <v>0</v>
      </c>
      <c r="DW66" s="27">
        <f t="shared" si="45"/>
        <v>0</v>
      </c>
      <c r="DX66" s="27">
        <f t="shared" si="83"/>
        <v>0</v>
      </c>
      <c r="DY66" s="27">
        <f t="shared" si="84"/>
        <v>0</v>
      </c>
      <c r="DZ66" s="27">
        <f t="shared" si="85"/>
        <v>0</v>
      </c>
      <c r="EA66" s="27">
        <f t="shared" si="86"/>
        <v>0</v>
      </c>
      <c r="EB66" s="27">
        <f t="shared" si="46"/>
        <v>0</v>
      </c>
      <c r="EC66" s="27">
        <f t="shared" si="47"/>
        <v>0</v>
      </c>
    </row>
    <row r="67" spans="1:133" x14ac:dyDescent="0.35">
      <c r="A67" s="385"/>
      <c r="C67" s="31">
        <v>63</v>
      </c>
      <c r="D67" s="32">
        <v>59280.74</v>
      </c>
      <c r="E67" s="32">
        <v>63695.24</v>
      </c>
      <c r="F67" s="72"/>
      <c r="G67" s="31">
        <v>63</v>
      </c>
      <c r="H67" s="73">
        <v>105858.46</v>
      </c>
      <c r="I67" s="73">
        <v>113741.5</v>
      </c>
      <c r="J67" t="s">
        <v>159</v>
      </c>
      <c r="K67" s="28">
        <v>3.6652492016357799E-2</v>
      </c>
      <c r="L67" s="28">
        <v>3.740768448388529E-2</v>
      </c>
      <c r="AH67" s="386"/>
      <c r="AN67" s="40">
        <v>63</v>
      </c>
      <c r="AO67" s="46">
        <v>0</v>
      </c>
      <c r="AQ67" s="40" t="s">
        <v>34</v>
      </c>
      <c r="AR67" s="321">
        <v>2</v>
      </c>
      <c r="AS67" s="49">
        <f t="shared" si="87"/>
        <v>0.17299999999999999</v>
      </c>
      <c r="AY67" s="40" t="s">
        <v>34</v>
      </c>
      <c r="AZ67" s="321">
        <v>2</v>
      </c>
      <c r="BA67" s="41">
        <v>0.76854999999999996</v>
      </c>
      <c r="BJ67" s="386"/>
      <c r="BQ67">
        <v>61</v>
      </c>
      <c r="BR67" s="26" t="e">
        <f t="shared" si="37"/>
        <v>#N/A</v>
      </c>
      <c r="BS67" s="26" t="e">
        <f t="shared" si="38"/>
        <v>#N/A</v>
      </c>
      <c r="BT67" s="26"/>
      <c r="BU67" s="29">
        <v>61</v>
      </c>
      <c r="BV67" s="26" t="e">
        <f t="shared" si="51"/>
        <v>#N/A</v>
      </c>
      <c r="BW67" s="26" t="e">
        <f t="shared" si="52"/>
        <v>#N/A</v>
      </c>
      <c r="BY67" s="29">
        <v>61</v>
      </c>
      <c r="BZ67" s="26" t="e">
        <f t="shared" si="39"/>
        <v>#N/A</v>
      </c>
      <c r="CA67" s="26" t="e">
        <f t="shared" si="40"/>
        <v>#N/A</v>
      </c>
      <c r="CC67" s="29">
        <v>61</v>
      </c>
      <c r="CD67" s="26" t="e">
        <f t="shared" si="41"/>
        <v>#N/A</v>
      </c>
      <c r="CE67" s="26" t="e">
        <f t="shared" si="42"/>
        <v>#N/A</v>
      </c>
      <c r="CG67">
        <v>61</v>
      </c>
      <c r="CH67" s="24" t="e">
        <f t="shared" si="53"/>
        <v>#N/A</v>
      </c>
      <c r="CI67" s="24" t="e">
        <f t="shared" si="54"/>
        <v>#N/A</v>
      </c>
      <c r="CJ67" s="27">
        <f t="shared" si="55"/>
        <v>0</v>
      </c>
      <c r="CK67" s="27">
        <f t="shared" si="56"/>
        <v>0</v>
      </c>
      <c r="CL67" s="26">
        <f t="shared" si="57"/>
        <v>0</v>
      </c>
      <c r="CM67" s="26">
        <f t="shared" si="58"/>
        <v>0</v>
      </c>
      <c r="CN67" s="27">
        <f t="shared" si="59"/>
        <v>0</v>
      </c>
      <c r="CO67" s="27">
        <f t="shared" si="60"/>
        <v>0</v>
      </c>
      <c r="CP67" s="27">
        <f t="shared" si="61"/>
        <v>0</v>
      </c>
      <c r="CQ67" s="27">
        <f t="shared" si="62"/>
        <v>0</v>
      </c>
      <c r="CR67" s="24">
        <f t="shared" si="63"/>
        <v>0</v>
      </c>
      <c r="CS67" s="24">
        <f t="shared" si="64"/>
        <v>0</v>
      </c>
      <c r="CT67">
        <v>0</v>
      </c>
      <c r="CU67" s="24">
        <f t="shared" si="88"/>
        <v>0</v>
      </c>
      <c r="CV67" s="27">
        <f t="shared" si="65"/>
        <v>0</v>
      </c>
      <c r="CW67" s="27">
        <f t="shared" si="66"/>
        <v>0</v>
      </c>
      <c r="CX67" s="27">
        <f t="shared" si="67"/>
        <v>0</v>
      </c>
      <c r="CY67" s="27">
        <f t="shared" si="68"/>
        <v>0</v>
      </c>
      <c r="CZ67" s="24">
        <f t="shared" si="69"/>
        <v>0</v>
      </c>
      <c r="DA67" s="24">
        <f t="shared" si="70"/>
        <v>0</v>
      </c>
      <c r="DB67" s="27">
        <f t="shared" si="71"/>
        <v>0</v>
      </c>
      <c r="DC67" s="27">
        <f t="shared" si="72"/>
        <v>0</v>
      </c>
      <c r="DD67" s="27">
        <f t="shared" si="73"/>
        <v>0</v>
      </c>
      <c r="DE67" s="27">
        <f t="shared" si="74"/>
        <v>0</v>
      </c>
      <c r="DF67" s="24">
        <f t="shared" si="75"/>
        <v>0</v>
      </c>
      <c r="DG67" s="24">
        <f t="shared" si="76"/>
        <v>0</v>
      </c>
      <c r="DH67" s="24">
        <f t="shared" si="77"/>
        <v>0</v>
      </c>
      <c r="DI67" s="24">
        <f t="shared" si="78"/>
        <v>0</v>
      </c>
      <c r="DJ67" s="26">
        <f t="shared" si="89"/>
        <v>0</v>
      </c>
      <c r="DK67" s="26">
        <f t="shared" si="90"/>
        <v>0</v>
      </c>
      <c r="DP67" s="27"/>
      <c r="DQ67" s="27"/>
      <c r="DR67" s="27">
        <f t="shared" si="79"/>
        <v>0</v>
      </c>
      <c r="DS67" s="27">
        <f t="shared" si="80"/>
        <v>0</v>
      </c>
      <c r="DT67" s="27">
        <f t="shared" si="81"/>
        <v>0</v>
      </c>
      <c r="DU67" s="27">
        <f t="shared" si="82"/>
        <v>0</v>
      </c>
      <c r="DV67" s="27">
        <f t="shared" si="44"/>
        <v>0</v>
      </c>
      <c r="DW67" s="27">
        <f t="shared" si="45"/>
        <v>0</v>
      </c>
      <c r="DX67" s="27">
        <f t="shared" si="83"/>
        <v>0</v>
      </c>
      <c r="DY67" s="27">
        <f t="shared" si="84"/>
        <v>0</v>
      </c>
      <c r="DZ67" s="27">
        <f t="shared" si="85"/>
        <v>0</v>
      </c>
      <c r="EA67" s="27">
        <f t="shared" si="86"/>
        <v>0</v>
      </c>
      <c r="EB67" s="27">
        <f t="shared" si="46"/>
        <v>0</v>
      </c>
      <c r="EC67" s="27">
        <f t="shared" si="47"/>
        <v>0</v>
      </c>
    </row>
    <row r="68" spans="1:133" x14ac:dyDescent="0.35">
      <c r="A68" s="385"/>
      <c r="C68" s="31">
        <v>64</v>
      </c>
      <c r="D68" s="32">
        <v>63852.2</v>
      </c>
      <c r="E68" s="32">
        <v>67863.399999999994</v>
      </c>
      <c r="F68" s="72"/>
      <c r="G68" s="31">
        <v>64</v>
      </c>
      <c r="H68" s="73">
        <v>114021.79</v>
      </c>
      <c r="I68" s="73">
        <v>121184.64</v>
      </c>
      <c r="J68">
        <v>71</v>
      </c>
      <c r="K68" s="28">
        <v>6.1002974618964648E-3</v>
      </c>
      <c r="L68" s="28">
        <v>9.9346536990977292E-3</v>
      </c>
      <c r="M68" s="28">
        <f>AVERAGE(K68:L68)</f>
        <v>8.0174755804970979E-3</v>
      </c>
      <c r="AH68" s="386"/>
      <c r="AN68" s="40">
        <v>64</v>
      </c>
      <c r="AO68" s="46">
        <v>0</v>
      </c>
      <c r="AQ68" s="40" t="s">
        <v>35</v>
      </c>
      <c r="AR68" s="40">
        <v>2</v>
      </c>
      <c r="AS68" s="49">
        <f t="shared" si="87"/>
        <v>0.17299999999999999</v>
      </c>
      <c r="AY68" s="40" t="s">
        <v>35</v>
      </c>
      <c r="AZ68" s="40">
        <v>2</v>
      </c>
      <c r="BA68" s="41">
        <v>1.8326899999999999</v>
      </c>
      <c r="BJ68" s="386"/>
      <c r="BQ68">
        <v>62</v>
      </c>
      <c r="BR68" s="26" t="e">
        <f t="shared" si="37"/>
        <v>#N/A</v>
      </c>
      <c r="BS68" s="26" t="e">
        <f t="shared" si="38"/>
        <v>#N/A</v>
      </c>
      <c r="BT68" s="26"/>
      <c r="BU68" s="29">
        <v>62</v>
      </c>
      <c r="BV68" s="26" t="e">
        <f t="shared" si="51"/>
        <v>#N/A</v>
      </c>
      <c r="BW68" s="26" t="e">
        <f t="shared" si="52"/>
        <v>#N/A</v>
      </c>
      <c r="BY68" s="29">
        <v>62</v>
      </c>
      <c r="BZ68" s="26" t="e">
        <f t="shared" si="39"/>
        <v>#N/A</v>
      </c>
      <c r="CA68" s="26" t="e">
        <f t="shared" si="40"/>
        <v>#N/A</v>
      </c>
      <c r="CC68" s="29">
        <v>62</v>
      </c>
      <c r="CD68" s="26" t="e">
        <f t="shared" si="41"/>
        <v>#N/A</v>
      </c>
      <c r="CE68" s="26" t="e">
        <f t="shared" si="42"/>
        <v>#N/A</v>
      </c>
      <c r="CG68">
        <v>62</v>
      </c>
      <c r="CH68" s="24" t="e">
        <f t="shared" si="53"/>
        <v>#N/A</v>
      </c>
      <c r="CI68" s="24" t="e">
        <f t="shared" si="54"/>
        <v>#N/A</v>
      </c>
      <c r="CJ68" s="27">
        <f t="shared" si="55"/>
        <v>0</v>
      </c>
      <c r="CK68" s="27">
        <f t="shared" si="56"/>
        <v>0</v>
      </c>
      <c r="CL68" s="26">
        <f t="shared" si="57"/>
        <v>0</v>
      </c>
      <c r="CM68" s="26">
        <f t="shared" si="58"/>
        <v>0</v>
      </c>
      <c r="CN68" s="27">
        <f t="shared" si="59"/>
        <v>0</v>
      </c>
      <c r="CO68" s="27">
        <f t="shared" si="60"/>
        <v>0</v>
      </c>
      <c r="CP68" s="27">
        <f t="shared" si="61"/>
        <v>0</v>
      </c>
      <c r="CQ68" s="27">
        <f t="shared" si="62"/>
        <v>0</v>
      </c>
      <c r="CR68" s="24">
        <f t="shared" si="63"/>
        <v>0</v>
      </c>
      <c r="CS68" s="24">
        <f t="shared" si="64"/>
        <v>0</v>
      </c>
      <c r="CT68">
        <v>0</v>
      </c>
      <c r="CU68" s="24">
        <f t="shared" si="88"/>
        <v>0</v>
      </c>
      <c r="CV68" s="27">
        <f t="shared" si="65"/>
        <v>0</v>
      </c>
      <c r="CW68" s="27">
        <f t="shared" si="66"/>
        <v>0</v>
      </c>
      <c r="CX68" s="27">
        <f t="shared" si="67"/>
        <v>0</v>
      </c>
      <c r="CY68" s="27">
        <f t="shared" si="68"/>
        <v>0</v>
      </c>
      <c r="CZ68" s="24">
        <f t="shared" si="69"/>
        <v>0</v>
      </c>
      <c r="DA68" s="24">
        <f t="shared" si="70"/>
        <v>0</v>
      </c>
      <c r="DB68" s="27">
        <f t="shared" si="71"/>
        <v>0</v>
      </c>
      <c r="DC68" s="27">
        <f t="shared" si="72"/>
        <v>0</v>
      </c>
      <c r="DD68" s="27">
        <f t="shared" si="73"/>
        <v>0</v>
      </c>
      <c r="DE68" s="27">
        <f t="shared" si="74"/>
        <v>0</v>
      </c>
      <c r="DF68" s="24">
        <f t="shared" si="75"/>
        <v>0</v>
      </c>
      <c r="DG68" s="24">
        <f t="shared" si="76"/>
        <v>0</v>
      </c>
      <c r="DH68" s="24">
        <f t="shared" si="77"/>
        <v>0</v>
      </c>
      <c r="DI68" s="24">
        <f t="shared" si="78"/>
        <v>0</v>
      </c>
      <c r="DJ68" s="26">
        <f t="shared" si="89"/>
        <v>0</v>
      </c>
      <c r="DK68" s="26">
        <f t="shared" si="90"/>
        <v>0</v>
      </c>
      <c r="DP68" s="27"/>
      <c r="DQ68" s="27"/>
      <c r="DR68" s="27">
        <f t="shared" si="79"/>
        <v>0</v>
      </c>
      <c r="DS68" s="27">
        <f t="shared" si="80"/>
        <v>0</v>
      </c>
      <c r="DT68" s="27">
        <f t="shared" si="81"/>
        <v>0</v>
      </c>
      <c r="DU68" s="27">
        <f t="shared" si="82"/>
        <v>0</v>
      </c>
      <c r="DV68" s="27">
        <f t="shared" si="44"/>
        <v>0</v>
      </c>
      <c r="DW68" s="27">
        <f t="shared" si="45"/>
        <v>0</v>
      </c>
      <c r="DX68" s="27">
        <f t="shared" si="83"/>
        <v>0</v>
      </c>
      <c r="DY68" s="27">
        <f t="shared" si="84"/>
        <v>0</v>
      </c>
      <c r="DZ68" s="27">
        <f t="shared" si="85"/>
        <v>0</v>
      </c>
      <c r="EA68" s="27">
        <f t="shared" si="86"/>
        <v>0</v>
      </c>
      <c r="EB68" s="27">
        <f t="shared" si="46"/>
        <v>0</v>
      </c>
      <c r="EC68" s="27">
        <f t="shared" si="47"/>
        <v>0</v>
      </c>
    </row>
    <row r="69" spans="1:133" x14ac:dyDescent="0.35">
      <c r="A69" s="385"/>
      <c r="C69" s="31">
        <f>C68+1</f>
        <v>65</v>
      </c>
      <c r="D69" s="32">
        <v>66192.539999999994</v>
      </c>
      <c r="E69" s="32">
        <v>70402.009999999995</v>
      </c>
      <c r="F69" s="72"/>
      <c r="G69" s="31">
        <f>G68+1</f>
        <v>65</v>
      </c>
      <c r="H69" s="73">
        <v>118200.96000000001</v>
      </c>
      <c r="I69" s="73">
        <v>125717.88</v>
      </c>
      <c r="AH69" s="386"/>
      <c r="AQ69" s="40" t="s">
        <v>36</v>
      </c>
      <c r="AR69" s="40">
        <v>2</v>
      </c>
      <c r="AS69" s="49">
        <f t="shared" si="87"/>
        <v>0.17299999999999999</v>
      </c>
      <c r="AY69" s="40" t="s">
        <v>36</v>
      </c>
      <c r="AZ69" s="40">
        <v>2</v>
      </c>
      <c r="BA69" s="41">
        <v>0.91635</v>
      </c>
      <c r="BJ69" s="386"/>
      <c r="BQ69">
        <v>63</v>
      </c>
      <c r="BR69" s="26" t="e">
        <f t="shared" si="37"/>
        <v>#N/A</v>
      </c>
      <c r="BS69" s="26" t="e">
        <f t="shared" si="38"/>
        <v>#N/A</v>
      </c>
      <c r="BT69" s="26"/>
      <c r="BU69" s="29">
        <v>63</v>
      </c>
      <c r="BV69" s="26" t="e">
        <f t="shared" si="51"/>
        <v>#N/A</v>
      </c>
      <c r="BW69" s="26" t="e">
        <f t="shared" si="52"/>
        <v>#N/A</v>
      </c>
      <c r="BY69" s="29">
        <v>63</v>
      </c>
      <c r="BZ69" s="26" t="e">
        <f t="shared" si="39"/>
        <v>#N/A</v>
      </c>
      <c r="CA69" s="26" t="e">
        <f t="shared" si="40"/>
        <v>#N/A</v>
      </c>
      <c r="CC69" s="29">
        <v>63</v>
      </c>
      <c r="CD69" s="26" t="e">
        <f t="shared" si="41"/>
        <v>#N/A</v>
      </c>
      <c r="CE69" s="26" t="e">
        <f t="shared" si="42"/>
        <v>#N/A</v>
      </c>
      <c r="CG69">
        <v>63</v>
      </c>
      <c r="CH69" s="24" t="e">
        <f t="shared" si="53"/>
        <v>#N/A</v>
      </c>
      <c r="CI69" s="24" t="e">
        <f t="shared" si="54"/>
        <v>#N/A</v>
      </c>
      <c r="CJ69" s="27">
        <f t="shared" si="55"/>
        <v>0</v>
      </c>
      <c r="CK69" s="27">
        <f t="shared" si="56"/>
        <v>0</v>
      </c>
      <c r="CL69" s="26">
        <f t="shared" si="57"/>
        <v>0</v>
      </c>
      <c r="CM69" s="26">
        <f t="shared" si="58"/>
        <v>0</v>
      </c>
      <c r="CN69" s="27">
        <f t="shared" si="59"/>
        <v>0</v>
      </c>
      <c r="CO69" s="27">
        <f t="shared" si="60"/>
        <v>0</v>
      </c>
      <c r="CP69" s="27">
        <f t="shared" si="61"/>
        <v>0</v>
      </c>
      <c r="CQ69" s="27">
        <f t="shared" si="62"/>
        <v>0</v>
      </c>
      <c r="CR69" s="24">
        <f t="shared" si="63"/>
        <v>0</v>
      </c>
      <c r="CS69" s="24">
        <f t="shared" si="64"/>
        <v>0</v>
      </c>
      <c r="CT69">
        <v>0</v>
      </c>
      <c r="CU69" s="24">
        <f t="shared" si="88"/>
        <v>0</v>
      </c>
      <c r="CV69" s="27">
        <f t="shared" si="65"/>
        <v>0</v>
      </c>
      <c r="CW69" s="27">
        <f t="shared" si="66"/>
        <v>0</v>
      </c>
      <c r="CX69" s="27">
        <f t="shared" si="67"/>
        <v>0</v>
      </c>
      <c r="CY69" s="27">
        <f t="shared" si="68"/>
        <v>0</v>
      </c>
      <c r="CZ69" s="24">
        <f t="shared" si="69"/>
        <v>0</v>
      </c>
      <c r="DA69" s="24">
        <f t="shared" si="70"/>
        <v>0</v>
      </c>
      <c r="DB69" s="27">
        <f t="shared" si="71"/>
        <v>0</v>
      </c>
      <c r="DC69" s="27">
        <f t="shared" si="72"/>
        <v>0</v>
      </c>
      <c r="DD69" s="27">
        <f t="shared" si="73"/>
        <v>0</v>
      </c>
      <c r="DE69" s="27">
        <f t="shared" si="74"/>
        <v>0</v>
      </c>
      <c r="DF69" s="24">
        <f t="shared" si="75"/>
        <v>0</v>
      </c>
      <c r="DG69" s="24">
        <f t="shared" si="76"/>
        <v>0</v>
      </c>
      <c r="DH69" s="24">
        <f t="shared" si="77"/>
        <v>0</v>
      </c>
      <c r="DI69" s="24">
        <f t="shared" si="78"/>
        <v>0</v>
      </c>
      <c r="DJ69" s="26">
        <f t="shared" si="89"/>
        <v>0</v>
      </c>
      <c r="DK69" s="26">
        <f t="shared" si="90"/>
        <v>0</v>
      </c>
      <c r="DP69" s="27"/>
      <c r="DQ69" s="27"/>
      <c r="DR69" s="27">
        <f t="shared" si="79"/>
        <v>0</v>
      </c>
      <c r="DS69" s="27">
        <f t="shared" si="80"/>
        <v>0</v>
      </c>
      <c r="DT69" s="27">
        <f t="shared" si="81"/>
        <v>0</v>
      </c>
      <c r="DU69" s="27">
        <f t="shared" si="82"/>
        <v>0</v>
      </c>
      <c r="DV69" s="27">
        <f t="shared" si="44"/>
        <v>0</v>
      </c>
      <c r="DW69" s="27">
        <f t="shared" si="45"/>
        <v>0</v>
      </c>
      <c r="DX69" s="27">
        <f t="shared" si="83"/>
        <v>0</v>
      </c>
      <c r="DY69" s="27">
        <f t="shared" si="84"/>
        <v>0</v>
      </c>
      <c r="DZ69" s="27">
        <f t="shared" si="85"/>
        <v>0</v>
      </c>
      <c r="EA69" s="27">
        <f t="shared" si="86"/>
        <v>0</v>
      </c>
      <c r="EB69" s="27">
        <f t="shared" si="46"/>
        <v>0</v>
      </c>
      <c r="EC69" s="27">
        <f t="shared" si="47"/>
        <v>0</v>
      </c>
    </row>
    <row r="70" spans="1:133" x14ac:dyDescent="0.35">
      <c r="A70" s="385"/>
      <c r="C70" s="31">
        <f t="shared" ref="C70:C104" si="91">C69+1</f>
        <v>66</v>
      </c>
      <c r="D70" s="32">
        <v>68618.66</v>
      </c>
      <c r="E70" s="32">
        <v>73035.59</v>
      </c>
      <c r="F70" s="72"/>
      <c r="G70" s="31">
        <f t="shared" ref="G70:G104" si="92">G69+1</f>
        <v>66</v>
      </c>
      <c r="H70" s="73">
        <v>122533.32</v>
      </c>
      <c r="I70" s="73">
        <v>130420.7</v>
      </c>
      <c r="AH70" s="386"/>
      <c r="AQ70" s="40" t="s">
        <v>37</v>
      </c>
      <c r="AR70" s="40">
        <v>2</v>
      </c>
      <c r="AS70" s="49">
        <f t="shared" si="87"/>
        <v>0.17299999999999999</v>
      </c>
      <c r="AY70" s="40" t="s">
        <v>37</v>
      </c>
      <c r="AZ70" s="40">
        <v>2</v>
      </c>
      <c r="BA70" s="41">
        <v>1.8326899999999999</v>
      </c>
      <c r="BJ70" s="386"/>
      <c r="BQ70">
        <v>64</v>
      </c>
      <c r="BR70" s="26" t="e">
        <f t="shared" si="37"/>
        <v>#N/A</v>
      </c>
      <c r="BS70" s="26" t="e">
        <f t="shared" si="38"/>
        <v>#N/A</v>
      </c>
      <c r="BT70" s="26"/>
      <c r="BU70" s="29">
        <v>64</v>
      </c>
      <c r="BV70" s="26" t="e">
        <f t="shared" ref="BV70:BV106" si="93">BR70-CH70</f>
        <v>#N/A</v>
      </c>
      <c r="BW70" s="26" t="e">
        <f t="shared" ref="BW70:BW106" si="94">BS70-CI70</f>
        <v>#N/A</v>
      </c>
      <c r="BY70" s="29">
        <v>64</v>
      </c>
      <c r="BZ70" s="26" t="e">
        <f t="shared" si="39"/>
        <v>#N/A</v>
      </c>
      <c r="CA70" s="26" t="e">
        <f t="shared" si="40"/>
        <v>#N/A</v>
      </c>
      <c r="CC70" s="29">
        <v>64</v>
      </c>
      <c r="CD70" s="26" t="e">
        <f t="shared" si="41"/>
        <v>#N/A</v>
      </c>
      <c r="CE70" s="26" t="e">
        <f t="shared" si="42"/>
        <v>#N/A</v>
      </c>
      <c r="CG70">
        <v>64</v>
      </c>
      <c r="CH70" s="24" t="e">
        <f t="shared" ref="CH70:CH101" si="95">ROUND((H68*$BN$4*$BN$5*$BN$6*$BN$7*$BN$8*$BN$9),4)</f>
        <v>#N/A</v>
      </c>
      <c r="CI70" s="24" t="e">
        <f t="shared" ref="CI70:CI101" si="96">ROUND((I68*$BN$4*$BN$5*$BN$6*$BN$7*$BN$8*$BN$9),4)</f>
        <v>#N/A</v>
      </c>
      <c r="CJ70" s="27">
        <f t="shared" ref="CJ70:CJ106" si="97">ROUND(IF($CK$1=1,CH70*$BI$7,0),4)</f>
        <v>0</v>
      </c>
      <c r="CK70" s="27">
        <f t="shared" ref="CK70:CK106" si="98">ROUND(IF($CK$1=1,CI70*$BI$7,0),4)</f>
        <v>0</v>
      </c>
      <c r="CL70" s="26">
        <f t="shared" ref="CL70:CL101" si="99">ROUND(IF($CM$1=1,((D68*$BN$4*$BN$5*$BN$7*$BN$8*$BN$9)/(1-$L$7))*$AJ$3,0),4)</f>
        <v>0</v>
      </c>
      <c r="CM70" s="26">
        <f t="shared" ref="CM70:CM101" si="100">ROUND(IF($CM$1=1,((E68*$BN$4*$BN$5*$BN$7*$BN$8*$BN$9)/(1-$L$7))*$AJ$3,0),4)</f>
        <v>0</v>
      </c>
      <c r="CN70" s="27">
        <f t="shared" ref="CN70:CN101" si="101">ROUND(IF($CO$1=1,((D68*$BN$4*$BN$5*$BN$6*$BN$8*$BN$9)/(1-$L$7))*$AJ$11,0),4)</f>
        <v>0</v>
      </c>
      <c r="CO70" s="27">
        <f t="shared" ref="CO70:CO101" si="102">ROUND(IF($CO$1=1,((E68*$BN$4*$BN$5*$BN$6*$BN$8*$BN$9)/(1-$L$7))*$AJ$11,0),4)</f>
        <v>0</v>
      </c>
      <c r="CP70" s="27">
        <f t="shared" ref="CP70:CP106" si="103">ROUND(IF($CQ$1=1,CH70*$AJ$7,0),4)</f>
        <v>0</v>
      </c>
      <c r="CQ70" s="27">
        <f t="shared" ref="CQ70:CQ106" si="104">ROUND(IF($CQ$1=1,CI70*$AJ$7,0),4)</f>
        <v>0</v>
      </c>
      <c r="CR70" s="24">
        <f t="shared" ref="CR70:CR101" si="105">ROUND(IF($CS$1=1,((D68*$CS$2*$BN$4*$BN$5)/(1-$L$7)),0),4)</f>
        <v>0</v>
      </c>
      <c r="CS70" s="24">
        <f t="shared" ref="CS70:CS101" si="106">ROUND(IF($CS$1=1,((E68*$CS$2*$BN$4*$BN$5)/(1-$L$7)),0),4)</f>
        <v>0</v>
      </c>
      <c r="CT70">
        <v>0</v>
      </c>
      <c r="CU70" s="24">
        <f t="shared" si="88"/>
        <v>0</v>
      </c>
      <c r="CV70" s="27">
        <f t="shared" ref="CV70:CV101" si="107">ROUND(IF($CW$1=1,(D68*$BN$5*$BN$6*$BN$7*$BN$8*$BN$9*$CW$2)/(1-$L$7),0),4)</f>
        <v>0</v>
      </c>
      <c r="CW70" s="27">
        <f t="shared" ref="CW70:CW101" si="108">ROUND(IF($CW$1=1,(E68*$BN$5*$BN$6*$BN$7*$BN$8*$BN$9*$CW$2)/(1-$L$7),0),4)</f>
        <v>0</v>
      </c>
      <c r="CX70" s="27">
        <f t="shared" ref="CX70:CX101" si="109">ROUND(IF($CY$1=1,(D68*$BN$4*$BN$5*$BI$3)/(1-$L$7),0),4)</f>
        <v>0</v>
      </c>
      <c r="CY70" s="27">
        <f t="shared" ref="CY70:CY101" si="110">ROUND(IF($CY$1=1,(E68*$BN$4*$BN$5*$BI$3)/(1-$L$7),0),4)</f>
        <v>0</v>
      </c>
      <c r="CZ70" s="24">
        <f t="shared" ref="CZ70:CZ101" si="111">ROUND(IF($DA$1=1,(D68*$AW$3)/(1-$L$7),0),4)</f>
        <v>0</v>
      </c>
      <c r="DA70" s="24">
        <f t="shared" ref="DA70:DA101" si="112">ROUND(IF($DA$1=1,(E68*$AW$3)/(1-$L$7),0),4)</f>
        <v>0</v>
      </c>
      <c r="DB70" s="27">
        <f t="shared" ref="DB70:DB106" si="113">ROUND(IF($DC$1=1,CH70*$AW$7,0),4)</f>
        <v>0</v>
      </c>
      <c r="DC70" s="27">
        <f t="shared" ref="DC70:DC106" si="114">ROUND(IF($DC$1=1,CI70*$AW$7,0),4)</f>
        <v>0</v>
      </c>
      <c r="DD70" s="27">
        <f t="shared" ref="DD70:DD101" si="115">ROUND(IF($DE$1=1,(D68*$BN$4*$BN$5*$BN$7*$BN$8*$BN$9*$DE$2)/(1-$L$7),0),4)</f>
        <v>0</v>
      </c>
      <c r="DE70" s="27">
        <f t="shared" ref="DE70:DE101" si="116">ROUND(IF($DE$1=1,(E68*$BN$4*$BN$5*$BN$7*$BN$8*$BN$9*$DE$2)/(1-$L$7),0),4)</f>
        <v>0</v>
      </c>
      <c r="DF70" s="24">
        <f t="shared" ref="DF70:DF101" si="117">ROUND(IF($DG$1=1,((D68*$BN$4*$BN$5*$BN$6*$BN$9)/(1-$L$7))*$BC$7,0),4)</f>
        <v>0</v>
      </c>
      <c r="DG70" s="24">
        <f t="shared" ref="DG70:DG101" si="118">ROUND(IF($DG$1=1,((E68*$BN$4*$BN$5*$BN$6*$BN$9)/(1-$L$7))*$BC$7,0),4)</f>
        <v>0</v>
      </c>
      <c r="DH70" s="24">
        <f t="shared" ref="DH70:DH101" si="119">ROUND(IF($DI$1=1,(D68*$BC$3)/(1-$L$7),0),4)</f>
        <v>0</v>
      </c>
      <c r="DI70" s="24">
        <f t="shared" ref="DI70:DI101" si="120">ROUND(IF($DI$1=1,(E68*$BC$3)/(1-$L$7),0),4)</f>
        <v>0</v>
      </c>
      <c r="DJ70" s="26">
        <f t="shared" si="89"/>
        <v>0</v>
      </c>
      <c r="DK70" s="26">
        <f t="shared" si="90"/>
        <v>0</v>
      </c>
      <c r="DP70" s="27"/>
      <c r="DQ70" s="27"/>
      <c r="DR70" s="27">
        <f t="shared" ref="DR70:DR106" si="121">+CV70</f>
        <v>0</v>
      </c>
      <c r="DS70" s="27">
        <f t="shared" ref="DS70:DS106" si="122">+CW70</f>
        <v>0</v>
      </c>
      <c r="DT70" s="27">
        <f t="shared" ref="DT70:DT106" si="123">ROUND(IF($DS$1=1,CH70*$DS$2,0),4)</f>
        <v>0</v>
      </c>
      <c r="DU70" s="27">
        <f t="shared" ref="DU70:DU106" si="124">ROUND(IF($DS$1=1,CI70*$DS$2,0),4)</f>
        <v>0</v>
      </c>
      <c r="DV70" s="27">
        <f t="shared" si="44"/>
        <v>0</v>
      </c>
      <c r="DW70" s="27">
        <f t="shared" si="45"/>
        <v>0</v>
      </c>
      <c r="DX70" s="27">
        <f t="shared" ref="DX70:DX101" si="125">ROUND(IF($DY$1=1,(D68*$BN$5*$BN$7*$BN$8*$BN$9*$DY$2)/(1-$L$7),0),4)</f>
        <v>0</v>
      </c>
      <c r="DY70" s="27">
        <f t="shared" ref="DY70:DY101" si="126">ROUND(IF($DY$1=1,(E68*$BN$5*$BN$7*$BN$8*$BN$9*$DY$2)/(1-$L$7),0),4)</f>
        <v>0</v>
      </c>
      <c r="DZ70" s="27">
        <f t="shared" ref="DZ70:DZ106" si="127">DD70</f>
        <v>0</v>
      </c>
      <c r="EA70" s="27">
        <f t="shared" ref="EA70:EA106" si="128">DE70</f>
        <v>0</v>
      </c>
      <c r="EB70" s="27">
        <f t="shared" si="46"/>
        <v>0</v>
      </c>
      <c r="EC70" s="27">
        <f t="shared" si="47"/>
        <v>0</v>
      </c>
    </row>
    <row r="71" spans="1:133" x14ac:dyDescent="0.35">
      <c r="A71" s="385"/>
      <c r="C71" s="31">
        <f t="shared" si="91"/>
        <v>67</v>
      </c>
      <c r="D71" s="32">
        <v>71133.710000000006</v>
      </c>
      <c r="E71" s="32">
        <v>75767.679999999993</v>
      </c>
      <c r="F71" s="72"/>
      <c r="G71" s="31">
        <f t="shared" si="92"/>
        <v>67</v>
      </c>
      <c r="H71" s="73">
        <v>127024.48</v>
      </c>
      <c r="I71" s="73">
        <v>135299.43</v>
      </c>
      <c r="AH71" s="386"/>
      <c r="AQ71" s="40" t="s">
        <v>38</v>
      </c>
      <c r="AR71" s="40">
        <v>1</v>
      </c>
      <c r="AS71" s="49">
        <f t="shared" si="87"/>
        <v>0.23599999999999999</v>
      </c>
      <c r="AY71" s="40" t="s">
        <v>38</v>
      </c>
      <c r="AZ71" s="40">
        <v>1</v>
      </c>
      <c r="BA71" s="41">
        <v>1.0829500000000001</v>
      </c>
      <c r="BJ71" s="386"/>
      <c r="BQ71">
        <v>65</v>
      </c>
      <c r="BR71" s="26" t="e">
        <f t="shared" ref="BR71:BR106" si="129">CH71+CJ71+CL71+CP71+CN71+CT71+CV71+CR71+CZ71+CX71+DB71+DD71+DH71+DF71+DJ71</f>
        <v>#N/A</v>
      </c>
      <c r="BS71" s="26" t="e">
        <f t="shared" ref="BS71:BS106" si="130">CI71+CK71+CM71+CQ71+CO71+CU71+CW71+CS71+DA71+CY71+DC71+DE71+DI71+DG71+DK71</f>
        <v>#N/A</v>
      </c>
      <c r="BU71">
        <v>65</v>
      </c>
      <c r="BV71" s="26" t="e">
        <f t="shared" si="93"/>
        <v>#N/A</v>
      </c>
      <c r="BW71" s="26" t="e">
        <f t="shared" si="94"/>
        <v>#N/A</v>
      </c>
      <c r="BY71">
        <v>65</v>
      </c>
      <c r="BZ71" s="26" t="e">
        <f t="shared" ref="BZ71:BZ106" si="131">CH71*$CA$2</f>
        <v>#N/A</v>
      </c>
      <c r="CA71" s="26" t="e">
        <f t="shared" ref="CA71:CA106" si="132">CI71*$CA$2</f>
        <v>#N/A</v>
      </c>
      <c r="CC71">
        <v>65</v>
      </c>
      <c r="CD71" s="26" t="e">
        <f t="shared" ref="CD71:CD106" si="133">BV71*$CA$2</f>
        <v>#N/A</v>
      </c>
      <c r="CE71" s="26" t="e">
        <f t="shared" ref="CE71:CE106" si="134">BW71*$CA$2</f>
        <v>#N/A</v>
      </c>
      <c r="CG71">
        <v>65</v>
      </c>
      <c r="CH71" s="24" t="e">
        <f t="shared" si="95"/>
        <v>#N/A</v>
      </c>
      <c r="CI71" s="24" t="e">
        <f t="shared" si="96"/>
        <v>#N/A</v>
      </c>
      <c r="CJ71" s="27">
        <f t="shared" si="97"/>
        <v>0</v>
      </c>
      <c r="CK71" s="27">
        <f t="shared" si="98"/>
        <v>0</v>
      </c>
      <c r="CL71" s="26">
        <f t="shared" si="99"/>
        <v>0</v>
      </c>
      <c r="CM71" s="26">
        <f t="shared" si="100"/>
        <v>0</v>
      </c>
      <c r="CN71" s="27">
        <f t="shared" si="101"/>
        <v>0</v>
      </c>
      <c r="CO71" s="27">
        <f t="shared" si="102"/>
        <v>0</v>
      </c>
      <c r="CP71" s="27">
        <f t="shared" si="103"/>
        <v>0</v>
      </c>
      <c r="CQ71" s="27">
        <f t="shared" si="104"/>
        <v>0</v>
      </c>
      <c r="CR71" s="24">
        <f t="shared" si="105"/>
        <v>0</v>
      </c>
      <c r="CS71" s="24">
        <f t="shared" si="106"/>
        <v>0</v>
      </c>
      <c r="CT71">
        <v>0</v>
      </c>
      <c r="CU71" s="24">
        <f t="shared" si="88"/>
        <v>0</v>
      </c>
      <c r="CV71" s="27">
        <f t="shared" si="107"/>
        <v>0</v>
      </c>
      <c r="CW71" s="27">
        <f t="shared" si="108"/>
        <v>0</v>
      </c>
      <c r="CX71" s="27">
        <f t="shared" si="109"/>
        <v>0</v>
      </c>
      <c r="CY71" s="27">
        <f t="shared" si="110"/>
        <v>0</v>
      </c>
      <c r="CZ71" s="24">
        <f t="shared" si="111"/>
        <v>0</v>
      </c>
      <c r="DA71" s="24">
        <f t="shared" si="112"/>
        <v>0</v>
      </c>
      <c r="DB71" s="27">
        <f t="shared" si="113"/>
        <v>0</v>
      </c>
      <c r="DC71" s="27">
        <f t="shared" si="114"/>
        <v>0</v>
      </c>
      <c r="DD71" s="27">
        <f t="shared" si="115"/>
        <v>0</v>
      </c>
      <c r="DE71" s="27">
        <f t="shared" si="116"/>
        <v>0</v>
      </c>
      <c r="DF71" s="24">
        <f t="shared" si="117"/>
        <v>0</v>
      </c>
      <c r="DG71" s="24">
        <f t="shared" si="118"/>
        <v>0</v>
      </c>
      <c r="DH71" s="24">
        <f t="shared" si="119"/>
        <v>0</v>
      </c>
      <c r="DI71" s="24">
        <f t="shared" si="120"/>
        <v>0</v>
      </c>
      <c r="DJ71" s="26">
        <f t="shared" si="89"/>
        <v>0</v>
      </c>
      <c r="DK71" s="26">
        <f t="shared" si="90"/>
        <v>0</v>
      </c>
      <c r="DP71" s="27"/>
      <c r="DQ71" s="27"/>
      <c r="DR71" s="27">
        <f t="shared" si="121"/>
        <v>0</v>
      </c>
      <c r="DS71" s="27">
        <f t="shared" si="122"/>
        <v>0</v>
      </c>
      <c r="DT71" s="27">
        <f t="shared" si="123"/>
        <v>0</v>
      </c>
      <c r="DU71" s="27">
        <f t="shared" si="124"/>
        <v>0</v>
      </c>
      <c r="DV71" s="27">
        <f t="shared" ref="DV71:DV106" si="135">DR71-DT71</f>
        <v>0</v>
      </c>
      <c r="DW71" s="27">
        <f t="shared" ref="DW71:DW106" si="136">DS71-DU71</f>
        <v>0</v>
      </c>
      <c r="DX71" s="27">
        <f t="shared" si="125"/>
        <v>0</v>
      </c>
      <c r="DY71" s="27">
        <f t="shared" si="126"/>
        <v>0</v>
      </c>
      <c r="DZ71" s="27">
        <f t="shared" si="127"/>
        <v>0</v>
      </c>
      <c r="EA71" s="27">
        <f t="shared" si="128"/>
        <v>0</v>
      </c>
      <c r="EB71" s="27">
        <f t="shared" ref="EB71:EB106" si="137">DX71-DZ71</f>
        <v>0</v>
      </c>
      <c r="EC71" s="27">
        <f t="shared" ref="EC71:EC106" si="138">DY71-EA71</f>
        <v>0</v>
      </c>
    </row>
    <row r="72" spans="1:133" x14ac:dyDescent="0.35">
      <c r="A72" s="385"/>
      <c r="C72" s="31">
        <f t="shared" si="91"/>
        <v>68</v>
      </c>
      <c r="D72" s="32">
        <v>73740.94</v>
      </c>
      <c r="E72" s="32">
        <v>78601.97</v>
      </c>
      <c r="F72" s="72"/>
      <c r="G72" s="31">
        <f t="shared" si="92"/>
        <v>68</v>
      </c>
      <c r="H72" s="73">
        <v>131680.25</v>
      </c>
      <c r="I72" s="73">
        <v>140360.66</v>
      </c>
      <c r="AH72" s="386"/>
      <c r="AQ72" s="40" t="s">
        <v>39</v>
      </c>
      <c r="AR72" s="40">
        <v>2</v>
      </c>
      <c r="AS72" s="49">
        <f t="shared" si="87"/>
        <v>0.17299999999999999</v>
      </c>
      <c r="AY72" s="40" t="s">
        <v>39</v>
      </c>
      <c r="AZ72" s="40">
        <v>2</v>
      </c>
      <c r="BA72" s="41">
        <v>0.91635</v>
      </c>
      <c r="BJ72" s="386"/>
      <c r="BQ72">
        <v>66</v>
      </c>
      <c r="BR72" s="26" t="e">
        <f t="shared" si="129"/>
        <v>#N/A</v>
      </c>
      <c r="BS72" s="26" t="e">
        <f t="shared" si="130"/>
        <v>#N/A</v>
      </c>
      <c r="BU72">
        <v>66</v>
      </c>
      <c r="BV72" s="26" t="e">
        <f t="shared" si="93"/>
        <v>#N/A</v>
      </c>
      <c r="BW72" s="26" t="e">
        <f t="shared" si="94"/>
        <v>#N/A</v>
      </c>
      <c r="BY72">
        <v>66</v>
      </c>
      <c r="BZ72" s="26" t="e">
        <f t="shared" si="131"/>
        <v>#N/A</v>
      </c>
      <c r="CA72" s="26" t="e">
        <f t="shared" si="132"/>
        <v>#N/A</v>
      </c>
      <c r="CC72">
        <v>66</v>
      </c>
      <c r="CD72" s="26" t="e">
        <f t="shared" si="133"/>
        <v>#N/A</v>
      </c>
      <c r="CE72" s="26" t="e">
        <f t="shared" si="134"/>
        <v>#N/A</v>
      </c>
      <c r="CG72">
        <v>66</v>
      </c>
      <c r="CH72" s="24" t="e">
        <f t="shared" si="95"/>
        <v>#N/A</v>
      </c>
      <c r="CI72" s="24" t="e">
        <f t="shared" si="96"/>
        <v>#N/A</v>
      </c>
      <c r="CJ72" s="27">
        <f t="shared" si="97"/>
        <v>0</v>
      </c>
      <c r="CK72" s="27">
        <f t="shared" si="98"/>
        <v>0</v>
      </c>
      <c r="CL72" s="26">
        <f t="shared" si="99"/>
        <v>0</v>
      </c>
      <c r="CM72" s="26">
        <f t="shared" si="100"/>
        <v>0</v>
      </c>
      <c r="CN72" s="27">
        <f t="shared" si="101"/>
        <v>0</v>
      </c>
      <c r="CO72" s="27">
        <f t="shared" si="102"/>
        <v>0</v>
      </c>
      <c r="CP72" s="27">
        <f t="shared" si="103"/>
        <v>0</v>
      </c>
      <c r="CQ72" s="27">
        <f t="shared" si="104"/>
        <v>0</v>
      </c>
      <c r="CR72" s="24">
        <f t="shared" si="105"/>
        <v>0</v>
      </c>
      <c r="CS72" s="24">
        <f t="shared" si="106"/>
        <v>0</v>
      </c>
      <c r="CT72">
        <v>0</v>
      </c>
      <c r="CU72" s="24">
        <f t="shared" si="88"/>
        <v>0</v>
      </c>
      <c r="CV72" s="27">
        <f t="shared" si="107"/>
        <v>0</v>
      </c>
      <c r="CW72" s="27">
        <f t="shared" si="108"/>
        <v>0</v>
      </c>
      <c r="CX72" s="27">
        <f t="shared" si="109"/>
        <v>0</v>
      </c>
      <c r="CY72" s="27">
        <f t="shared" si="110"/>
        <v>0</v>
      </c>
      <c r="CZ72" s="24">
        <f t="shared" si="111"/>
        <v>0</v>
      </c>
      <c r="DA72" s="24">
        <f t="shared" si="112"/>
        <v>0</v>
      </c>
      <c r="DB72" s="27">
        <f t="shared" si="113"/>
        <v>0</v>
      </c>
      <c r="DC72" s="27">
        <f t="shared" si="114"/>
        <v>0</v>
      </c>
      <c r="DD72" s="27">
        <f t="shared" si="115"/>
        <v>0</v>
      </c>
      <c r="DE72" s="27">
        <f t="shared" si="116"/>
        <v>0</v>
      </c>
      <c r="DF72" s="24">
        <f t="shared" si="117"/>
        <v>0</v>
      </c>
      <c r="DG72" s="24">
        <f t="shared" si="118"/>
        <v>0</v>
      </c>
      <c r="DH72" s="24">
        <f t="shared" si="119"/>
        <v>0</v>
      </c>
      <c r="DI72" s="24">
        <f t="shared" si="120"/>
        <v>0</v>
      </c>
      <c r="DJ72" s="26">
        <f t="shared" si="89"/>
        <v>0</v>
      </c>
      <c r="DK72" s="26">
        <f t="shared" si="90"/>
        <v>0</v>
      </c>
      <c r="DP72" s="27"/>
      <c r="DQ72" s="27"/>
      <c r="DR72" s="27">
        <f t="shared" si="121"/>
        <v>0</v>
      </c>
      <c r="DS72" s="27">
        <f t="shared" si="122"/>
        <v>0</v>
      </c>
      <c r="DT72" s="27">
        <f t="shared" si="123"/>
        <v>0</v>
      </c>
      <c r="DU72" s="27">
        <f t="shared" si="124"/>
        <v>0</v>
      </c>
      <c r="DV72" s="27">
        <f t="shared" si="135"/>
        <v>0</v>
      </c>
      <c r="DW72" s="27">
        <f t="shared" si="136"/>
        <v>0</v>
      </c>
      <c r="DX72" s="27">
        <f t="shared" si="125"/>
        <v>0</v>
      </c>
      <c r="DY72" s="27">
        <f t="shared" si="126"/>
        <v>0</v>
      </c>
      <c r="DZ72" s="27">
        <f t="shared" si="127"/>
        <v>0</v>
      </c>
      <c r="EA72" s="27">
        <f t="shared" si="128"/>
        <v>0</v>
      </c>
      <c r="EB72" s="27">
        <f t="shared" si="137"/>
        <v>0</v>
      </c>
      <c r="EC72" s="27">
        <f t="shared" si="138"/>
        <v>0</v>
      </c>
    </row>
    <row r="73" spans="1:133" x14ac:dyDescent="0.35">
      <c r="A73" s="385"/>
      <c r="C73" s="31">
        <f t="shared" si="91"/>
        <v>69</v>
      </c>
      <c r="D73" s="32">
        <v>76443.73</v>
      </c>
      <c r="E73" s="32">
        <v>81542.289999999994</v>
      </c>
      <c r="F73" s="72"/>
      <c r="G73" s="31">
        <f t="shared" si="92"/>
        <v>69</v>
      </c>
      <c r="H73" s="73">
        <v>136506.66</v>
      </c>
      <c r="I73" s="73">
        <v>145611.23000000001</v>
      </c>
      <c r="AH73" s="386"/>
      <c r="AQ73" s="40" t="s">
        <v>40</v>
      </c>
      <c r="AR73" s="40">
        <v>1</v>
      </c>
      <c r="AS73" s="49">
        <f t="shared" si="87"/>
        <v>0.23599999999999999</v>
      </c>
      <c r="AY73" s="40" t="s">
        <v>40</v>
      </c>
      <c r="AZ73" s="40">
        <v>1</v>
      </c>
      <c r="BA73" s="41">
        <v>2.1659099999999998</v>
      </c>
      <c r="BJ73" s="386"/>
      <c r="BQ73">
        <v>67</v>
      </c>
      <c r="BR73" s="26" t="e">
        <f t="shared" si="129"/>
        <v>#N/A</v>
      </c>
      <c r="BS73" s="26" t="e">
        <f t="shared" si="130"/>
        <v>#N/A</v>
      </c>
      <c r="BU73">
        <v>67</v>
      </c>
      <c r="BV73" s="26" t="e">
        <f t="shared" si="93"/>
        <v>#N/A</v>
      </c>
      <c r="BW73" s="26" t="e">
        <f t="shared" si="94"/>
        <v>#N/A</v>
      </c>
      <c r="BY73">
        <v>67</v>
      </c>
      <c r="BZ73" s="26" t="e">
        <f t="shared" si="131"/>
        <v>#N/A</v>
      </c>
      <c r="CA73" s="26" t="e">
        <f t="shared" si="132"/>
        <v>#N/A</v>
      </c>
      <c r="CC73">
        <v>67</v>
      </c>
      <c r="CD73" s="26" t="e">
        <f t="shared" si="133"/>
        <v>#N/A</v>
      </c>
      <c r="CE73" s="26" t="e">
        <f t="shared" si="134"/>
        <v>#N/A</v>
      </c>
      <c r="CG73">
        <v>67</v>
      </c>
      <c r="CH73" s="24" t="e">
        <f t="shared" si="95"/>
        <v>#N/A</v>
      </c>
      <c r="CI73" s="24" t="e">
        <f t="shared" si="96"/>
        <v>#N/A</v>
      </c>
      <c r="CJ73" s="27">
        <f t="shared" si="97"/>
        <v>0</v>
      </c>
      <c r="CK73" s="27">
        <f t="shared" si="98"/>
        <v>0</v>
      </c>
      <c r="CL73" s="26">
        <f t="shared" si="99"/>
        <v>0</v>
      </c>
      <c r="CM73" s="26">
        <f t="shared" si="100"/>
        <v>0</v>
      </c>
      <c r="CN73" s="27">
        <f t="shared" si="101"/>
        <v>0</v>
      </c>
      <c r="CO73" s="27">
        <f t="shared" si="102"/>
        <v>0</v>
      </c>
      <c r="CP73" s="27">
        <f t="shared" si="103"/>
        <v>0</v>
      </c>
      <c r="CQ73" s="27">
        <f t="shared" si="104"/>
        <v>0</v>
      </c>
      <c r="CR73" s="24">
        <f t="shared" si="105"/>
        <v>0</v>
      </c>
      <c r="CS73" s="24">
        <f t="shared" si="106"/>
        <v>0</v>
      </c>
      <c r="CT73">
        <v>0</v>
      </c>
      <c r="CU73" s="24">
        <f t="shared" si="88"/>
        <v>0</v>
      </c>
      <c r="CV73" s="27">
        <f t="shared" si="107"/>
        <v>0</v>
      </c>
      <c r="CW73" s="27">
        <f t="shared" si="108"/>
        <v>0</v>
      </c>
      <c r="CX73" s="27">
        <f t="shared" si="109"/>
        <v>0</v>
      </c>
      <c r="CY73" s="27">
        <f t="shared" si="110"/>
        <v>0</v>
      </c>
      <c r="CZ73" s="24">
        <f t="shared" si="111"/>
        <v>0</v>
      </c>
      <c r="DA73" s="24">
        <f t="shared" si="112"/>
        <v>0</v>
      </c>
      <c r="DB73" s="27">
        <f t="shared" si="113"/>
        <v>0</v>
      </c>
      <c r="DC73" s="27">
        <f t="shared" si="114"/>
        <v>0</v>
      </c>
      <c r="DD73" s="27">
        <f t="shared" si="115"/>
        <v>0</v>
      </c>
      <c r="DE73" s="27">
        <f t="shared" si="116"/>
        <v>0</v>
      </c>
      <c r="DF73" s="24">
        <f t="shared" si="117"/>
        <v>0</v>
      </c>
      <c r="DG73" s="24">
        <f t="shared" si="118"/>
        <v>0</v>
      </c>
      <c r="DH73" s="24">
        <f t="shared" si="119"/>
        <v>0</v>
      </c>
      <c r="DI73" s="24">
        <f t="shared" si="120"/>
        <v>0</v>
      </c>
      <c r="DJ73" s="26">
        <f t="shared" si="89"/>
        <v>0</v>
      </c>
      <c r="DK73" s="26">
        <f t="shared" si="90"/>
        <v>0</v>
      </c>
      <c r="DP73" s="27"/>
      <c r="DQ73" s="27"/>
      <c r="DR73" s="27">
        <f t="shared" si="121"/>
        <v>0</v>
      </c>
      <c r="DS73" s="27">
        <f t="shared" si="122"/>
        <v>0</v>
      </c>
      <c r="DT73" s="27">
        <f t="shared" si="123"/>
        <v>0</v>
      </c>
      <c r="DU73" s="27">
        <f t="shared" si="124"/>
        <v>0</v>
      </c>
      <c r="DV73" s="27">
        <f t="shared" si="135"/>
        <v>0</v>
      </c>
      <c r="DW73" s="27">
        <f t="shared" si="136"/>
        <v>0</v>
      </c>
      <c r="DX73" s="27">
        <f t="shared" si="125"/>
        <v>0</v>
      </c>
      <c r="DY73" s="27">
        <f t="shared" si="126"/>
        <v>0</v>
      </c>
      <c r="DZ73" s="27">
        <f t="shared" si="127"/>
        <v>0</v>
      </c>
      <c r="EA73" s="27">
        <f t="shared" si="128"/>
        <v>0</v>
      </c>
      <c r="EB73" s="27">
        <f t="shared" si="137"/>
        <v>0</v>
      </c>
      <c r="EC73" s="27">
        <f t="shared" si="138"/>
        <v>0</v>
      </c>
    </row>
    <row r="74" spans="1:133" x14ac:dyDescent="0.35">
      <c r="A74" s="385"/>
      <c r="C74" s="31">
        <f t="shared" si="91"/>
        <v>70</v>
      </c>
      <c r="D74" s="32">
        <v>79245.58</v>
      </c>
      <c r="E74" s="32">
        <v>84592.6</v>
      </c>
      <c r="F74" s="72"/>
      <c r="G74" s="31">
        <f t="shared" si="92"/>
        <v>70</v>
      </c>
      <c r="H74" s="73">
        <v>141509.96</v>
      </c>
      <c r="I74" s="73">
        <v>151058.21</v>
      </c>
      <c r="AH74" s="386"/>
      <c r="AQ74" s="40" t="s">
        <v>41</v>
      </c>
      <c r="AR74" s="40">
        <v>3</v>
      </c>
      <c r="AS74" s="49">
        <f t="shared" si="87"/>
        <v>0.111</v>
      </c>
      <c r="AY74" s="40" t="s">
        <v>41</v>
      </c>
      <c r="AZ74" s="40">
        <v>3</v>
      </c>
      <c r="BA74" s="41">
        <v>0.76854999999999996</v>
      </c>
      <c r="BJ74" s="386"/>
      <c r="BQ74">
        <v>68</v>
      </c>
      <c r="BR74" s="26" t="e">
        <f t="shared" si="129"/>
        <v>#N/A</v>
      </c>
      <c r="BS74" s="26" t="e">
        <f t="shared" si="130"/>
        <v>#N/A</v>
      </c>
      <c r="BU74">
        <v>68</v>
      </c>
      <c r="BV74" s="26" t="e">
        <f t="shared" si="93"/>
        <v>#N/A</v>
      </c>
      <c r="BW74" s="26" t="e">
        <f t="shared" si="94"/>
        <v>#N/A</v>
      </c>
      <c r="BY74">
        <v>68</v>
      </c>
      <c r="BZ74" s="26" t="e">
        <f t="shared" si="131"/>
        <v>#N/A</v>
      </c>
      <c r="CA74" s="26" t="e">
        <f t="shared" si="132"/>
        <v>#N/A</v>
      </c>
      <c r="CC74">
        <v>68</v>
      </c>
      <c r="CD74" s="26" t="e">
        <f t="shared" si="133"/>
        <v>#N/A</v>
      </c>
      <c r="CE74" s="26" t="e">
        <f t="shared" si="134"/>
        <v>#N/A</v>
      </c>
      <c r="CG74">
        <v>68</v>
      </c>
      <c r="CH74" s="24" t="e">
        <f t="shared" si="95"/>
        <v>#N/A</v>
      </c>
      <c r="CI74" s="24" t="e">
        <f t="shared" si="96"/>
        <v>#N/A</v>
      </c>
      <c r="CJ74" s="27">
        <f t="shared" si="97"/>
        <v>0</v>
      </c>
      <c r="CK74" s="27">
        <f t="shared" si="98"/>
        <v>0</v>
      </c>
      <c r="CL74" s="26">
        <f t="shared" si="99"/>
        <v>0</v>
      </c>
      <c r="CM74" s="26">
        <f t="shared" si="100"/>
        <v>0</v>
      </c>
      <c r="CN74" s="27">
        <f t="shared" si="101"/>
        <v>0</v>
      </c>
      <c r="CO74" s="27">
        <f t="shared" si="102"/>
        <v>0</v>
      </c>
      <c r="CP74" s="27">
        <f t="shared" si="103"/>
        <v>0</v>
      </c>
      <c r="CQ74" s="27">
        <f t="shared" si="104"/>
        <v>0</v>
      </c>
      <c r="CR74" s="24">
        <f t="shared" si="105"/>
        <v>0</v>
      </c>
      <c r="CS74" s="24">
        <f t="shared" si="106"/>
        <v>0</v>
      </c>
      <c r="CT74">
        <v>0</v>
      </c>
      <c r="CU74" s="24">
        <f t="shared" si="88"/>
        <v>0</v>
      </c>
      <c r="CV74" s="27">
        <f t="shared" si="107"/>
        <v>0</v>
      </c>
      <c r="CW74" s="27">
        <f t="shared" si="108"/>
        <v>0</v>
      </c>
      <c r="CX74" s="27">
        <f t="shared" si="109"/>
        <v>0</v>
      </c>
      <c r="CY74" s="27">
        <f t="shared" si="110"/>
        <v>0</v>
      </c>
      <c r="CZ74" s="24">
        <f t="shared" si="111"/>
        <v>0</v>
      </c>
      <c r="DA74" s="24">
        <f t="shared" si="112"/>
        <v>0</v>
      </c>
      <c r="DB74" s="27">
        <f t="shared" si="113"/>
        <v>0</v>
      </c>
      <c r="DC74" s="27">
        <f t="shared" si="114"/>
        <v>0</v>
      </c>
      <c r="DD74" s="27">
        <f t="shared" si="115"/>
        <v>0</v>
      </c>
      <c r="DE74" s="27">
        <f t="shared" si="116"/>
        <v>0</v>
      </c>
      <c r="DF74" s="24">
        <f t="shared" si="117"/>
        <v>0</v>
      </c>
      <c r="DG74" s="24">
        <f t="shared" si="118"/>
        <v>0</v>
      </c>
      <c r="DH74" s="24">
        <f t="shared" si="119"/>
        <v>0</v>
      </c>
      <c r="DI74" s="24">
        <f t="shared" si="120"/>
        <v>0</v>
      </c>
      <c r="DJ74" s="26">
        <f t="shared" si="89"/>
        <v>0</v>
      </c>
      <c r="DK74" s="26">
        <f t="shared" si="90"/>
        <v>0</v>
      </c>
      <c r="DP74" s="27"/>
      <c r="DQ74" s="27"/>
      <c r="DR74" s="27">
        <f t="shared" si="121"/>
        <v>0</v>
      </c>
      <c r="DS74" s="27">
        <f t="shared" si="122"/>
        <v>0</v>
      </c>
      <c r="DT74" s="27">
        <f t="shared" si="123"/>
        <v>0</v>
      </c>
      <c r="DU74" s="27">
        <f t="shared" si="124"/>
        <v>0</v>
      </c>
      <c r="DV74" s="27">
        <f t="shared" si="135"/>
        <v>0</v>
      </c>
      <c r="DW74" s="27">
        <f t="shared" si="136"/>
        <v>0</v>
      </c>
      <c r="DX74" s="27">
        <f t="shared" si="125"/>
        <v>0</v>
      </c>
      <c r="DY74" s="27">
        <f t="shared" si="126"/>
        <v>0</v>
      </c>
      <c r="DZ74" s="27">
        <f t="shared" si="127"/>
        <v>0</v>
      </c>
      <c r="EA74" s="27">
        <f t="shared" si="128"/>
        <v>0</v>
      </c>
      <c r="EB74" s="27">
        <f t="shared" si="137"/>
        <v>0</v>
      </c>
      <c r="EC74" s="27">
        <f t="shared" si="138"/>
        <v>0</v>
      </c>
    </row>
    <row r="75" spans="1:133" x14ac:dyDescent="0.35">
      <c r="A75" s="385"/>
      <c r="C75" s="31">
        <f t="shared" si="91"/>
        <v>71</v>
      </c>
      <c r="D75" s="32">
        <v>79880.929999999993</v>
      </c>
      <c r="E75" s="32">
        <v>85270.82</v>
      </c>
      <c r="F75" s="72"/>
      <c r="G75" s="31">
        <f t="shared" si="92"/>
        <v>71</v>
      </c>
      <c r="H75" s="73">
        <v>142644.51999999999</v>
      </c>
      <c r="I75" s="73">
        <v>152269.32</v>
      </c>
      <c r="AH75" s="386"/>
      <c r="AQ75" s="40" t="s">
        <v>42</v>
      </c>
      <c r="AR75" s="40"/>
      <c r="AS75" s="49"/>
      <c r="AY75" s="40" t="s">
        <v>42</v>
      </c>
      <c r="AZ75" s="40"/>
      <c r="BA75" s="40"/>
      <c r="BJ75" s="386"/>
      <c r="BQ75">
        <v>69</v>
      </c>
      <c r="BR75" s="26" t="e">
        <f t="shared" si="129"/>
        <v>#N/A</v>
      </c>
      <c r="BS75" s="26" t="e">
        <f t="shared" si="130"/>
        <v>#N/A</v>
      </c>
      <c r="BU75">
        <v>69</v>
      </c>
      <c r="BV75" s="26" t="e">
        <f t="shared" si="93"/>
        <v>#N/A</v>
      </c>
      <c r="BW75" s="26" t="e">
        <f t="shared" si="94"/>
        <v>#N/A</v>
      </c>
      <c r="BY75">
        <v>69</v>
      </c>
      <c r="BZ75" s="26" t="e">
        <f t="shared" si="131"/>
        <v>#N/A</v>
      </c>
      <c r="CA75" s="26" t="e">
        <f t="shared" si="132"/>
        <v>#N/A</v>
      </c>
      <c r="CC75">
        <v>69</v>
      </c>
      <c r="CD75" s="26" t="e">
        <f t="shared" si="133"/>
        <v>#N/A</v>
      </c>
      <c r="CE75" s="26" t="e">
        <f t="shared" si="134"/>
        <v>#N/A</v>
      </c>
      <c r="CG75">
        <v>69</v>
      </c>
      <c r="CH75" s="24" t="e">
        <f t="shared" si="95"/>
        <v>#N/A</v>
      </c>
      <c r="CI75" s="24" t="e">
        <f t="shared" si="96"/>
        <v>#N/A</v>
      </c>
      <c r="CJ75" s="27">
        <f t="shared" si="97"/>
        <v>0</v>
      </c>
      <c r="CK75" s="27">
        <f t="shared" si="98"/>
        <v>0</v>
      </c>
      <c r="CL75" s="26">
        <f t="shared" si="99"/>
        <v>0</v>
      </c>
      <c r="CM75" s="26">
        <f t="shared" si="100"/>
        <v>0</v>
      </c>
      <c r="CN75" s="27">
        <f t="shared" si="101"/>
        <v>0</v>
      </c>
      <c r="CO75" s="27">
        <f t="shared" si="102"/>
        <v>0</v>
      </c>
      <c r="CP75" s="27">
        <f t="shared" si="103"/>
        <v>0</v>
      </c>
      <c r="CQ75" s="27">
        <f t="shared" si="104"/>
        <v>0</v>
      </c>
      <c r="CR75" s="24">
        <f t="shared" si="105"/>
        <v>0</v>
      </c>
      <c r="CS75" s="24">
        <f t="shared" si="106"/>
        <v>0</v>
      </c>
      <c r="CT75">
        <v>0</v>
      </c>
      <c r="CU75" s="24">
        <f t="shared" si="88"/>
        <v>0</v>
      </c>
      <c r="CV75" s="27">
        <f t="shared" si="107"/>
        <v>0</v>
      </c>
      <c r="CW75" s="27">
        <f t="shared" si="108"/>
        <v>0</v>
      </c>
      <c r="CX75" s="27">
        <f t="shared" si="109"/>
        <v>0</v>
      </c>
      <c r="CY75" s="27">
        <f t="shared" si="110"/>
        <v>0</v>
      </c>
      <c r="CZ75" s="24">
        <f t="shared" si="111"/>
        <v>0</v>
      </c>
      <c r="DA75" s="24">
        <f t="shared" si="112"/>
        <v>0</v>
      </c>
      <c r="DB75" s="27">
        <f t="shared" si="113"/>
        <v>0</v>
      </c>
      <c r="DC75" s="27">
        <f t="shared" si="114"/>
        <v>0</v>
      </c>
      <c r="DD75" s="27">
        <f t="shared" si="115"/>
        <v>0</v>
      </c>
      <c r="DE75" s="27">
        <f t="shared" si="116"/>
        <v>0</v>
      </c>
      <c r="DF75" s="24">
        <f t="shared" si="117"/>
        <v>0</v>
      </c>
      <c r="DG75" s="24">
        <f t="shared" si="118"/>
        <v>0</v>
      </c>
      <c r="DH75" s="24">
        <f t="shared" si="119"/>
        <v>0</v>
      </c>
      <c r="DI75" s="24">
        <f t="shared" si="120"/>
        <v>0</v>
      </c>
      <c r="DJ75" s="26">
        <f t="shared" si="89"/>
        <v>0</v>
      </c>
      <c r="DK75" s="26">
        <f t="shared" si="90"/>
        <v>0</v>
      </c>
      <c r="DP75" s="27"/>
      <c r="DQ75" s="27"/>
      <c r="DR75" s="27">
        <f t="shared" si="121"/>
        <v>0</v>
      </c>
      <c r="DS75" s="27">
        <f t="shared" si="122"/>
        <v>0</v>
      </c>
      <c r="DT75" s="27">
        <f t="shared" si="123"/>
        <v>0</v>
      </c>
      <c r="DU75" s="27">
        <f t="shared" si="124"/>
        <v>0</v>
      </c>
      <c r="DV75" s="27">
        <f t="shared" si="135"/>
        <v>0</v>
      </c>
      <c r="DW75" s="27">
        <f t="shared" si="136"/>
        <v>0</v>
      </c>
      <c r="DX75" s="27">
        <f t="shared" si="125"/>
        <v>0</v>
      </c>
      <c r="DY75" s="27">
        <f t="shared" si="126"/>
        <v>0</v>
      </c>
      <c r="DZ75" s="27">
        <f t="shared" si="127"/>
        <v>0</v>
      </c>
      <c r="EA75" s="27">
        <f t="shared" si="128"/>
        <v>0</v>
      </c>
      <c r="EB75" s="27">
        <f t="shared" si="137"/>
        <v>0</v>
      </c>
      <c r="EC75" s="27">
        <f t="shared" si="138"/>
        <v>0</v>
      </c>
    </row>
    <row r="76" spans="1:133" x14ac:dyDescent="0.35">
      <c r="A76" s="385"/>
      <c r="C76" s="31">
        <f t="shared" si="91"/>
        <v>72</v>
      </c>
      <c r="D76" s="32">
        <v>80521.37</v>
      </c>
      <c r="E76" s="32">
        <v>85954.48</v>
      </c>
      <c r="F76" s="72"/>
      <c r="G76" s="31">
        <f t="shared" si="92"/>
        <v>72</v>
      </c>
      <c r="H76" s="73">
        <v>143788.16</v>
      </c>
      <c r="I76" s="73">
        <v>153490.14000000001</v>
      </c>
      <c r="AH76" s="386"/>
      <c r="AQ76" s="40"/>
      <c r="AR76" s="40"/>
      <c r="AS76" s="49"/>
      <c r="BJ76" s="386"/>
      <c r="BQ76">
        <v>70</v>
      </c>
      <c r="BR76" s="26" t="e">
        <f t="shared" si="129"/>
        <v>#N/A</v>
      </c>
      <c r="BS76" s="26" t="e">
        <f t="shared" si="130"/>
        <v>#N/A</v>
      </c>
      <c r="BU76">
        <v>70</v>
      </c>
      <c r="BV76" s="26" t="e">
        <f t="shared" si="93"/>
        <v>#N/A</v>
      </c>
      <c r="BW76" s="26" t="e">
        <f t="shared" si="94"/>
        <v>#N/A</v>
      </c>
      <c r="BY76">
        <v>70</v>
      </c>
      <c r="BZ76" s="26" t="e">
        <f t="shared" si="131"/>
        <v>#N/A</v>
      </c>
      <c r="CA76" s="26" t="e">
        <f t="shared" si="132"/>
        <v>#N/A</v>
      </c>
      <c r="CC76">
        <v>70</v>
      </c>
      <c r="CD76" s="26" t="e">
        <f t="shared" si="133"/>
        <v>#N/A</v>
      </c>
      <c r="CE76" s="26" t="e">
        <f t="shared" si="134"/>
        <v>#N/A</v>
      </c>
      <c r="CG76">
        <v>70</v>
      </c>
      <c r="CH76" s="24" t="e">
        <f t="shared" si="95"/>
        <v>#N/A</v>
      </c>
      <c r="CI76" s="24" t="e">
        <f t="shared" si="96"/>
        <v>#N/A</v>
      </c>
      <c r="CJ76" s="27">
        <f t="shared" si="97"/>
        <v>0</v>
      </c>
      <c r="CK76" s="27">
        <f t="shared" si="98"/>
        <v>0</v>
      </c>
      <c r="CL76" s="26">
        <f t="shared" si="99"/>
        <v>0</v>
      </c>
      <c r="CM76" s="26">
        <f t="shared" si="100"/>
        <v>0</v>
      </c>
      <c r="CN76" s="27">
        <f t="shared" si="101"/>
        <v>0</v>
      </c>
      <c r="CO76" s="27">
        <f t="shared" si="102"/>
        <v>0</v>
      </c>
      <c r="CP76" s="27">
        <f t="shared" si="103"/>
        <v>0</v>
      </c>
      <c r="CQ76" s="27">
        <f t="shared" si="104"/>
        <v>0</v>
      </c>
      <c r="CR76" s="24">
        <f t="shared" si="105"/>
        <v>0</v>
      </c>
      <c r="CS76" s="24">
        <f t="shared" si="106"/>
        <v>0</v>
      </c>
      <c r="CT76">
        <v>0</v>
      </c>
      <c r="CU76" s="24">
        <f t="shared" si="88"/>
        <v>0</v>
      </c>
      <c r="CV76" s="27">
        <f t="shared" si="107"/>
        <v>0</v>
      </c>
      <c r="CW76" s="27">
        <f t="shared" si="108"/>
        <v>0</v>
      </c>
      <c r="CX76" s="27">
        <f t="shared" si="109"/>
        <v>0</v>
      </c>
      <c r="CY76" s="27">
        <f t="shared" si="110"/>
        <v>0</v>
      </c>
      <c r="CZ76" s="24">
        <f t="shared" si="111"/>
        <v>0</v>
      </c>
      <c r="DA76" s="24">
        <f t="shared" si="112"/>
        <v>0</v>
      </c>
      <c r="DB76" s="27">
        <f t="shared" si="113"/>
        <v>0</v>
      </c>
      <c r="DC76" s="27">
        <f t="shared" si="114"/>
        <v>0</v>
      </c>
      <c r="DD76" s="27">
        <f t="shared" si="115"/>
        <v>0</v>
      </c>
      <c r="DE76" s="27">
        <f t="shared" si="116"/>
        <v>0</v>
      </c>
      <c r="DF76" s="24">
        <f t="shared" si="117"/>
        <v>0</v>
      </c>
      <c r="DG76" s="24">
        <f t="shared" si="118"/>
        <v>0</v>
      </c>
      <c r="DH76" s="24">
        <f t="shared" si="119"/>
        <v>0</v>
      </c>
      <c r="DI76" s="24">
        <f t="shared" si="120"/>
        <v>0</v>
      </c>
      <c r="DJ76" s="26">
        <f t="shared" si="89"/>
        <v>0</v>
      </c>
      <c r="DK76" s="26">
        <f t="shared" si="90"/>
        <v>0</v>
      </c>
      <c r="DP76" s="27"/>
      <c r="DQ76" s="27"/>
      <c r="DR76" s="27">
        <f t="shared" si="121"/>
        <v>0</v>
      </c>
      <c r="DS76" s="27">
        <f t="shared" si="122"/>
        <v>0</v>
      </c>
      <c r="DT76" s="27">
        <f t="shared" si="123"/>
        <v>0</v>
      </c>
      <c r="DU76" s="27">
        <f t="shared" si="124"/>
        <v>0</v>
      </c>
      <c r="DV76" s="27">
        <f t="shared" si="135"/>
        <v>0</v>
      </c>
      <c r="DW76" s="27">
        <f t="shared" si="136"/>
        <v>0</v>
      </c>
      <c r="DX76" s="27">
        <f t="shared" si="125"/>
        <v>0</v>
      </c>
      <c r="DY76" s="27">
        <f t="shared" si="126"/>
        <v>0</v>
      </c>
      <c r="DZ76" s="27">
        <f t="shared" si="127"/>
        <v>0</v>
      </c>
      <c r="EA76" s="27">
        <f t="shared" si="128"/>
        <v>0</v>
      </c>
      <c r="EB76" s="27">
        <f t="shared" si="137"/>
        <v>0</v>
      </c>
      <c r="EC76" s="27">
        <f t="shared" si="138"/>
        <v>0</v>
      </c>
    </row>
    <row r="77" spans="1:133" x14ac:dyDescent="0.35">
      <c r="A77" s="385"/>
      <c r="C77" s="31">
        <f t="shared" si="91"/>
        <v>73</v>
      </c>
      <c r="D77" s="32">
        <v>81166.95</v>
      </c>
      <c r="E77" s="32">
        <v>86643.61</v>
      </c>
      <c r="F77" s="72"/>
      <c r="G77" s="31">
        <f t="shared" si="92"/>
        <v>73</v>
      </c>
      <c r="H77" s="73">
        <v>144940.98000000001</v>
      </c>
      <c r="I77" s="73">
        <v>154720.73000000001</v>
      </c>
      <c r="AH77" s="386"/>
      <c r="BJ77" s="386"/>
      <c r="BQ77">
        <v>71</v>
      </c>
      <c r="BR77" s="26" t="e">
        <f t="shared" si="129"/>
        <v>#N/A</v>
      </c>
      <c r="BS77" s="26" t="e">
        <f t="shared" si="130"/>
        <v>#N/A</v>
      </c>
      <c r="BU77">
        <v>71</v>
      </c>
      <c r="BV77" s="26" t="e">
        <f t="shared" si="93"/>
        <v>#N/A</v>
      </c>
      <c r="BW77" s="26" t="e">
        <f t="shared" si="94"/>
        <v>#N/A</v>
      </c>
      <c r="BY77">
        <v>71</v>
      </c>
      <c r="BZ77" s="26" t="e">
        <f t="shared" si="131"/>
        <v>#N/A</v>
      </c>
      <c r="CA77" s="26" t="e">
        <f t="shared" si="132"/>
        <v>#N/A</v>
      </c>
      <c r="CC77">
        <v>71</v>
      </c>
      <c r="CD77" s="26" t="e">
        <f t="shared" si="133"/>
        <v>#N/A</v>
      </c>
      <c r="CE77" s="26" t="e">
        <f t="shared" si="134"/>
        <v>#N/A</v>
      </c>
      <c r="CG77">
        <v>71</v>
      </c>
      <c r="CH77" s="24" t="e">
        <f t="shared" si="95"/>
        <v>#N/A</v>
      </c>
      <c r="CI77" s="24" t="e">
        <f t="shared" si="96"/>
        <v>#N/A</v>
      </c>
      <c r="CJ77" s="27">
        <f t="shared" si="97"/>
        <v>0</v>
      </c>
      <c r="CK77" s="27">
        <f t="shared" si="98"/>
        <v>0</v>
      </c>
      <c r="CL77" s="26">
        <f t="shared" si="99"/>
        <v>0</v>
      </c>
      <c r="CM77" s="26">
        <f t="shared" si="100"/>
        <v>0</v>
      </c>
      <c r="CN77" s="27">
        <f t="shared" si="101"/>
        <v>0</v>
      </c>
      <c r="CO77" s="27">
        <f t="shared" si="102"/>
        <v>0</v>
      </c>
      <c r="CP77" s="27">
        <f t="shared" si="103"/>
        <v>0</v>
      </c>
      <c r="CQ77" s="27">
        <f t="shared" si="104"/>
        <v>0</v>
      </c>
      <c r="CR77" s="24">
        <f t="shared" si="105"/>
        <v>0</v>
      </c>
      <c r="CS77" s="24">
        <f t="shared" si="106"/>
        <v>0</v>
      </c>
      <c r="CT77">
        <v>0</v>
      </c>
      <c r="CU77" s="24">
        <f t="shared" si="88"/>
        <v>0</v>
      </c>
      <c r="CV77" s="27">
        <f t="shared" si="107"/>
        <v>0</v>
      </c>
      <c r="CW77" s="27">
        <f t="shared" si="108"/>
        <v>0</v>
      </c>
      <c r="CX77" s="27">
        <f t="shared" si="109"/>
        <v>0</v>
      </c>
      <c r="CY77" s="27">
        <f t="shared" si="110"/>
        <v>0</v>
      </c>
      <c r="CZ77" s="24">
        <f t="shared" si="111"/>
        <v>0</v>
      </c>
      <c r="DA77" s="24">
        <f t="shared" si="112"/>
        <v>0</v>
      </c>
      <c r="DB77" s="27">
        <f t="shared" si="113"/>
        <v>0</v>
      </c>
      <c r="DC77" s="27">
        <f t="shared" si="114"/>
        <v>0</v>
      </c>
      <c r="DD77" s="27">
        <f t="shared" si="115"/>
        <v>0</v>
      </c>
      <c r="DE77" s="27">
        <f t="shared" si="116"/>
        <v>0</v>
      </c>
      <c r="DF77" s="24">
        <f t="shared" si="117"/>
        <v>0</v>
      </c>
      <c r="DG77" s="24">
        <f t="shared" si="118"/>
        <v>0</v>
      </c>
      <c r="DH77" s="24">
        <f t="shared" si="119"/>
        <v>0</v>
      </c>
      <c r="DI77" s="24">
        <f t="shared" si="120"/>
        <v>0</v>
      </c>
      <c r="DJ77" s="26">
        <f t="shared" si="89"/>
        <v>0</v>
      </c>
      <c r="DK77" s="26">
        <f t="shared" si="90"/>
        <v>0</v>
      </c>
      <c r="DP77" s="27"/>
      <c r="DQ77" s="27"/>
      <c r="DR77" s="27">
        <f t="shared" si="121"/>
        <v>0</v>
      </c>
      <c r="DS77" s="27">
        <f t="shared" si="122"/>
        <v>0</v>
      </c>
      <c r="DT77" s="27">
        <f t="shared" si="123"/>
        <v>0</v>
      </c>
      <c r="DU77" s="27">
        <f t="shared" si="124"/>
        <v>0</v>
      </c>
      <c r="DV77" s="27">
        <f t="shared" si="135"/>
        <v>0</v>
      </c>
      <c r="DW77" s="27">
        <f t="shared" si="136"/>
        <v>0</v>
      </c>
      <c r="DX77" s="27">
        <f t="shared" si="125"/>
        <v>0</v>
      </c>
      <c r="DY77" s="27">
        <f t="shared" si="126"/>
        <v>0</v>
      </c>
      <c r="DZ77" s="27">
        <f t="shared" si="127"/>
        <v>0</v>
      </c>
      <c r="EA77" s="27">
        <f t="shared" si="128"/>
        <v>0</v>
      </c>
      <c r="EB77" s="27">
        <f t="shared" si="137"/>
        <v>0</v>
      </c>
      <c r="EC77" s="27">
        <f t="shared" si="138"/>
        <v>0</v>
      </c>
    </row>
    <row r="78" spans="1:133" x14ac:dyDescent="0.35">
      <c r="A78" s="385"/>
      <c r="C78" s="31">
        <f t="shared" si="91"/>
        <v>74</v>
      </c>
      <c r="D78" s="32">
        <v>81817.7</v>
      </c>
      <c r="E78" s="32">
        <v>87338.28</v>
      </c>
      <c r="F78" s="72"/>
      <c r="G78" s="31">
        <f t="shared" si="92"/>
        <v>74</v>
      </c>
      <c r="H78" s="73">
        <v>146103.04000000001</v>
      </c>
      <c r="I78" s="73">
        <v>155961.21</v>
      </c>
      <c r="AH78" s="386"/>
      <c r="BJ78" s="386"/>
      <c r="BQ78">
        <v>72</v>
      </c>
      <c r="BR78" s="26" t="e">
        <f t="shared" si="129"/>
        <v>#N/A</v>
      </c>
      <c r="BS78" s="26" t="e">
        <f t="shared" si="130"/>
        <v>#N/A</v>
      </c>
      <c r="BU78">
        <v>72</v>
      </c>
      <c r="BV78" s="26" t="e">
        <f t="shared" si="93"/>
        <v>#N/A</v>
      </c>
      <c r="BW78" s="26" t="e">
        <f t="shared" si="94"/>
        <v>#N/A</v>
      </c>
      <c r="BY78">
        <v>72</v>
      </c>
      <c r="BZ78" s="26" t="e">
        <f t="shared" si="131"/>
        <v>#N/A</v>
      </c>
      <c r="CA78" s="26" t="e">
        <f t="shared" si="132"/>
        <v>#N/A</v>
      </c>
      <c r="CC78">
        <v>72</v>
      </c>
      <c r="CD78" s="26" t="e">
        <f t="shared" si="133"/>
        <v>#N/A</v>
      </c>
      <c r="CE78" s="26" t="e">
        <f t="shared" si="134"/>
        <v>#N/A</v>
      </c>
      <c r="CG78">
        <v>72</v>
      </c>
      <c r="CH78" s="24" t="e">
        <f t="shared" si="95"/>
        <v>#N/A</v>
      </c>
      <c r="CI78" s="24" t="e">
        <f t="shared" si="96"/>
        <v>#N/A</v>
      </c>
      <c r="CJ78" s="27">
        <f t="shared" si="97"/>
        <v>0</v>
      </c>
      <c r="CK78" s="27">
        <f t="shared" si="98"/>
        <v>0</v>
      </c>
      <c r="CL78" s="26">
        <f t="shared" si="99"/>
        <v>0</v>
      </c>
      <c r="CM78" s="26">
        <f t="shared" si="100"/>
        <v>0</v>
      </c>
      <c r="CN78" s="27">
        <f t="shared" si="101"/>
        <v>0</v>
      </c>
      <c r="CO78" s="27">
        <f t="shared" si="102"/>
        <v>0</v>
      </c>
      <c r="CP78" s="27">
        <f t="shared" si="103"/>
        <v>0</v>
      </c>
      <c r="CQ78" s="27">
        <f t="shared" si="104"/>
        <v>0</v>
      </c>
      <c r="CR78" s="24">
        <f t="shared" si="105"/>
        <v>0</v>
      </c>
      <c r="CS78" s="24">
        <f t="shared" si="106"/>
        <v>0</v>
      </c>
      <c r="CT78">
        <v>0</v>
      </c>
      <c r="CU78" s="24">
        <f t="shared" si="88"/>
        <v>0</v>
      </c>
      <c r="CV78" s="27">
        <f t="shared" si="107"/>
        <v>0</v>
      </c>
      <c r="CW78" s="27">
        <f t="shared" si="108"/>
        <v>0</v>
      </c>
      <c r="CX78" s="27">
        <f t="shared" si="109"/>
        <v>0</v>
      </c>
      <c r="CY78" s="27">
        <f t="shared" si="110"/>
        <v>0</v>
      </c>
      <c r="CZ78" s="24">
        <f t="shared" si="111"/>
        <v>0</v>
      </c>
      <c r="DA78" s="24">
        <f t="shared" si="112"/>
        <v>0</v>
      </c>
      <c r="DB78" s="27">
        <f t="shared" si="113"/>
        <v>0</v>
      </c>
      <c r="DC78" s="27">
        <f t="shared" si="114"/>
        <v>0</v>
      </c>
      <c r="DD78" s="27">
        <f t="shared" si="115"/>
        <v>0</v>
      </c>
      <c r="DE78" s="27">
        <f t="shared" si="116"/>
        <v>0</v>
      </c>
      <c r="DF78" s="24">
        <f t="shared" si="117"/>
        <v>0</v>
      </c>
      <c r="DG78" s="24">
        <f t="shared" si="118"/>
        <v>0</v>
      </c>
      <c r="DH78" s="24">
        <f t="shared" si="119"/>
        <v>0</v>
      </c>
      <c r="DI78" s="24">
        <f t="shared" si="120"/>
        <v>0</v>
      </c>
      <c r="DJ78" s="26">
        <f t="shared" si="89"/>
        <v>0</v>
      </c>
      <c r="DK78" s="26">
        <f t="shared" si="90"/>
        <v>0</v>
      </c>
      <c r="DP78" s="27"/>
      <c r="DQ78" s="27"/>
      <c r="DR78" s="27">
        <f t="shared" si="121"/>
        <v>0</v>
      </c>
      <c r="DS78" s="27">
        <f t="shared" si="122"/>
        <v>0</v>
      </c>
      <c r="DT78" s="27">
        <f t="shared" si="123"/>
        <v>0</v>
      </c>
      <c r="DU78" s="27">
        <f t="shared" si="124"/>
        <v>0</v>
      </c>
      <c r="DV78" s="27">
        <f t="shared" si="135"/>
        <v>0</v>
      </c>
      <c r="DW78" s="27">
        <f t="shared" si="136"/>
        <v>0</v>
      </c>
      <c r="DX78" s="27">
        <f t="shared" si="125"/>
        <v>0</v>
      </c>
      <c r="DY78" s="27">
        <f t="shared" si="126"/>
        <v>0</v>
      </c>
      <c r="DZ78" s="27">
        <f t="shared" si="127"/>
        <v>0</v>
      </c>
      <c r="EA78" s="27">
        <f t="shared" si="128"/>
        <v>0</v>
      </c>
      <c r="EB78" s="27">
        <f t="shared" si="137"/>
        <v>0</v>
      </c>
      <c r="EC78" s="27">
        <f t="shared" si="138"/>
        <v>0</v>
      </c>
    </row>
    <row r="79" spans="1:133" x14ac:dyDescent="0.35">
      <c r="A79" s="385"/>
      <c r="C79" s="31">
        <f t="shared" si="91"/>
        <v>75</v>
      </c>
      <c r="D79" s="32">
        <v>82473.679999999993</v>
      </c>
      <c r="E79" s="32">
        <v>88038.51</v>
      </c>
      <c r="F79" s="72"/>
      <c r="G79" s="31">
        <f t="shared" si="92"/>
        <v>75</v>
      </c>
      <c r="H79" s="73">
        <v>147274.43</v>
      </c>
      <c r="I79" s="73">
        <v>157211.63</v>
      </c>
      <c r="AH79" s="386"/>
      <c r="BJ79" s="386"/>
      <c r="BQ79">
        <v>73</v>
      </c>
      <c r="BR79" s="26" t="e">
        <f t="shared" si="129"/>
        <v>#N/A</v>
      </c>
      <c r="BS79" s="26" t="e">
        <f t="shared" si="130"/>
        <v>#N/A</v>
      </c>
      <c r="BU79">
        <v>73</v>
      </c>
      <c r="BV79" s="26" t="e">
        <f t="shared" si="93"/>
        <v>#N/A</v>
      </c>
      <c r="BW79" s="26" t="e">
        <f t="shared" si="94"/>
        <v>#N/A</v>
      </c>
      <c r="BY79">
        <v>73</v>
      </c>
      <c r="BZ79" s="26" t="e">
        <f t="shared" si="131"/>
        <v>#N/A</v>
      </c>
      <c r="CA79" s="26" t="e">
        <f t="shared" si="132"/>
        <v>#N/A</v>
      </c>
      <c r="CC79">
        <v>73</v>
      </c>
      <c r="CD79" s="26" t="e">
        <f t="shared" si="133"/>
        <v>#N/A</v>
      </c>
      <c r="CE79" s="26" t="e">
        <f t="shared" si="134"/>
        <v>#N/A</v>
      </c>
      <c r="CG79">
        <v>73</v>
      </c>
      <c r="CH79" s="24" t="e">
        <f t="shared" si="95"/>
        <v>#N/A</v>
      </c>
      <c r="CI79" s="24" t="e">
        <f t="shared" si="96"/>
        <v>#N/A</v>
      </c>
      <c r="CJ79" s="27">
        <f t="shared" si="97"/>
        <v>0</v>
      </c>
      <c r="CK79" s="27">
        <f t="shared" si="98"/>
        <v>0</v>
      </c>
      <c r="CL79" s="26">
        <f t="shared" si="99"/>
        <v>0</v>
      </c>
      <c r="CM79" s="26">
        <f t="shared" si="100"/>
        <v>0</v>
      </c>
      <c r="CN79" s="27">
        <f t="shared" si="101"/>
        <v>0</v>
      </c>
      <c r="CO79" s="27">
        <f t="shared" si="102"/>
        <v>0</v>
      </c>
      <c r="CP79" s="27">
        <f t="shared" si="103"/>
        <v>0</v>
      </c>
      <c r="CQ79" s="27">
        <f t="shared" si="104"/>
        <v>0</v>
      </c>
      <c r="CR79" s="24">
        <f t="shared" si="105"/>
        <v>0</v>
      </c>
      <c r="CS79" s="24">
        <f t="shared" si="106"/>
        <v>0</v>
      </c>
      <c r="CT79">
        <v>0</v>
      </c>
      <c r="CU79" s="24">
        <f t="shared" si="88"/>
        <v>0</v>
      </c>
      <c r="CV79" s="27">
        <f t="shared" si="107"/>
        <v>0</v>
      </c>
      <c r="CW79" s="27">
        <f t="shared" si="108"/>
        <v>0</v>
      </c>
      <c r="CX79" s="27">
        <f t="shared" si="109"/>
        <v>0</v>
      </c>
      <c r="CY79" s="27">
        <f t="shared" si="110"/>
        <v>0</v>
      </c>
      <c r="CZ79" s="24">
        <f t="shared" si="111"/>
        <v>0</v>
      </c>
      <c r="DA79" s="24">
        <f t="shared" si="112"/>
        <v>0</v>
      </c>
      <c r="DB79" s="27">
        <f t="shared" si="113"/>
        <v>0</v>
      </c>
      <c r="DC79" s="27">
        <f t="shared" si="114"/>
        <v>0</v>
      </c>
      <c r="DD79" s="27">
        <f t="shared" si="115"/>
        <v>0</v>
      </c>
      <c r="DE79" s="27">
        <f t="shared" si="116"/>
        <v>0</v>
      </c>
      <c r="DF79" s="24">
        <f t="shared" si="117"/>
        <v>0</v>
      </c>
      <c r="DG79" s="24">
        <f t="shared" si="118"/>
        <v>0</v>
      </c>
      <c r="DH79" s="24">
        <f t="shared" si="119"/>
        <v>0</v>
      </c>
      <c r="DI79" s="24">
        <f t="shared" si="120"/>
        <v>0</v>
      </c>
      <c r="DJ79" s="26">
        <f t="shared" si="89"/>
        <v>0</v>
      </c>
      <c r="DK79" s="26">
        <f t="shared" si="90"/>
        <v>0</v>
      </c>
      <c r="DP79" s="27"/>
      <c r="DQ79" s="27"/>
      <c r="DR79" s="27">
        <f t="shared" si="121"/>
        <v>0</v>
      </c>
      <c r="DS79" s="27">
        <f t="shared" si="122"/>
        <v>0</v>
      </c>
      <c r="DT79" s="27">
        <f t="shared" si="123"/>
        <v>0</v>
      </c>
      <c r="DU79" s="27">
        <f t="shared" si="124"/>
        <v>0</v>
      </c>
      <c r="DV79" s="27">
        <f t="shared" si="135"/>
        <v>0</v>
      </c>
      <c r="DW79" s="27">
        <f t="shared" si="136"/>
        <v>0</v>
      </c>
      <c r="DX79" s="27">
        <f t="shared" si="125"/>
        <v>0</v>
      </c>
      <c r="DY79" s="27">
        <f t="shared" si="126"/>
        <v>0</v>
      </c>
      <c r="DZ79" s="27">
        <f t="shared" si="127"/>
        <v>0</v>
      </c>
      <c r="EA79" s="27">
        <f t="shared" si="128"/>
        <v>0</v>
      </c>
      <c r="EB79" s="27">
        <f t="shared" si="137"/>
        <v>0</v>
      </c>
      <c r="EC79" s="27">
        <f t="shared" si="138"/>
        <v>0</v>
      </c>
    </row>
    <row r="80" spans="1:133" x14ac:dyDescent="0.35">
      <c r="A80" s="385"/>
      <c r="C80" s="31">
        <f t="shared" si="91"/>
        <v>76</v>
      </c>
      <c r="D80" s="32">
        <v>83134.91</v>
      </c>
      <c r="E80" s="32">
        <v>88744.36</v>
      </c>
      <c r="F80" s="72"/>
      <c r="G80" s="31">
        <f t="shared" si="92"/>
        <v>76</v>
      </c>
      <c r="H80" s="73">
        <v>148455.20000000001</v>
      </c>
      <c r="I80" s="73">
        <v>158472.07</v>
      </c>
      <c r="AH80" s="386"/>
      <c r="BJ80" s="386"/>
      <c r="BQ80">
        <v>74</v>
      </c>
      <c r="BR80" s="26" t="e">
        <f t="shared" si="129"/>
        <v>#N/A</v>
      </c>
      <c r="BS80" s="26" t="e">
        <f t="shared" si="130"/>
        <v>#N/A</v>
      </c>
      <c r="BU80">
        <v>74</v>
      </c>
      <c r="BV80" s="26" t="e">
        <f t="shared" si="93"/>
        <v>#N/A</v>
      </c>
      <c r="BW80" s="26" t="e">
        <f t="shared" si="94"/>
        <v>#N/A</v>
      </c>
      <c r="BY80">
        <v>74</v>
      </c>
      <c r="BZ80" s="26" t="e">
        <f t="shared" si="131"/>
        <v>#N/A</v>
      </c>
      <c r="CA80" s="26" t="e">
        <f t="shared" si="132"/>
        <v>#N/A</v>
      </c>
      <c r="CC80">
        <v>74</v>
      </c>
      <c r="CD80" s="26" t="e">
        <f t="shared" si="133"/>
        <v>#N/A</v>
      </c>
      <c r="CE80" s="26" t="e">
        <f t="shared" si="134"/>
        <v>#N/A</v>
      </c>
      <c r="CG80">
        <v>74</v>
      </c>
      <c r="CH80" s="24" t="e">
        <f t="shared" si="95"/>
        <v>#N/A</v>
      </c>
      <c r="CI80" s="24" t="e">
        <f t="shared" si="96"/>
        <v>#N/A</v>
      </c>
      <c r="CJ80" s="27">
        <f t="shared" si="97"/>
        <v>0</v>
      </c>
      <c r="CK80" s="27">
        <f t="shared" si="98"/>
        <v>0</v>
      </c>
      <c r="CL80" s="26">
        <f t="shared" si="99"/>
        <v>0</v>
      </c>
      <c r="CM80" s="26">
        <f t="shared" si="100"/>
        <v>0</v>
      </c>
      <c r="CN80" s="27">
        <f t="shared" si="101"/>
        <v>0</v>
      </c>
      <c r="CO80" s="27">
        <f t="shared" si="102"/>
        <v>0</v>
      </c>
      <c r="CP80" s="27">
        <f t="shared" si="103"/>
        <v>0</v>
      </c>
      <c r="CQ80" s="27">
        <f t="shared" si="104"/>
        <v>0</v>
      </c>
      <c r="CR80" s="24">
        <f t="shared" si="105"/>
        <v>0</v>
      </c>
      <c r="CS80" s="24">
        <f t="shared" si="106"/>
        <v>0</v>
      </c>
      <c r="CT80">
        <v>0</v>
      </c>
      <c r="CU80" s="24">
        <f t="shared" si="88"/>
        <v>0</v>
      </c>
      <c r="CV80" s="27">
        <f t="shared" si="107"/>
        <v>0</v>
      </c>
      <c r="CW80" s="27">
        <f t="shared" si="108"/>
        <v>0</v>
      </c>
      <c r="CX80" s="27">
        <f t="shared" si="109"/>
        <v>0</v>
      </c>
      <c r="CY80" s="27">
        <f t="shared" si="110"/>
        <v>0</v>
      </c>
      <c r="CZ80" s="24">
        <f t="shared" si="111"/>
        <v>0</v>
      </c>
      <c r="DA80" s="24">
        <f t="shared" si="112"/>
        <v>0</v>
      </c>
      <c r="DB80" s="27">
        <f t="shared" si="113"/>
        <v>0</v>
      </c>
      <c r="DC80" s="27">
        <f t="shared" si="114"/>
        <v>0</v>
      </c>
      <c r="DD80" s="27">
        <f t="shared" si="115"/>
        <v>0</v>
      </c>
      <c r="DE80" s="27">
        <f t="shared" si="116"/>
        <v>0</v>
      </c>
      <c r="DF80" s="24">
        <f t="shared" si="117"/>
        <v>0</v>
      </c>
      <c r="DG80" s="24">
        <f t="shared" si="118"/>
        <v>0</v>
      </c>
      <c r="DH80" s="24">
        <f t="shared" si="119"/>
        <v>0</v>
      </c>
      <c r="DI80" s="24">
        <f t="shared" si="120"/>
        <v>0</v>
      </c>
      <c r="DJ80" s="26">
        <f t="shared" si="89"/>
        <v>0</v>
      </c>
      <c r="DK80" s="26">
        <f t="shared" si="90"/>
        <v>0</v>
      </c>
      <c r="DP80" s="27"/>
      <c r="DQ80" s="27"/>
      <c r="DR80" s="27">
        <f t="shared" si="121"/>
        <v>0</v>
      </c>
      <c r="DS80" s="27">
        <f t="shared" si="122"/>
        <v>0</v>
      </c>
      <c r="DT80" s="27">
        <f t="shared" si="123"/>
        <v>0</v>
      </c>
      <c r="DU80" s="27">
        <f t="shared" si="124"/>
        <v>0</v>
      </c>
      <c r="DV80" s="27">
        <f t="shared" si="135"/>
        <v>0</v>
      </c>
      <c r="DW80" s="27">
        <f t="shared" si="136"/>
        <v>0</v>
      </c>
      <c r="DX80" s="27">
        <f t="shared" si="125"/>
        <v>0</v>
      </c>
      <c r="DY80" s="27">
        <f t="shared" si="126"/>
        <v>0</v>
      </c>
      <c r="DZ80" s="27">
        <f t="shared" si="127"/>
        <v>0</v>
      </c>
      <c r="EA80" s="27">
        <f t="shared" si="128"/>
        <v>0</v>
      </c>
      <c r="EB80" s="27">
        <f t="shared" si="137"/>
        <v>0</v>
      </c>
      <c r="EC80" s="27">
        <f t="shared" si="138"/>
        <v>0</v>
      </c>
    </row>
    <row r="81" spans="3:133" x14ac:dyDescent="0.35">
      <c r="C81" s="31">
        <f t="shared" si="91"/>
        <v>77</v>
      </c>
      <c r="D81" s="32">
        <v>83801.440000000002</v>
      </c>
      <c r="E81" s="32">
        <v>89455.86</v>
      </c>
      <c r="F81" s="72"/>
      <c r="G81" s="31">
        <f t="shared" si="92"/>
        <v>77</v>
      </c>
      <c r="H81" s="73">
        <v>149645.43</v>
      </c>
      <c r="I81" s="73">
        <v>159742.60999999999</v>
      </c>
      <c r="BQ81">
        <v>75</v>
      </c>
      <c r="BR81" s="26" t="e">
        <f t="shared" si="129"/>
        <v>#N/A</v>
      </c>
      <c r="BS81" s="26" t="e">
        <f t="shared" si="130"/>
        <v>#N/A</v>
      </c>
      <c r="BU81">
        <v>75</v>
      </c>
      <c r="BV81" s="26" t="e">
        <f t="shared" si="93"/>
        <v>#N/A</v>
      </c>
      <c r="BW81" s="26" t="e">
        <f t="shared" si="94"/>
        <v>#N/A</v>
      </c>
      <c r="BY81">
        <v>75</v>
      </c>
      <c r="BZ81" s="26" t="e">
        <f t="shared" si="131"/>
        <v>#N/A</v>
      </c>
      <c r="CA81" s="26" t="e">
        <f t="shared" si="132"/>
        <v>#N/A</v>
      </c>
      <c r="CC81">
        <v>75</v>
      </c>
      <c r="CD81" s="26" t="e">
        <f t="shared" si="133"/>
        <v>#N/A</v>
      </c>
      <c r="CE81" s="26" t="e">
        <f t="shared" si="134"/>
        <v>#N/A</v>
      </c>
      <c r="CG81">
        <v>75</v>
      </c>
      <c r="CH81" s="24" t="e">
        <f t="shared" si="95"/>
        <v>#N/A</v>
      </c>
      <c r="CI81" s="24" t="e">
        <f t="shared" si="96"/>
        <v>#N/A</v>
      </c>
      <c r="CJ81" s="27">
        <f t="shared" si="97"/>
        <v>0</v>
      </c>
      <c r="CK81" s="27">
        <f t="shared" si="98"/>
        <v>0</v>
      </c>
      <c r="CL81" s="26">
        <f t="shared" si="99"/>
        <v>0</v>
      </c>
      <c r="CM81" s="26">
        <f t="shared" si="100"/>
        <v>0</v>
      </c>
      <c r="CN81" s="27">
        <f t="shared" si="101"/>
        <v>0</v>
      </c>
      <c r="CO81" s="27">
        <f t="shared" si="102"/>
        <v>0</v>
      </c>
      <c r="CP81" s="27">
        <f t="shared" si="103"/>
        <v>0</v>
      </c>
      <c r="CQ81" s="27">
        <f t="shared" si="104"/>
        <v>0</v>
      </c>
      <c r="CR81" s="24">
        <f t="shared" si="105"/>
        <v>0</v>
      </c>
      <c r="CS81" s="24">
        <f t="shared" si="106"/>
        <v>0</v>
      </c>
      <c r="CT81">
        <v>0</v>
      </c>
      <c r="CU81" s="24">
        <f t="shared" si="88"/>
        <v>0</v>
      </c>
      <c r="CV81" s="27">
        <f t="shared" si="107"/>
        <v>0</v>
      </c>
      <c r="CW81" s="27">
        <f t="shared" si="108"/>
        <v>0</v>
      </c>
      <c r="CX81" s="27">
        <f t="shared" si="109"/>
        <v>0</v>
      </c>
      <c r="CY81" s="27">
        <f t="shared" si="110"/>
        <v>0</v>
      </c>
      <c r="CZ81" s="24">
        <f t="shared" si="111"/>
        <v>0</v>
      </c>
      <c r="DA81" s="24">
        <f t="shared" si="112"/>
        <v>0</v>
      </c>
      <c r="DB81" s="27">
        <f t="shared" si="113"/>
        <v>0</v>
      </c>
      <c r="DC81" s="27">
        <f t="shared" si="114"/>
        <v>0</v>
      </c>
      <c r="DD81" s="27">
        <f t="shared" si="115"/>
        <v>0</v>
      </c>
      <c r="DE81" s="27">
        <f t="shared" si="116"/>
        <v>0</v>
      </c>
      <c r="DF81" s="24">
        <f t="shared" si="117"/>
        <v>0</v>
      </c>
      <c r="DG81" s="24">
        <f t="shared" si="118"/>
        <v>0</v>
      </c>
      <c r="DH81" s="24">
        <f t="shared" si="119"/>
        <v>0</v>
      </c>
      <c r="DI81" s="24">
        <f t="shared" si="120"/>
        <v>0</v>
      </c>
      <c r="DJ81" s="26">
        <f t="shared" si="89"/>
        <v>0</v>
      </c>
      <c r="DK81" s="26">
        <f t="shared" si="90"/>
        <v>0</v>
      </c>
      <c r="DP81" s="27"/>
      <c r="DQ81" s="27"/>
      <c r="DR81" s="27">
        <f t="shared" si="121"/>
        <v>0</v>
      </c>
      <c r="DS81" s="27">
        <f t="shared" si="122"/>
        <v>0</v>
      </c>
      <c r="DT81" s="27">
        <f t="shared" si="123"/>
        <v>0</v>
      </c>
      <c r="DU81" s="27">
        <f t="shared" si="124"/>
        <v>0</v>
      </c>
      <c r="DV81" s="27">
        <f t="shared" si="135"/>
        <v>0</v>
      </c>
      <c r="DW81" s="27">
        <f t="shared" si="136"/>
        <v>0</v>
      </c>
      <c r="DX81" s="27">
        <f t="shared" si="125"/>
        <v>0</v>
      </c>
      <c r="DY81" s="27">
        <f t="shared" si="126"/>
        <v>0</v>
      </c>
      <c r="DZ81" s="27">
        <f t="shared" si="127"/>
        <v>0</v>
      </c>
      <c r="EA81" s="27">
        <f t="shared" si="128"/>
        <v>0</v>
      </c>
      <c r="EB81" s="27">
        <f t="shared" si="137"/>
        <v>0</v>
      </c>
      <c r="EC81" s="27">
        <f t="shared" si="138"/>
        <v>0</v>
      </c>
    </row>
    <row r="82" spans="3:133" x14ac:dyDescent="0.35">
      <c r="C82" s="31">
        <f t="shared" si="91"/>
        <v>78</v>
      </c>
      <c r="D82" s="32">
        <v>84473.31</v>
      </c>
      <c r="E82" s="32">
        <v>90173.07</v>
      </c>
      <c r="F82" s="72"/>
      <c r="G82" s="31">
        <f t="shared" si="92"/>
        <v>78</v>
      </c>
      <c r="H82" s="73">
        <v>150845.20000000001</v>
      </c>
      <c r="I82" s="73">
        <v>161023.34</v>
      </c>
      <c r="BQ82">
        <v>76</v>
      </c>
      <c r="BR82" s="26" t="e">
        <f t="shared" si="129"/>
        <v>#N/A</v>
      </c>
      <c r="BS82" s="26" t="e">
        <f t="shared" si="130"/>
        <v>#N/A</v>
      </c>
      <c r="BU82">
        <v>76</v>
      </c>
      <c r="BV82" s="26" t="e">
        <f t="shared" si="93"/>
        <v>#N/A</v>
      </c>
      <c r="BW82" s="26" t="e">
        <f t="shared" si="94"/>
        <v>#N/A</v>
      </c>
      <c r="BY82">
        <v>76</v>
      </c>
      <c r="BZ82" s="26" t="e">
        <f t="shared" si="131"/>
        <v>#N/A</v>
      </c>
      <c r="CA82" s="26" t="e">
        <f t="shared" si="132"/>
        <v>#N/A</v>
      </c>
      <c r="CC82">
        <v>76</v>
      </c>
      <c r="CD82" s="26" t="e">
        <f t="shared" si="133"/>
        <v>#N/A</v>
      </c>
      <c r="CE82" s="26" t="e">
        <f t="shared" si="134"/>
        <v>#N/A</v>
      </c>
      <c r="CG82">
        <v>76</v>
      </c>
      <c r="CH82" s="24" t="e">
        <f t="shared" si="95"/>
        <v>#N/A</v>
      </c>
      <c r="CI82" s="24" t="e">
        <f t="shared" si="96"/>
        <v>#N/A</v>
      </c>
      <c r="CJ82" s="27">
        <f t="shared" si="97"/>
        <v>0</v>
      </c>
      <c r="CK82" s="27">
        <f t="shared" si="98"/>
        <v>0</v>
      </c>
      <c r="CL82" s="26">
        <f t="shared" si="99"/>
        <v>0</v>
      </c>
      <c r="CM82" s="26">
        <f t="shared" si="100"/>
        <v>0</v>
      </c>
      <c r="CN82" s="27">
        <f t="shared" si="101"/>
        <v>0</v>
      </c>
      <c r="CO82" s="27">
        <f t="shared" si="102"/>
        <v>0</v>
      </c>
      <c r="CP82" s="27">
        <f t="shared" si="103"/>
        <v>0</v>
      </c>
      <c r="CQ82" s="27">
        <f t="shared" si="104"/>
        <v>0</v>
      </c>
      <c r="CR82" s="24">
        <f t="shared" si="105"/>
        <v>0</v>
      </c>
      <c r="CS82" s="24">
        <f t="shared" si="106"/>
        <v>0</v>
      </c>
      <c r="CT82">
        <v>0</v>
      </c>
      <c r="CU82" s="24">
        <f t="shared" si="88"/>
        <v>0</v>
      </c>
      <c r="CV82" s="27">
        <f t="shared" si="107"/>
        <v>0</v>
      </c>
      <c r="CW82" s="27">
        <f t="shared" si="108"/>
        <v>0</v>
      </c>
      <c r="CX82" s="27">
        <f t="shared" si="109"/>
        <v>0</v>
      </c>
      <c r="CY82" s="27">
        <f t="shared" si="110"/>
        <v>0</v>
      </c>
      <c r="CZ82" s="24">
        <f t="shared" si="111"/>
        <v>0</v>
      </c>
      <c r="DA82" s="24">
        <f t="shared" si="112"/>
        <v>0</v>
      </c>
      <c r="DB82" s="27">
        <f t="shared" si="113"/>
        <v>0</v>
      </c>
      <c r="DC82" s="27">
        <f t="shared" si="114"/>
        <v>0</v>
      </c>
      <c r="DD82" s="27">
        <f t="shared" si="115"/>
        <v>0</v>
      </c>
      <c r="DE82" s="27">
        <f t="shared" si="116"/>
        <v>0</v>
      </c>
      <c r="DF82" s="24">
        <f t="shared" si="117"/>
        <v>0</v>
      </c>
      <c r="DG82" s="24">
        <f t="shared" si="118"/>
        <v>0</v>
      </c>
      <c r="DH82" s="24">
        <f t="shared" si="119"/>
        <v>0</v>
      </c>
      <c r="DI82" s="24">
        <f t="shared" si="120"/>
        <v>0</v>
      </c>
      <c r="DJ82" s="26">
        <f t="shared" si="89"/>
        <v>0</v>
      </c>
      <c r="DK82" s="26">
        <f t="shared" si="90"/>
        <v>0</v>
      </c>
      <c r="DP82" s="27"/>
      <c r="DQ82" s="27"/>
      <c r="DR82" s="27">
        <f t="shared" si="121"/>
        <v>0</v>
      </c>
      <c r="DS82" s="27">
        <f t="shared" si="122"/>
        <v>0</v>
      </c>
      <c r="DT82" s="27">
        <f t="shared" si="123"/>
        <v>0</v>
      </c>
      <c r="DU82" s="27">
        <f t="shared" si="124"/>
        <v>0</v>
      </c>
      <c r="DV82" s="27">
        <f t="shared" si="135"/>
        <v>0</v>
      </c>
      <c r="DW82" s="27">
        <f t="shared" si="136"/>
        <v>0</v>
      </c>
      <c r="DX82" s="27">
        <f t="shared" si="125"/>
        <v>0</v>
      </c>
      <c r="DY82" s="27">
        <f t="shared" si="126"/>
        <v>0</v>
      </c>
      <c r="DZ82" s="27">
        <f t="shared" si="127"/>
        <v>0</v>
      </c>
      <c r="EA82" s="27">
        <f t="shared" si="128"/>
        <v>0</v>
      </c>
      <c r="EB82" s="27">
        <f t="shared" si="137"/>
        <v>0</v>
      </c>
      <c r="EC82" s="27">
        <f t="shared" si="138"/>
        <v>0</v>
      </c>
    </row>
    <row r="83" spans="3:133" x14ac:dyDescent="0.35">
      <c r="C83" s="31">
        <f t="shared" si="91"/>
        <v>79</v>
      </c>
      <c r="D83" s="32">
        <v>85150.58</v>
      </c>
      <c r="E83" s="32">
        <v>90896.03</v>
      </c>
      <c r="F83" s="72"/>
      <c r="G83" s="31">
        <f t="shared" si="92"/>
        <v>79</v>
      </c>
      <c r="H83" s="73">
        <v>152054.60999999999</v>
      </c>
      <c r="I83" s="73">
        <v>162314.34</v>
      </c>
      <c r="BQ83">
        <v>77</v>
      </c>
      <c r="BR83" s="26" t="e">
        <f t="shared" si="129"/>
        <v>#N/A</v>
      </c>
      <c r="BS83" s="26" t="e">
        <f t="shared" si="130"/>
        <v>#N/A</v>
      </c>
      <c r="BU83">
        <v>77</v>
      </c>
      <c r="BV83" s="26" t="e">
        <f t="shared" si="93"/>
        <v>#N/A</v>
      </c>
      <c r="BW83" s="26" t="e">
        <f t="shared" si="94"/>
        <v>#N/A</v>
      </c>
      <c r="BY83">
        <v>77</v>
      </c>
      <c r="BZ83" s="26" t="e">
        <f t="shared" si="131"/>
        <v>#N/A</v>
      </c>
      <c r="CA83" s="26" t="e">
        <f t="shared" si="132"/>
        <v>#N/A</v>
      </c>
      <c r="CC83">
        <v>77</v>
      </c>
      <c r="CD83" s="26" t="e">
        <f t="shared" si="133"/>
        <v>#N/A</v>
      </c>
      <c r="CE83" s="26" t="e">
        <f t="shared" si="134"/>
        <v>#N/A</v>
      </c>
      <c r="CG83">
        <v>77</v>
      </c>
      <c r="CH83" s="24" t="e">
        <f t="shared" si="95"/>
        <v>#N/A</v>
      </c>
      <c r="CI83" s="24" t="e">
        <f t="shared" si="96"/>
        <v>#N/A</v>
      </c>
      <c r="CJ83" s="27">
        <f t="shared" si="97"/>
        <v>0</v>
      </c>
      <c r="CK83" s="27">
        <f t="shared" si="98"/>
        <v>0</v>
      </c>
      <c r="CL83" s="26">
        <f t="shared" si="99"/>
        <v>0</v>
      </c>
      <c r="CM83" s="26">
        <f t="shared" si="100"/>
        <v>0</v>
      </c>
      <c r="CN83" s="27">
        <f t="shared" si="101"/>
        <v>0</v>
      </c>
      <c r="CO83" s="27">
        <f t="shared" si="102"/>
        <v>0</v>
      </c>
      <c r="CP83" s="27">
        <f t="shared" si="103"/>
        <v>0</v>
      </c>
      <c r="CQ83" s="27">
        <f t="shared" si="104"/>
        <v>0</v>
      </c>
      <c r="CR83" s="24">
        <f t="shared" si="105"/>
        <v>0</v>
      </c>
      <c r="CS83" s="24">
        <f t="shared" si="106"/>
        <v>0</v>
      </c>
      <c r="CT83">
        <v>0</v>
      </c>
      <c r="CU83" s="24">
        <f t="shared" si="88"/>
        <v>0</v>
      </c>
      <c r="CV83" s="27">
        <f t="shared" si="107"/>
        <v>0</v>
      </c>
      <c r="CW83" s="27">
        <f t="shared" si="108"/>
        <v>0</v>
      </c>
      <c r="CX83" s="27">
        <f t="shared" si="109"/>
        <v>0</v>
      </c>
      <c r="CY83" s="27">
        <f t="shared" si="110"/>
        <v>0</v>
      </c>
      <c r="CZ83" s="24">
        <f t="shared" si="111"/>
        <v>0</v>
      </c>
      <c r="DA83" s="24">
        <f t="shared" si="112"/>
        <v>0</v>
      </c>
      <c r="DB83" s="27">
        <f t="shared" si="113"/>
        <v>0</v>
      </c>
      <c r="DC83" s="27">
        <f t="shared" si="114"/>
        <v>0</v>
      </c>
      <c r="DD83" s="27">
        <f t="shared" si="115"/>
        <v>0</v>
      </c>
      <c r="DE83" s="27">
        <f t="shared" si="116"/>
        <v>0</v>
      </c>
      <c r="DF83" s="24">
        <f t="shared" si="117"/>
        <v>0</v>
      </c>
      <c r="DG83" s="24">
        <f t="shared" si="118"/>
        <v>0</v>
      </c>
      <c r="DH83" s="24">
        <f t="shared" si="119"/>
        <v>0</v>
      </c>
      <c r="DI83" s="24">
        <f t="shared" si="120"/>
        <v>0</v>
      </c>
      <c r="DJ83" s="26">
        <f t="shared" si="89"/>
        <v>0</v>
      </c>
      <c r="DK83" s="26">
        <f t="shared" si="90"/>
        <v>0</v>
      </c>
      <c r="DP83" s="27"/>
      <c r="DQ83" s="27"/>
      <c r="DR83" s="27">
        <f t="shared" si="121"/>
        <v>0</v>
      </c>
      <c r="DS83" s="27">
        <f t="shared" si="122"/>
        <v>0</v>
      </c>
      <c r="DT83" s="27">
        <f t="shared" si="123"/>
        <v>0</v>
      </c>
      <c r="DU83" s="27">
        <f t="shared" si="124"/>
        <v>0</v>
      </c>
      <c r="DV83" s="27">
        <f t="shared" si="135"/>
        <v>0</v>
      </c>
      <c r="DW83" s="27">
        <f t="shared" si="136"/>
        <v>0</v>
      </c>
      <c r="DX83" s="27">
        <f t="shared" si="125"/>
        <v>0</v>
      </c>
      <c r="DY83" s="27">
        <f t="shared" si="126"/>
        <v>0</v>
      </c>
      <c r="DZ83" s="27">
        <f t="shared" si="127"/>
        <v>0</v>
      </c>
      <c r="EA83" s="27">
        <f t="shared" si="128"/>
        <v>0</v>
      </c>
      <c r="EB83" s="27">
        <f t="shared" si="137"/>
        <v>0</v>
      </c>
      <c r="EC83" s="27">
        <f t="shared" si="138"/>
        <v>0</v>
      </c>
    </row>
    <row r="84" spans="3:133" x14ac:dyDescent="0.35">
      <c r="C84" s="31">
        <f t="shared" si="91"/>
        <v>80</v>
      </c>
      <c r="D84" s="32">
        <v>85833.27</v>
      </c>
      <c r="E84" s="32">
        <v>91624.79</v>
      </c>
      <c r="F84" s="72"/>
      <c r="G84" s="31">
        <f t="shared" si="92"/>
        <v>80</v>
      </c>
      <c r="H84" s="73">
        <v>153273.70000000001</v>
      </c>
      <c r="I84" s="73">
        <v>163615.70000000001</v>
      </c>
      <c r="BQ84">
        <v>78</v>
      </c>
      <c r="BR84" s="26" t="e">
        <f t="shared" si="129"/>
        <v>#N/A</v>
      </c>
      <c r="BS84" s="26" t="e">
        <f t="shared" si="130"/>
        <v>#N/A</v>
      </c>
      <c r="BU84">
        <v>78</v>
      </c>
      <c r="BV84" s="26" t="e">
        <f t="shared" si="93"/>
        <v>#N/A</v>
      </c>
      <c r="BW84" s="26" t="e">
        <f t="shared" si="94"/>
        <v>#N/A</v>
      </c>
      <c r="BY84">
        <v>78</v>
      </c>
      <c r="BZ84" s="26" t="e">
        <f t="shared" si="131"/>
        <v>#N/A</v>
      </c>
      <c r="CA84" s="26" t="e">
        <f t="shared" si="132"/>
        <v>#N/A</v>
      </c>
      <c r="CC84">
        <v>78</v>
      </c>
      <c r="CD84" s="26" t="e">
        <f t="shared" si="133"/>
        <v>#N/A</v>
      </c>
      <c r="CE84" s="26" t="e">
        <f t="shared" si="134"/>
        <v>#N/A</v>
      </c>
      <c r="CG84">
        <v>78</v>
      </c>
      <c r="CH84" s="24" t="e">
        <f t="shared" si="95"/>
        <v>#N/A</v>
      </c>
      <c r="CI84" s="24" t="e">
        <f t="shared" si="96"/>
        <v>#N/A</v>
      </c>
      <c r="CJ84" s="27">
        <f t="shared" si="97"/>
        <v>0</v>
      </c>
      <c r="CK84" s="27">
        <f t="shared" si="98"/>
        <v>0</v>
      </c>
      <c r="CL84" s="26">
        <f t="shared" si="99"/>
        <v>0</v>
      </c>
      <c r="CM84" s="26">
        <f t="shared" si="100"/>
        <v>0</v>
      </c>
      <c r="CN84" s="27">
        <f t="shared" si="101"/>
        <v>0</v>
      </c>
      <c r="CO84" s="27">
        <f t="shared" si="102"/>
        <v>0</v>
      </c>
      <c r="CP84" s="27">
        <f t="shared" si="103"/>
        <v>0</v>
      </c>
      <c r="CQ84" s="27">
        <f t="shared" si="104"/>
        <v>0</v>
      </c>
      <c r="CR84" s="24">
        <f t="shared" si="105"/>
        <v>0</v>
      </c>
      <c r="CS84" s="24">
        <f t="shared" si="106"/>
        <v>0</v>
      </c>
      <c r="CT84">
        <v>0</v>
      </c>
      <c r="CU84" s="24">
        <f t="shared" si="88"/>
        <v>0</v>
      </c>
      <c r="CV84" s="27">
        <f t="shared" si="107"/>
        <v>0</v>
      </c>
      <c r="CW84" s="27">
        <f t="shared" si="108"/>
        <v>0</v>
      </c>
      <c r="CX84" s="27">
        <f t="shared" si="109"/>
        <v>0</v>
      </c>
      <c r="CY84" s="27">
        <f t="shared" si="110"/>
        <v>0</v>
      </c>
      <c r="CZ84" s="24">
        <f t="shared" si="111"/>
        <v>0</v>
      </c>
      <c r="DA84" s="24">
        <f t="shared" si="112"/>
        <v>0</v>
      </c>
      <c r="DB84" s="27">
        <f t="shared" si="113"/>
        <v>0</v>
      </c>
      <c r="DC84" s="27">
        <f t="shared" si="114"/>
        <v>0</v>
      </c>
      <c r="DD84" s="27">
        <f t="shared" si="115"/>
        <v>0</v>
      </c>
      <c r="DE84" s="27">
        <f t="shared" si="116"/>
        <v>0</v>
      </c>
      <c r="DF84" s="24">
        <f t="shared" si="117"/>
        <v>0</v>
      </c>
      <c r="DG84" s="24">
        <f t="shared" si="118"/>
        <v>0</v>
      </c>
      <c r="DH84" s="24">
        <f t="shared" si="119"/>
        <v>0</v>
      </c>
      <c r="DI84" s="24">
        <f t="shared" si="120"/>
        <v>0</v>
      </c>
      <c r="DJ84" s="26">
        <f t="shared" si="89"/>
        <v>0</v>
      </c>
      <c r="DK84" s="26">
        <f t="shared" si="90"/>
        <v>0</v>
      </c>
      <c r="DP84" s="27"/>
      <c r="DQ84" s="27"/>
      <c r="DR84" s="27">
        <f t="shared" si="121"/>
        <v>0</v>
      </c>
      <c r="DS84" s="27">
        <f t="shared" si="122"/>
        <v>0</v>
      </c>
      <c r="DT84" s="27">
        <f t="shared" si="123"/>
        <v>0</v>
      </c>
      <c r="DU84" s="27">
        <f t="shared" si="124"/>
        <v>0</v>
      </c>
      <c r="DV84" s="27">
        <f t="shared" si="135"/>
        <v>0</v>
      </c>
      <c r="DW84" s="27">
        <f t="shared" si="136"/>
        <v>0</v>
      </c>
      <c r="DX84" s="27">
        <f t="shared" si="125"/>
        <v>0</v>
      </c>
      <c r="DY84" s="27">
        <f t="shared" si="126"/>
        <v>0</v>
      </c>
      <c r="DZ84" s="27">
        <f t="shared" si="127"/>
        <v>0</v>
      </c>
      <c r="EA84" s="27">
        <f t="shared" si="128"/>
        <v>0</v>
      </c>
      <c r="EB84" s="27">
        <f t="shared" si="137"/>
        <v>0</v>
      </c>
      <c r="EC84" s="27">
        <f t="shared" si="138"/>
        <v>0</v>
      </c>
    </row>
    <row r="85" spans="3:133" x14ac:dyDescent="0.35">
      <c r="C85" s="31">
        <f t="shared" si="91"/>
        <v>81</v>
      </c>
      <c r="D85" s="32">
        <v>86521.44</v>
      </c>
      <c r="E85" s="32">
        <v>92359.39</v>
      </c>
      <c r="F85" s="72"/>
      <c r="G85" s="31">
        <f t="shared" si="92"/>
        <v>81</v>
      </c>
      <c r="H85" s="73">
        <v>154502.57</v>
      </c>
      <c r="I85" s="73">
        <v>164927.48000000001</v>
      </c>
      <c r="BQ85">
        <v>79</v>
      </c>
      <c r="BR85" s="26" t="e">
        <f t="shared" si="129"/>
        <v>#N/A</v>
      </c>
      <c r="BS85" s="26" t="e">
        <f t="shared" si="130"/>
        <v>#N/A</v>
      </c>
      <c r="BU85">
        <v>79</v>
      </c>
      <c r="BV85" s="26" t="e">
        <f t="shared" si="93"/>
        <v>#N/A</v>
      </c>
      <c r="BW85" s="26" t="e">
        <f t="shared" si="94"/>
        <v>#N/A</v>
      </c>
      <c r="BY85">
        <v>79</v>
      </c>
      <c r="BZ85" s="26" t="e">
        <f t="shared" si="131"/>
        <v>#N/A</v>
      </c>
      <c r="CA85" s="26" t="e">
        <f t="shared" si="132"/>
        <v>#N/A</v>
      </c>
      <c r="CC85">
        <v>79</v>
      </c>
      <c r="CD85" s="26" t="e">
        <f t="shared" si="133"/>
        <v>#N/A</v>
      </c>
      <c r="CE85" s="26" t="e">
        <f t="shared" si="134"/>
        <v>#N/A</v>
      </c>
      <c r="CG85">
        <v>79</v>
      </c>
      <c r="CH85" s="24" t="e">
        <f t="shared" si="95"/>
        <v>#N/A</v>
      </c>
      <c r="CI85" s="24" t="e">
        <f t="shared" si="96"/>
        <v>#N/A</v>
      </c>
      <c r="CJ85" s="27">
        <f t="shared" si="97"/>
        <v>0</v>
      </c>
      <c r="CK85" s="27">
        <f t="shared" si="98"/>
        <v>0</v>
      </c>
      <c r="CL85" s="26">
        <f t="shared" si="99"/>
        <v>0</v>
      </c>
      <c r="CM85" s="26">
        <f t="shared" si="100"/>
        <v>0</v>
      </c>
      <c r="CN85" s="27">
        <f t="shared" si="101"/>
        <v>0</v>
      </c>
      <c r="CO85" s="27">
        <f t="shared" si="102"/>
        <v>0</v>
      </c>
      <c r="CP85" s="27">
        <f t="shared" si="103"/>
        <v>0</v>
      </c>
      <c r="CQ85" s="27">
        <f t="shared" si="104"/>
        <v>0</v>
      </c>
      <c r="CR85" s="24">
        <f t="shared" si="105"/>
        <v>0</v>
      </c>
      <c r="CS85" s="24">
        <f t="shared" si="106"/>
        <v>0</v>
      </c>
      <c r="CT85">
        <v>0</v>
      </c>
      <c r="CU85" s="24">
        <f t="shared" ref="CU85:CU106" si="139">ROUND(IF($CU$1=1,(AO83*$CU$2)/(1-$L$7),0),4)</f>
        <v>0</v>
      </c>
      <c r="CV85" s="27">
        <f t="shared" si="107"/>
        <v>0</v>
      </c>
      <c r="CW85" s="27">
        <f t="shared" si="108"/>
        <v>0</v>
      </c>
      <c r="CX85" s="27">
        <f t="shared" si="109"/>
        <v>0</v>
      </c>
      <c r="CY85" s="27">
        <f t="shared" si="110"/>
        <v>0</v>
      </c>
      <c r="CZ85" s="24">
        <f t="shared" si="111"/>
        <v>0</v>
      </c>
      <c r="DA85" s="24">
        <f t="shared" si="112"/>
        <v>0</v>
      </c>
      <c r="DB85" s="27">
        <f t="shared" si="113"/>
        <v>0</v>
      </c>
      <c r="DC85" s="27">
        <f t="shared" si="114"/>
        <v>0</v>
      </c>
      <c r="DD85" s="27">
        <f t="shared" si="115"/>
        <v>0</v>
      </c>
      <c r="DE85" s="27">
        <f t="shared" si="116"/>
        <v>0</v>
      </c>
      <c r="DF85" s="24">
        <f t="shared" si="117"/>
        <v>0</v>
      </c>
      <c r="DG85" s="24">
        <f t="shared" si="118"/>
        <v>0</v>
      </c>
      <c r="DH85" s="24">
        <f t="shared" si="119"/>
        <v>0</v>
      </c>
      <c r="DI85" s="24">
        <f t="shared" si="120"/>
        <v>0</v>
      </c>
      <c r="DJ85" s="26">
        <f t="shared" si="89"/>
        <v>0</v>
      </c>
      <c r="DK85" s="26">
        <f t="shared" si="90"/>
        <v>0</v>
      </c>
      <c r="DP85" s="27"/>
      <c r="DQ85" s="27"/>
      <c r="DR85" s="27">
        <f t="shared" si="121"/>
        <v>0</v>
      </c>
      <c r="DS85" s="27">
        <f t="shared" si="122"/>
        <v>0</v>
      </c>
      <c r="DT85" s="27">
        <f t="shared" si="123"/>
        <v>0</v>
      </c>
      <c r="DU85" s="27">
        <f t="shared" si="124"/>
        <v>0</v>
      </c>
      <c r="DV85" s="27">
        <f t="shared" si="135"/>
        <v>0</v>
      </c>
      <c r="DW85" s="27">
        <f t="shared" si="136"/>
        <v>0</v>
      </c>
      <c r="DX85" s="27">
        <f t="shared" si="125"/>
        <v>0</v>
      </c>
      <c r="DY85" s="27">
        <f t="shared" si="126"/>
        <v>0</v>
      </c>
      <c r="DZ85" s="27">
        <f t="shared" si="127"/>
        <v>0</v>
      </c>
      <c r="EA85" s="27">
        <f t="shared" si="128"/>
        <v>0</v>
      </c>
      <c r="EB85" s="27">
        <f t="shared" si="137"/>
        <v>0</v>
      </c>
      <c r="EC85" s="27">
        <f t="shared" si="138"/>
        <v>0</v>
      </c>
    </row>
    <row r="86" spans="3:133" x14ac:dyDescent="0.35">
      <c r="C86" s="31">
        <f t="shared" si="91"/>
        <v>82</v>
      </c>
      <c r="D86" s="32">
        <v>87215.12</v>
      </c>
      <c r="E86" s="32">
        <v>93099.88</v>
      </c>
      <c r="F86" s="72"/>
      <c r="G86" s="31">
        <f t="shared" si="92"/>
        <v>82</v>
      </c>
      <c r="H86" s="73">
        <v>155741.29</v>
      </c>
      <c r="I86" s="73">
        <v>166249.79</v>
      </c>
      <c r="BQ86">
        <v>80</v>
      </c>
      <c r="BR86" s="26" t="e">
        <f t="shared" si="129"/>
        <v>#N/A</v>
      </c>
      <c r="BS86" s="26" t="e">
        <f t="shared" si="130"/>
        <v>#N/A</v>
      </c>
      <c r="BU86">
        <v>80</v>
      </c>
      <c r="BV86" s="26" t="e">
        <f t="shared" si="93"/>
        <v>#N/A</v>
      </c>
      <c r="BW86" s="26" t="e">
        <f t="shared" si="94"/>
        <v>#N/A</v>
      </c>
      <c r="BY86">
        <v>80</v>
      </c>
      <c r="BZ86" s="26" t="e">
        <f t="shared" si="131"/>
        <v>#N/A</v>
      </c>
      <c r="CA86" s="26" t="e">
        <f t="shared" si="132"/>
        <v>#N/A</v>
      </c>
      <c r="CC86">
        <v>80</v>
      </c>
      <c r="CD86" s="26" t="e">
        <f t="shared" si="133"/>
        <v>#N/A</v>
      </c>
      <c r="CE86" s="26" t="e">
        <f t="shared" si="134"/>
        <v>#N/A</v>
      </c>
      <c r="CG86">
        <v>80</v>
      </c>
      <c r="CH86" s="24" t="e">
        <f t="shared" si="95"/>
        <v>#N/A</v>
      </c>
      <c r="CI86" s="24" t="e">
        <f t="shared" si="96"/>
        <v>#N/A</v>
      </c>
      <c r="CJ86" s="27">
        <f t="shared" si="97"/>
        <v>0</v>
      </c>
      <c r="CK86" s="27">
        <f t="shared" si="98"/>
        <v>0</v>
      </c>
      <c r="CL86" s="26">
        <f t="shared" si="99"/>
        <v>0</v>
      </c>
      <c r="CM86" s="26">
        <f t="shared" si="100"/>
        <v>0</v>
      </c>
      <c r="CN86" s="27">
        <f t="shared" si="101"/>
        <v>0</v>
      </c>
      <c r="CO86" s="27">
        <f t="shared" si="102"/>
        <v>0</v>
      </c>
      <c r="CP86" s="27">
        <f t="shared" si="103"/>
        <v>0</v>
      </c>
      <c r="CQ86" s="27">
        <f t="shared" si="104"/>
        <v>0</v>
      </c>
      <c r="CR86" s="24">
        <f t="shared" si="105"/>
        <v>0</v>
      </c>
      <c r="CS86" s="24">
        <f t="shared" si="106"/>
        <v>0</v>
      </c>
      <c r="CT86">
        <v>0</v>
      </c>
      <c r="CU86" s="24">
        <f t="shared" si="139"/>
        <v>0</v>
      </c>
      <c r="CV86" s="27">
        <f t="shared" si="107"/>
        <v>0</v>
      </c>
      <c r="CW86" s="27">
        <f t="shared" si="108"/>
        <v>0</v>
      </c>
      <c r="CX86" s="27">
        <f t="shared" si="109"/>
        <v>0</v>
      </c>
      <c r="CY86" s="27">
        <f t="shared" si="110"/>
        <v>0</v>
      </c>
      <c r="CZ86" s="24">
        <f t="shared" si="111"/>
        <v>0</v>
      </c>
      <c r="DA86" s="24">
        <f t="shared" si="112"/>
        <v>0</v>
      </c>
      <c r="DB86" s="27">
        <f t="shared" si="113"/>
        <v>0</v>
      </c>
      <c r="DC86" s="27">
        <f t="shared" si="114"/>
        <v>0</v>
      </c>
      <c r="DD86" s="27">
        <f t="shared" si="115"/>
        <v>0</v>
      </c>
      <c r="DE86" s="27">
        <f t="shared" si="116"/>
        <v>0</v>
      </c>
      <c r="DF86" s="24">
        <f t="shared" si="117"/>
        <v>0</v>
      </c>
      <c r="DG86" s="24">
        <f t="shared" si="118"/>
        <v>0</v>
      </c>
      <c r="DH86" s="24">
        <f t="shared" si="119"/>
        <v>0</v>
      </c>
      <c r="DI86" s="24">
        <f t="shared" si="120"/>
        <v>0</v>
      </c>
      <c r="DJ86" s="26">
        <f t="shared" si="89"/>
        <v>0</v>
      </c>
      <c r="DK86" s="26">
        <f t="shared" si="90"/>
        <v>0</v>
      </c>
      <c r="DP86" s="27"/>
      <c r="DQ86" s="27"/>
      <c r="DR86" s="27">
        <f t="shared" si="121"/>
        <v>0</v>
      </c>
      <c r="DS86" s="27">
        <f t="shared" si="122"/>
        <v>0</v>
      </c>
      <c r="DT86" s="27">
        <f t="shared" si="123"/>
        <v>0</v>
      </c>
      <c r="DU86" s="27">
        <f t="shared" si="124"/>
        <v>0</v>
      </c>
      <c r="DV86" s="27">
        <f t="shared" si="135"/>
        <v>0</v>
      </c>
      <c r="DW86" s="27">
        <f t="shared" si="136"/>
        <v>0</v>
      </c>
      <c r="DX86" s="27">
        <f t="shared" si="125"/>
        <v>0</v>
      </c>
      <c r="DY86" s="27">
        <f t="shared" si="126"/>
        <v>0</v>
      </c>
      <c r="DZ86" s="27">
        <f t="shared" si="127"/>
        <v>0</v>
      </c>
      <c r="EA86" s="27">
        <f t="shared" si="128"/>
        <v>0</v>
      </c>
      <c r="EB86" s="27">
        <f t="shared" si="137"/>
        <v>0</v>
      </c>
      <c r="EC86" s="27">
        <f t="shared" si="138"/>
        <v>0</v>
      </c>
    </row>
    <row r="87" spans="3:133" x14ac:dyDescent="0.35">
      <c r="C87" s="31">
        <f t="shared" si="91"/>
        <v>83</v>
      </c>
      <c r="D87" s="32">
        <v>87914.36</v>
      </c>
      <c r="E87" s="32">
        <v>93846.3</v>
      </c>
      <c r="F87" s="72"/>
      <c r="G87" s="31">
        <f t="shared" si="92"/>
        <v>83</v>
      </c>
      <c r="H87" s="73">
        <v>156989.93</v>
      </c>
      <c r="I87" s="73">
        <v>167582.68</v>
      </c>
      <c r="BQ87">
        <v>81</v>
      </c>
      <c r="BR87" s="26" t="e">
        <f t="shared" si="129"/>
        <v>#N/A</v>
      </c>
      <c r="BS87" s="26" t="e">
        <f t="shared" si="130"/>
        <v>#N/A</v>
      </c>
      <c r="BU87">
        <v>81</v>
      </c>
      <c r="BV87" s="26" t="e">
        <f t="shared" si="93"/>
        <v>#N/A</v>
      </c>
      <c r="BW87" s="26" t="e">
        <f t="shared" si="94"/>
        <v>#N/A</v>
      </c>
      <c r="BY87">
        <v>81</v>
      </c>
      <c r="BZ87" s="26" t="e">
        <f t="shared" si="131"/>
        <v>#N/A</v>
      </c>
      <c r="CA87" s="26" t="e">
        <f t="shared" si="132"/>
        <v>#N/A</v>
      </c>
      <c r="CC87">
        <v>81</v>
      </c>
      <c r="CD87" s="26" t="e">
        <f t="shared" si="133"/>
        <v>#N/A</v>
      </c>
      <c r="CE87" s="26" t="e">
        <f t="shared" si="134"/>
        <v>#N/A</v>
      </c>
      <c r="CG87">
        <v>81</v>
      </c>
      <c r="CH87" s="24" t="e">
        <f t="shared" si="95"/>
        <v>#N/A</v>
      </c>
      <c r="CI87" s="24" t="e">
        <f t="shared" si="96"/>
        <v>#N/A</v>
      </c>
      <c r="CJ87" s="27">
        <f t="shared" si="97"/>
        <v>0</v>
      </c>
      <c r="CK87" s="27">
        <f t="shared" si="98"/>
        <v>0</v>
      </c>
      <c r="CL87" s="26">
        <f t="shared" si="99"/>
        <v>0</v>
      </c>
      <c r="CM87" s="26">
        <f t="shared" si="100"/>
        <v>0</v>
      </c>
      <c r="CN87" s="27">
        <f t="shared" si="101"/>
        <v>0</v>
      </c>
      <c r="CO87" s="27">
        <f t="shared" si="102"/>
        <v>0</v>
      </c>
      <c r="CP87" s="27">
        <f t="shared" si="103"/>
        <v>0</v>
      </c>
      <c r="CQ87" s="27">
        <f t="shared" si="104"/>
        <v>0</v>
      </c>
      <c r="CR87" s="24">
        <f t="shared" si="105"/>
        <v>0</v>
      </c>
      <c r="CS87" s="24">
        <f t="shared" si="106"/>
        <v>0</v>
      </c>
      <c r="CT87">
        <v>0</v>
      </c>
      <c r="CU87" s="24">
        <f t="shared" si="139"/>
        <v>0</v>
      </c>
      <c r="CV87" s="27">
        <f t="shared" si="107"/>
        <v>0</v>
      </c>
      <c r="CW87" s="27">
        <f t="shared" si="108"/>
        <v>0</v>
      </c>
      <c r="CX87" s="27">
        <f t="shared" si="109"/>
        <v>0</v>
      </c>
      <c r="CY87" s="27">
        <f t="shared" si="110"/>
        <v>0</v>
      </c>
      <c r="CZ87" s="24">
        <f t="shared" si="111"/>
        <v>0</v>
      </c>
      <c r="DA87" s="24">
        <f t="shared" si="112"/>
        <v>0</v>
      </c>
      <c r="DB87" s="27">
        <f t="shared" si="113"/>
        <v>0</v>
      </c>
      <c r="DC87" s="27">
        <f t="shared" si="114"/>
        <v>0</v>
      </c>
      <c r="DD87" s="27">
        <f t="shared" si="115"/>
        <v>0</v>
      </c>
      <c r="DE87" s="27">
        <f t="shared" si="116"/>
        <v>0</v>
      </c>
      <c r="DF87" s="24">
        <f t="shared" si="117"/>
        <v>0</v>
      </c>
      <c r="DG87" s="24">
        <f t="shared" si="118"/>
        <v>0</v>
      </c>
      <c r="DH87" s="24">
        <f t="shared" si="119"/>
        <v>0</v>
      </c>
      <c r="DI87" s="24">
        <f t="shared" si="120"/>
        <v>0</v>
      </c>
      <c r="DJ87" s="26">
        <f t="shared" si="89"/>
        <v>0</v>
      </c>
      <c r="DK87" s="26">
        <f t="shared" si="90"/>
        <v>0</v>
      </c>
      <c r="DP87" s="27"/>
      <c r="DQ87" s="27"/>
      <c r="DR87" s="27">
        <f t="shared" si="121"/>
        <v>0</v>
      </c>
      <c r="DS87" s="27">
        <f t="shared" si="122"/>
        <v>0</v>
      </c>
      <c r="DT87" s="27">
        <f t="shared" si="123"/>
        <v>0</v>
      </c>
      <c r="DU87" s="27">
        <f t="shared" si="124"/>
        <v>0</v>
      </c>
      <c r="DV87" s="27">
        <f t="shared" si="135"/>
        <v>0</v>
      </c>
      <c r="DW87" s="27">
        <f t="shared" si="136"/>
        <v>0</v>
      </c>
      <c r="DX87" s="27">
        <f t="shared" si="125"/>
        <v>0</v>
      </c>
      <c r="DY87" s="27">
        <f t="shared" si="126"/>
        <v>0</v>
      </c>
      <c r="DZ87" s="27">
        <f t="shared" si="127"/>
        <v>0</v>
      </c>
      <c r="EA87" s="27">
        <f t="shared" si="128"/>
        <v>0</v>
      </c>
      <c r="EB87" s="27">
        <f t="shared" si="137"/>
        <v>0</v>
      </c>
      <c r="EC87" s="27">
        <f t="shared" si="138"/>
        <v>0</v>
      </c>
    </row>
    <row r="88" spans="3:133" x14ac:dyDescent="0.35">
      <c r="C88" s="31">
        <f t="shared" si="91"/>
        <v>84</v>
      </c>
      <c r="D88" s="32">
        <v>88619.22</v>
      </c>
      <c r="E88" s="32">
        <v>94598.720000000001</v>
      </c>
      <c r="F88" s="72"/>
      <c r="G88" s="31">
        <f t="shared" si="92"/>
        <v>84</v>
      </c>
      <c r="H88" s="73">
        <v>158248.60999999999</v>
      </c>
      <c r="I88" s="73">
        <v>168926.29</v>
      </c>
      <c r="BQ88">
        <v>82</v>
      </c>
      <c r="BR88" s="26" t="e">
        <f t="shared" si="129"/>
        <v>#N/A</v>
      </c>
      <c r="BS88" s="26" t="e">
        <f t="shared" si="130"/>
        <v>#N/A</v>
      </c>
      <c r="BU88">
        <v>82</v>
      </c>
      <c r="BV88" s="26" t="e">
        <f t="shared" si="93"/>
        <v>#N/A</v>
      </c>
      <c r="BW88" s="26" t="e">
        <f t="shared" si="94"/>
        <v>#N/A</v>
      </c>
      <c r="BY88">
        <v>82</v>
      </c>
      <c r="BZ88" s="26" t="e">
        <f t="shared" si="131"/>
        <v>#N/A</v>
      </c>
      <c r="CA88" s="26" t="e">
        <f t="shared" si="132"/>
        <v>#N/A</v>
      </c>
      <c r="CC88">
        <v>82</v>
      </c>
      <c r="CD88" s="26" t="e">
        <f t="shared" si="133"/>
        <v>#N/A</v>
      </c>
      <c r="CE88" s="26" t="e">
        <f t="shared" si="134"/>
        <v>#N/A</v>
      </c>
      <c r="CG88">
        <v>82</v>
      </c>
      <c r="CH88" s="24" t="e">
        <f t="shared" si="95"/>
        <v>#N/A</v>
      </c>
      <c r="CI88" s="24" t="e">
        <f t="shared" si="96"/>
        <v>#N/A</v>
      </c>
      <c r="CJ88" s="27">
        <f t="shared" si="97"/>
        <v>0</v>
      </c>
      <c r="CK88" s="27">
        <f t="shared" si="98"/>
        <v>0</v>
      </c>
      <c r="CL88" s="26">
        <f t="shared" si="99"/>
        <v>0</v>
      </c>
      <c r="CM88" s="26">
        <f t="shared" si="100"/>
        <v>0</v>
      </c>
      <c r="CN88" s="27">
        <f t="shared" si="101"/>
        <v>0</v>
      </c>
      <c r="CO88" s="27">
        <f t="shared" si="102"/>
        <v>0</v>
      </c>
      <c r="CP88" s="27">
        <f t="shared" si="103"/>
        <v>0</v>
      </c>
      <c r="CQ88" s="27">
        <f t="shared" si="104"/>
        <v>0</v>
      </c>
      <c r="CR88" s="24">
        <f t="shared" si="105"/>
        <v>0</v>
      </c>
      <c r="CS88" s="24">
        <f t="shared" si="106"/>
        <v>0</v>
      </c>
      <c r="CT88">
        <v>0</v>
      </c>
      <c r="CU88" s="24">
        <f t="shared" si="139"/>
        <v>0</v>
      </c>
      <c r="CV88" s="27">
        <f t="shared" si="107"/>
        <v>0</v>
      </c>
      <c r="CW88" s="27">
        <f t="shared" si="108"/>
        <v>0</v>
      </c>
      <c r="CX88" s="27">
        <f t="shared" si="109"/>
        <v>0</v>
      </c>
      <c r="CY88" s="27">
        <f t="shared" si="110"/>
        <v>0</v>
      </c>
      <c r="CZ88" s="24">
        <f t="shared" si="111"/>
        <v>0</v>
      </c>
      <c r="DA88" s="24">
        <f t="shared" si="112"/>
        <v>0</v>
      </c>
      <c r="DB88" s="27">
        <f t="shared" si="113"/>
        <v>0</v>
      </c>
      <c r="DC88" s="27">
        <f t="shared" si="114"/>
        <v>0</v>
      </c>
      <c r="DD88" s="27">
        <f t="shared" si="115"/>
        <v>0</v>
      </c>
      <c r="DE88" s="27">
        <f t="shared" si="116"/>
        <v>0</v>
      </c>
      <c r="DF88" s="24">
        <f t="shared" si="117"/>
        <v>0</v>
      </c>
      <c r="DG88" s="24">
        <f t="shared" si="118"/>
        <v>0</v>
      </c>
      <c r="DH88" s="24">
        <f t="shared" si="119"/>
        <v>0</v>
      </c>
      <c r="DI88" s="24">
        <f t="shared" si="120"/>
        <v>0</v>
      </c>
      <c r="DJ88" s="26">
        <f t="shared" ref="DJ88:DJ106" si="140">ROUND(IF($DK$1=1,(($DK$2/1000)*BF68)/(1-$L$7),0),4)</f>
        <v>0</v>
      </c>
      <c r="DK88" s="26">
        <f t="shared" ref="DK88:DK106" si="141">ROUND(IF($DK$1=1,(($DK$2/1000)*BG68)/(1-$L$7),0),4)</f>
        <v>0</v>
      </c>
      <c r="DP88" s="27"/>
      <c r="DQ88" s="27"/>
      <c r="DR88" s="27">
        <f t="shared" si="121"/>
        <v>0</v>
      </c>
      <c r="DS88" s="27">
        <f t="shared" si="122"/>
        <v>0</v>
      </c>
      <c r="DT88" s="27">
        <f t="shared" si="123"/>
        <v>0</v>
      </c>
      <c r="DU88" s="27">
        <f t="shared" si="124"/>
        <v>0</v>
      </c>
      <c r="DV88" s="27">
        <f t="shared" si="135"/>
        <v>0</v>
      </c>
      <c r="DW88" s="27">
        <f t="shared" si="136"/>
        <v>0</v>
      </c>
      <c r="DX88" s="27">
        <f t="shared" si="125"/>
        <v>0</v>
      </c>
      <c r="DY88" s="27">
        <f t="shared" si="126"/>
        <v>0</v>
      </c>
      <c r="DZ88" s="27">
        <f t="shared" si="127"/>
        <v>0</v>
      </c>
      <c r="EA88" s="27">
        <f t="shared" si="128"/>
        <v>0</v>
      </c>
      <c r="EB88" s="27">
        <f t="shared" si="137"/>
        <v>0</v>
      </c>
      <c r="EC88" s="27">
        <f t="shared" si="138"/>
        <v>0</v>
      </c>
    </row>
    <row r="89" spans="3:133" x14ac:dyDescent="0.35">
      <c r="C89" s="31">
        <f t="shared" si="91"/>
        <v>85</v>
      </c>
      <c r="D89" s="32">
        <v>89329.72</v>
      </c>
      <c r="E89" s="32">
        <v>95357.16</v>
      </c>
      <c r="F89" s="72"/>
      <c r="G89" s="31">
        <f t="shared" si="92"/>
        <v>85</v>
      </c>
      <c r="H89" s="73">
        <v>159517.35999999999</v>
      </c>
      <c r="I89" s="73">
        <v>170280.64</v>
      </c>
      <c r="BQ89">
        <v>83</v>
      </c>
      <c r="BR89" s="26" t="e">
        <f t="shared" si="129"/>
        <v>#N/A</v>
      </c>
      <c r="BS89" s="26" t="e">
        <f t="shared" si="130"/>
        <v>#N/A</v>
      </c>
      <c r="BU89">
        <v>83</v>
      </c>
      <c r="BV89" s="26" t="e">
        <f t="shared" si="93"/>
        <v>#N/A</v>
      </c>
      <c r="BW89" s="26" t="e">
        <f t="shared" si="94"/>
        <v>#N/A</v>
      </c>
      <c r="BY89">
        <v>83</v>
      </c>
      <c r="BZ89" s="26" t="e">
        <f t="shared" si="131"/>
        <v>#N/A</v>
      </c>
      <c r="CA89" s="26" t="e">
        <f t="shared" si="132"/>
        <v>#N/A</v>
      </c>
      <c r="CC89">
        <v>83</v>
      </c>
      <c r="CD89" s="26" t="e">
        <f t="shared" si="133"/>
        <v>#N/A</v>
      </c>
      <c r="CE89" s="26" t="e">
        <f t="shared" si="134"/>
        <v>#N/A</v>
      </c>
      <c r="CG89">
        <v>83</v>
      </c>
      <c r="CH89" s="24" t="e">
        <f t="shared" si="95"/>
        <v>#N/A</v>
      </c>
      <c r="CI89" s="24" t="e">
        <f t="shared" si="96"/>
        <v>#N/A</v>
      </c>
      <c r="CJ89" s="27">
        <f t="shared" si="97"/>
        <v>0</v>
      </c>
      <c r="CK89" s="27">
        <f t="shared" si="98"/>
        <v>0</v>
      </c>
      <c r="CL89" s="26">
        <f t="shared" si="99"/>
        <v>0</v>
      </c>
      <c r="CM89" s="26">
        <f t="shared" si="100"/>
        <v>0</v>
      </c>
      <c r="CN89" s="27">
        <f t="shared" si="101"/>
        <v>0</v>
      </c>
      <c r="CO89" s="27">
        <f t="shared" si="102"/>
        <v>0</v>
      </c>
      <c r="CP89" s="27">
        <f t="shared" si="103"/>
        <v>0</v>
      </c>
      <c r="CQ89" s="27">
        <f t="shared" si="104"/>
        <v>0</v>
      </c>
      <c r="CR89" s="24">
        <f t="shared" si="105"/>
        <v>0</v>
      </c>
      <c r="CS89" s="24">
        <f t="shared" si="106"/>
        <v>0</v>
      </c>
      <c r="CT89">
        <v>0</v>
      </c>
      <c r="CU89" s="24">
        <f t="shared" si="139"/>
        <v>0</v>
      </c>
      <c r="CV89" s="27">
        <f t="shared" si="107"/>
        <v>0</v>
      </c>
      <c r="CW89" s="27">
        <f t="shared" si="108"/>
        <v>0</v>
      </c>
      <c r="CX89" s="27">
        <f t="shared" si="109"/>
        <v>0</v>
      </c>
      <c r="CY89" s="27">
        <f t="shared" si="110"/>
        <v>0</v>
      </c>
      <c r="CZ89" s="24">
        <f t="shared" si="111"/>
        <v>0</v>
      </c>
      <c r="DA89" s="24">
        <f t="shared" si="112"/>
        <v>0</v>
      </c>
      <c r="DB89" s="27">
        <f t="shared" si="113"/>
        <v>0</v>
      </c>
      <c r="DC89" s="27">
        <f t="shared" si="114"/>
        <v>0</v>
      </c>
      <c r="DD89" s="27">
        <f t="shared" si="115"/>
        <v>0</v>
      </c>
      <c r="DE89" s="27">
        <f t="shared" si="116"/>
        <v>0</v>
      </c>
      <c r="DF89" s="24">
        <f t="shared" si="117"/>
        <v>0</v>
      </c>
      <c r="DG89" s="24">
        <f t="shared" si="118"/>
        <v>0</v>
      </c>
      <c r="DH89" s="24">
        <f t="shared" si="119"/>
        <v>0</v>
      </c>
      <c r="DI89" s="24">
        <f t="shared" si="120"/>
        <v>0</v>
      </c>
      <c r="DJ89" s="26">
        <f t="shared" si="140"/>
        <v>0</v>
      </c>
      <c r="DK89" s="26">
        <f t="shared" si="141"/>
        <v>0</v>
      </c>
      <c r="DP89" s="27"/>
      <c r="DQ89" s="27"/>
      <c r="DR89" s="27">
        <f t="shared" si="121"/>
        <v>0</v>
      </c>
      <c r="DS89" s="27">
        <f t="shared" si="122"/>
        <v>0</v>
      </c>
      <c r="DT89" s="27">
        <f t="shared" si="123"/>
        <v>0</v>
      </c>
      <c r="DU89" s="27">
        <f t="shared" si="124"/>
        <v>0</v>
      </c>
      <c r="DV89" s="27">
        <f t="shared" si="135"/>
        <v>0</v>
      </c>
      <c r="DW89" s="27">
        <f t="shared" si="136"/>
        <v>0</v>
      </c>
      <c r="DX89" s="27">
        <f t="shared" si="125"/>
        <v>0</v>
      </c>
      <c r="DY89" s="27">
        <f t="shared" si="126"/>
        <v>0</v>
      </c>
      <c r="DZ89" s="27">
        <f t="shared" si="127"/>
        <v>0</v>
      </c>
      <c r="EA89" s="27">
        <f t="shared" si="128"/>
        <v>0</v>
      </c>
      <c r="EB89" s="27">
        <f t="shared" si="137"/>
        <v>0</v>
      </c>
      <c r="EC89" s="27">
        <f t="shared" si="138"/>
        <v>0</v>
      </c>
    </row>
    <row r="90" spans="3:133" x14ac:dyDescent="0.35">
      <c r="C90" s="31">
        <f t="shared" si="91"/>
        <v>86</v>
      </c>
      <c r="D90" s="32">
        <v>90045.92</v>
      </c>
      <c r="E90" s="32">
        <v>96121.68</v>
      </c>
      <c r="F90" s="72"/>
      <c r="G90" s="31">
        <f t="shared" si="92"/>
        <v>86</v>
      </c>
      <c r="H90" s="73">
        <v>160796.29</v>
      </c>
      <c r="I90" s="73">
        <v>171645.86</v>
      </c>
      <c r="BQ90">
        <v>84</v>
      </c>
      <c r="BR90" s="26" t="e">
        <f t="shared" si="129"/>
        <v>#N/A</v>
      </c>
      <c r="BS90" s="26" t="e">
        <f t="shared" si="130"/>
        <v>#N/A</v>
      </c>
      <c r="BU90">
        <v>84</v>
      </c>
      <c r="BV90" s="26" t="e">
        <f t="shared" si="93"/>
        <v>#N/A</v>
      </c>
      <c r="BW90" s="26" t="e">
        <f t="shared" si="94"/>
        <v>#N/A</v>
      </c>
      <c r="BY90">
        <v>84</v>
      </c>
      <c r="BZ90" s="26" t="e">
        <f t="shared" si="131"/>
        <v>#N/A</v>
      </c>
      <c r="CA90" s="26" t="e">
        <f t="shared" si="132"/>
        <v>#N/A</v>
      </c>
      <c r="CC90">
        <v>84</v>
      </c>
      <c r="CD90" s="26" t="e">
        <f t="shared" si="133"/>
        <v>#N/A</v>
      </c>
      <c r="CE90" s="26" t="e">
        <f t="shared" si="134"/>
        <v>#N/A</v>
      </c>
      <c r="CG90">
        <v>84</v>
      </c>
      <c r="CH90" s="24" t="e">
        <f t="shared" si="95"/>
        <v>#N/A</v>
      </c>
      <c r="CI90" s="24" t="e">
        <f t="shared" si="96"/>
        <v>#N/A</v>
      </c>
      <c r="CJ90" s="27">
        <f t="shared" si="97"/>
        <v>0</v>
      </c>
      <c r="CK90" s="27">
        <f t="shared" si="98"/>
        <v>0</v>
      </c>
      <c r="CL90" s="26">
        <f t="shared" si="99"/>
        <v>0</v>
      </c>
      <c r="CM90" s="26">
        <f t="shared" si="100"/>
        <v>0</v>
      </c>
      <c r="CN90" s="27">
        <f t="shared" si="101"/>
        <v>0</v>
      </c>
      <c r="CO90" s="27">
        <f t="shared" si="102"/>
        <v>0</v>
      </c>
      <c r="CP90" s="27">
        <f t="shared" si="103"/>
        <v>0</v>
      </c>
      <c r="CQ90" s="27">
        <f t="shared" si="104"/>
        <v>0</v>
      </c>
      <c r="CR90" s="24">
        <f t="shared" si="105"/>
        <v>0</v>
      </c>
      <c r="CS90" s="24">
        <f t="shared" si="106"/>
        <v>0</v>
      </c>
      <c r="CT90">
        <v>0</v>
      </c>
      <c r="CU90" s="24">
        <f t="shared" si="139"/>
        <v>0</v>
      </c>
      <c r="CV90" s="27">
        <f t="shared" si="107"/>
        <v>0</v>
      </c>
      <c r="CW90" s="27">
        <f t="shared" si="108"/>
        <v>0</v>
      </c>
      <c r="CX90" s="27">
        <f t="shared" si="109"/>
        <v>0</v>
      </c>
      <c r="CY90" s="27">
        <f t="shared" si="110"/>
        <v>0</v>
      </c>
      <c r="CZ90" s="24">
        <f t="shared" si="111"/>
        <v>0</v>
      </c>
      <c r="DA90" s="24">
        <f t="shared" si="112"/>
        <v>0</v>
      </c>
      <c r="DB90" s="27">
        <f t="shared" si="113"/>
        <v>0</v>
      </c>
      <c r="DC90" s="27">
        <f t="shared" si="114"/>
        <v>0</v>
      </c>
      <c r="DD90" s="27">
        <f t="shared" si="115"/>
        <v>0</v>
      </c>
      <c r="DE90" s="27">
        <f t="shared" si="116"/>
        <v>0</v>
      </c>
      <c r="DF90" s="24">
        <f t="shared" si="117"/>
        <v>0</v>
      </c>
      <c r="DG90" s="24">
        <f t="shared" si="118"/>
        <v>0</v>
      </c>
      <c r="DH90" s="24">
        <f t="shared" si="119"/>
        <v>0</v>
      </c>
      <c r="DI90" s="24">
        <f t="shared" si="120"/>
        <v>0</v>
      </c>
      <c r="DJ90" s="26">
        <f t="shared" si="140"/>
        <v>0</v>
      </c>
      <c r="DK90" s="26">
        <f t="shared" si="141"/>
        <v>0</v>
      </c>
      <c r="DP90" s="27"/>
      <c r="DQ90" s="27"/>
      <c r="DR90" s="27">
        <f t="shared" si="121"/>
        <v>0</v>
      </c>
      <c r="DS90" s="27">
        <f t="shared" si="122"/>
        <v>0</v>
      </c>
      <c r="DT90" s="27">
        <f t="shared" si="123"/>
        <v>0</v>
      </c>
      <c r="DU90" s="27">
        <f t="shared" si="124"/>
        <v>0</v>
      </c>
      <c r="DV90" s="27">
        <f t="shared" si="135"/>
        <v>0</v>
      </c>
      <c r="DW90" s="27">
        <f t="shared" si="136"/>
        <v>0</v>
      </c>
      <c r="DX90" s="27">
        <f t="shared" si="125"/>
        <v>0</v>
      </c>
      <c r="DY90" s="27">
        <f t="shared" si="126"/>
        <v>0</v>
      </c>
      <c r="DZ90" s="27">
        <f t="shared" si="127"/>
        <v>0</v>
      </c>
      <c r="EA90" s="27">
        <f t="shared" si="128"/>
        <v>0</v>
      </c>
      <c r="EB90" s="27">
        <f t="shared" si="137"/>
        <v>0</v>
      </c>
      <c r="EC90" s="27">
        <f t="shared" si="138"/>
        <v>0</v>
      </c>
    </row>
    <row r="91" spans="3:133" x14ac:dyDescent="0.35">
      <c r="C91" s="31">
        <f t="shared" si="91"/>
        <v>87</v>
      </c>
      <c r="D91" s="32">
        <v>90767.86</v>
      </c>
      <c r="E91" s="32">
        <v>96892.33</v>
      </c>
      <c r="F91" s="72"/>
      <c r="G91" s="31">
        <f t="shared" si="92"/>
        <v>87</v>
      </c>
      <c r="H91" s="73">
        <v>162085.46</v>
      </c>
      <c r="I91" s="73">
        <v>173022.02</v>
      </c>
      <c r="BQ91">
        <v>85</v>
      </c>
      <c r="BR91" s="26" t="e">
        <f t="shared" si="129"/>
        <v>#N/A</v>
      </c>
      <c r="BS91" s="26" t="e">
        <f t="shared" si="130"/>
        <v>#N/A</v>
      </c>
      <c r="BU91">
        <v>85</v>
      </c>
      <c r="BV91" s="26" t="e">
        <f t="shared" si="93"/>
        <v>#N/A</v>
      </c>
      <c r="BW91" s="26" t="e">
        <f t="shared" si="94"/>
        <v>#N/A</v>
      </c>
      <c r="BY91">
        <v>85</v>
      </c>
      <c r="BZ91" s="26" t="e">
        <f t="shared" si="131"/>
        <v>#N/A</v>
      </c>
      <c r="CA91" s="26" t="e">
        <f t="shared" si="132"/>
        <v>#N/A</v>
      </c>
      <c r="CC91">
        <v>85</v>
      </c>
      <c r="CD91" s="26" t="e">
        <f t="shared" si="133"/>
        <v>#N/A</v>
      </c>
      <c r="CE91" s="26" t="e">
        <f t="shared" si="134"/>
        <v>#N/A</v>
      </c>
      <c r="CG91">
        <v>85</v>
      </c>
      <c r="CH91" s="24" t="e">
        <f t="shared" si="95"/>
        <v>#N/A</v>
      </c>
      <c r="CI91" s="24" t="e">
        <f t="shared" si="96"/>
        <v>#N/A</v>
      </c>
      <c r="CJ91" s="27">
        <f t="shared" si="97"/>
        <v>0</v>
      </c>
      <c r="CK91" s="27">
        <f t="shared" si="98"/>
        <v>0</v>
      </c>
      <c r="CL91" s="26">
        <f t="shared" si="99"/>
        <v>0</v>
      </c>
      <c r="CM91" s="26">
        <f t="shared" si="100"/>
        <v>0</v>
      </c>
      <c r="CN91" s="27">
        <f t="shared" si="101"/>
        <v>0</v>
      </c>
      <c r="CO91" s="27">
        <f t="shared" si="102"/>
        <v>0</v>
      </c>
      <c r="CP91" s="27">
        <f t="shared" si="103"/>
        <v>0</v>
      </c>
      <c r="CQ91" s="27">
        <f t="shared" si="104"/>
        <v>0</v>
      </c>
      <c r="CR91" s="24">
        <f t="shared" si="105"/>
        <v>0</v>
      </c>
      <c r="CS91" s="24">
        <f t="shared" si="106"/>
        <v>0</v>
      </c>
      <c r="CT91">
        <v>0</v>
      </c>
      <c r="CU91" s="24">
        <f t="shared" si="139"/>
        <v>0</v>
      </c>
      <c r="CV91" s="27">
        <f t="shared" si="107"/>
        <v>0</v>
      </c>
      <c r="CW91" s="27">
        <f t="shared" si="108"/>
        <v>0</v>
      </c>
      <c r="CX91" s="27">
        <f t="shared" si="109"/>
        <v>0</v>
      </c>
      <c r="CY91" s="27">
        <f t="shared" si="110"/>
        <v>0</v>
      </c>
      <c r="CZ91" s="24">
        <f t="shared" si="111"/>
        <v>0</v>
      </c>
      <c r="DA91" s="24">
        <f t="shared" si="112"/>
        <v>0</v>
      </c>
      <c r="DB91" s="27">
        <f t="shared" si="113"/>
        <v>0</v>
      </c>
      <c r="DC91" s="27">
        <f t="shared" si="114"/>
        <v>0</v>
      </c>
      <c r="DD91" s="27">
        <f t="shared" si="115"/>
        <v>0</v>
      </c>
      <c r="DE91" s="27">
        <f t="shared" si="116"/>
        <v>0</v>
      </c>
      <c r="DF91" s="24">
        <f t="shared" si="117"/>
        <v>0</v>
      </c>
      <c r="DG91" s="24">
        <f t="shared" si="118"/>
        <v>0</v>
      </c>
      <c r="DH91" s="24">
        <f t="shared" si="119"/>
        <v>0</v>
      </c>
      <c r="DI91" s="24">
        <f t="shared" si="120"/>
        <v>0</v>
      </c>
      <c r="DJ91" s="26">
        <f t="shared" si="140"/>
        <v>0</v>
      </c>
      <c r="DK91" s="26">
        <f t="shared" si="141"/>
        <v>0</v>
      </c>
      <c r="DP91" s="27"/>
      <c r="DQ91" s="27"/>
      <c r="DR91" s="27">
        <f t="shared" si="121"/>
        <v>0</v>
      </c>
      <c r="DS91" s="27">
        <f t="shared" si="122"/>
        <v>0</v>
      </c>
      <c r="DT91" s="27">
        <f t="shared" si="123"/>
        <v>0</v>
      </c>
      <c r="DU91" s="27">
        <f t="shared" si="124"/>
        <v>0</v>
      </c>
      <c r="DV91" s="27">
        <f t="shared" si="135"/>
        <v>0</v>
      </c>
      <c r="DW91" s="27">
        <f t="shared" si="136"/>
        <v>0</v>
      </c>
      <c r="DX91" s="27">
        <f t="shared" si="125"/>
        <v>0</v>
      </c>
      <c r="DY91" s="27">
        <f t="shared" si="126"/>
        <v>0</v>
      </c>
      <c r="DZ91" s="27">
        <f t="shared" si="127"/>
        <v>0</v>
      </c>
      <c r="EA91" s="27">
        <f t="shared" si="128"/>
        <v>0</v>
      </c>
      <c r="EB91" s="27">
        <f t="shared" si="137"/>
        <v>0</v>
      </c>
      <c r="EC91" s="27">
        <f t="shared" si="138"/>
        <v>0</v>
      </c>
    </row>
    <row r="92" spans="3:133" x14ac:dyDescent="0.35">
      <c r="C92" s="31">
        <f t="shared" si="91"/>
        <v>88</v>
      </c>
      <c r="D92" s="32">
        <v>91495.59</v>
      </c>
      <c r="E92" s="32">
        <v>97669.17</v>
      </c>
      <c r="F92" s="72"/>
      <c r="G92" s="31">
        <f t="shared" si="92"/>
        <v>88</v>
      </c>
      <c r="H92" s="73">
        <v>163384.98000000001</v>
      </c>
      <c r="I92" s="73">
        <v>174409.23</v>
      </c>
      <c r="BQ92">
        <v>86</v>
      </c>
      <c r="BR92" s="26" t="e">
        <f t="shared" si="129"/>
        <v>#N/A</v>
      </c>
      <c r="BS92" s="26" t="e">
        <f t="shared" si="130"/>
        <v>#N/A</v>
      </c>
      <c r="BU92">
        <v>86</v>
      </c>
      <c r="BV92" s="26" t="e">
        <f t="shared" si="93"/>
        <v>#N/A</v>
      </c>
      <c r="BW92" s="26" t="e">
        <f t="shared" si="94"/>
        <v>#N/A</v>
      </c>
      <c r="BY92">
        <v>86</v>
      </c>
      <c r="BZ92" s="26" t="e">
        <f t="shared" si="131"/>
        <v>#N/A</v>
      </c>
      <c r="CA92" s="26" t="e">
        <f t="shared" si="132"/>
        <v>#N/A</v>
      </c>
      <c r="CC92">
        <v>86</v>
      </c>
      <c r="CD92" s="26" t="e">
        <f t="shared" si="133"/>
        <v>#N/A</v>
      </c>
      <c r="CE92" s="26" t="e">
        <f t="shared" si="134"/>
        <v>#N/A</v>
      </c>
      <c r="CG92">
        <v>86</v>
      </c>
      <c r="CH92" s="24" t="e">
        <f t="shared" si="95"/>
        <v>#N/A</v>
      </c>
      <c r="CI92" s="24" t="e">
        <f t="shared" si="96"/>
        <v>#N/A</v>
      </c>
      <c r="CJ92" s="27">
        <f t="shared" si="97"/>
        <v>0</v>
      </c>
      <c r="CK92" s="27">
        <f t="shared" si="98"/>
        <v>0</v>
      </c>
      <c r="CL92" s="26">
        <f t="shared" si="99"/>
        <v>0</v>
      </c>
      <c r="CM92" s="26">
        <f t="shared" si="100"/>
        <v>0</v>
      </c>
      <c r="CN92" s="27">
        <f t="shared" si="101"/>
        <v>0</v>
      </c>
      <c r="CO92" s="27">
        <f t="shared" si="102"/>
        <v>0</v>
      </c>
      <c r="CP92" s="27">
        <f t="shared" si="103"/>
        <v>0</v>
      </c>
      <c r="CQ92" s="27">
        <f t="shared" si="104"/>
        <v>0</v>
      </c>
      <c r="CR92" s="24">
        <f t="shared" si="105"/>
        <v>0</v>
      </c>
      <c r="CS92" s="24">
        <f t="shared" si="106"/>
        <v>0</v>
      </c>
      <c r="CT92">
        <v>0</v>
      </c>
      <c r="CU92" s="24">
        <f t="shared" si="139"/>
        <v>0</v>
      </c>
      <c r="CV92" s="27">
        <f t="shared" si="107"/>
        <v>0</v>
      </c>
      <c r="CW92" s="27">
        <f t="shared" si="108"/>
        <v>0</v>
      </c>
      <c r="CX92" s="27">
        <f t="shared" si="109"/>
        <v>0</v>
      </c>
      <c r="CY92" s="27">
        <f t="shared" si="110"/>
        <v>0</v>
      </c>
      <c r="CZ92" s="24">
        <f t="shared" si="111"/>
        <v>0</v>
      </c>
      <c r="DA92" s="24">
        <f t="shared" si="112"/>
        <v>0</v>
      </c>
      <c r="DB92" s="27">
        <f t="shared" si="113"/>
        <v>0</v>
      </c>
      <c r="DC92" s="27">
        <f t="shared" si="114"/>
        <v>0</v>
      </c>
      <c r="DD92" s="27">
        <f t="shared" si="115"/>
        <v>0</v>
      </c>
      <c r="DE92" s="27">
        <f t="shared" si="116"/>
        <v>0</v>
      </c>
      <c r="DF92" s="24">
        <f t="shared" si="117"/>
        <v>0</v>
      </c>
      <c r="DG92" s="24">
        <f t="shared" si="118"/>
        <v>0</v>
      </c>
      <c r="DH92" s="24">
        <f t="shared" si="119"/>
        <v>0</v>
      </c>
      <c r="DI92" s="24">
        <f t="shared" si="120"/>
        <v>0</v>
      </c>
      <c r="DJ92" s="26">
        <f t="shared" si="140"/>
        <v>0</v>
      </c>
      <c r="DK92" s="26">
        <f t="shared" si="141"/>
        <v>0</v>
      </c>
      <c r="DP92" s="27"/>
      <c r="DQ92" s="27"/>
      <c r="DR92" s="27">
        <f t="shared" si="121"/>
        <v>0</v>
      </c>
      <c r="DS92" s="27">
        <f t="shared" si="122"/>
        <v>0</v>
      </c>
      <c r="DT92" s="27">
        <f t="shared" si="123"/>
        <v>0</v>
      </c>
      <c r="DU92" s="27">
        <f t="shared" si="124"/>
        <v>0</v>
      </c>
      <c r="DV92" s="27">
        <f t="shared" si="135"/>
        <v>0</v>
      </c>
      <c r="DW92" s="27">
        <f t="shared" si="136"/>
        <v>0</v>
      </c>
      <c r="DX92" s="27">
        <f t="shared" si="125"/>
        <v>0</v>
      </c>
      <c r="DY92" s="27">
        <f t="shared" si="126"/>
        <v>0</v>
      </c>
      <c r="DZ92" s="27">
        <f t="shared" si="127"/>
        <v>0</v>
      </c>
      <c r="EA92" s="27">
        <f t="shared" si="128"/>
        <v>0</v>
      </c>
      <c r="EB92" s="27">
        <f t="shared" si="137"/>
        <v>0</v>
      </c>
      <c r="EC92" s="27">
        <f t="shared" si="138"/>
        <v>0</v>
      </c>
    </row>
    <row r="93" spans="3:133" x14ac:dyDescent="0.35">
      <c r="C93" s="31">
        <f t="shared" si="91"/>
        <v>89</v>
      </c>
      <c r="D93" s="32">
        <v>92229.15</v>
      </c>
      <c r="E93" s="32">
        <v>98452.23</v>
      </c>
      <c r="F93" s="72"/>
      <c r="G93" s="31">
        <f t="shared" si="92"/>
        <v>89</v>
      </c>
      <c r="H93" s="73">
        <v>164694.91</v>
      </c>
      <c r="I93" s="73">
        <v>175807.55</v>
      </c>
      <c r="BQ93">
        <v>87</v>
      </c>
      <c r="BR93" s="26" t="e">
        <f t="shared" si="129"/>
        <v>#N/A</v>
      </c>
      <c r="BS93" s="26" t="e">
        <f t="shared" si="130"/>
        <v>#N/A</v>
      </c>
      <c r="BU93">
        <v>87</v>
      </c>
      <c r="BV93" s="26" t="e">
        <f t="shared" si="93"/>
        <v>#N/A</v>
      </c>
      <c r="BW93" s="26" t="e">
        <f t="shared" si="94"/>
        <v>#N/A</v>
      </c>
      <c r="BY93">
        <v>87</v>
      </c>
      <c r="BZ93" s="26" t="e">
        <f t="shared" si="131"/>
        <v>#N/A</v>
      </c>
      <c r="CA93" s="26" t="e">
        <f t="shared" si="132"/>
        <v>#N/A</v>
      </c>
      <c r="CC93">
        <v>87</v>
      </c>
      <c r="CD93" s="26" t="e">
        <f t="shared" si="133"/>
        <v>#N/A</v>
      </c>
      <c r="CE93" s="26" t="e">
        <f t="shared" si="134"/>
        <v>#N/A</v>
      </c>
      <c r="CG93">
        <v>87</v>
      </c>
      <c r="CH93" s="24" t="e">
        <f t="shared" si="95"/>
        <v>#N/A</v>
      </c>
      <c r="CI93" s="24" t="e">
        <f t="shared" si="96"/>
        <v>#N/A</v>
      </c>
      <c r="CJ93" s="27">
        <f t="shared" si="97"/>
        <v>0</v>
      </c>
      <c r="CK93" s="27">
        <f t="shared" si="98"/>
        <v>0</v>
      </c>
      <c r="CL93" s="26">
        <f t="shared" si="99"/>
        <v>0</v>
      </c>
      <c r="CM93" s="26">
        <f t="shared" si="100"/>
        <v>0</v>
      </c>
      <c r="CN93" s="27">
        <f t="shared" si="101"/>
        <v>0</v>
      </c>
      <c r="CO93" s="27">
        <f t="shared" si="102"/>
        <v>0</v>
      </c>
      <c r="CP93" s="27">
        <f t="shared" si="103"/>
        <v>0</v>
      </c>
      <c r="CQ93" s="27">
        <f t="shared" si="104"/>
        <v>0</v>
      </c>
      <c r="CR93" s="24">
        <f t="shared" si="105"/>
        <v>0</v>
      </c>
      <c r="CS93" s="24">
        <f t="shared" si="106"/>
        <v>0</v>
      </c>
      <c r="CT93">
        <v>0</v>
      </c>
      <c r="CU93" s="24">
        <f t="shared" si="139"/>
        <v>0</v>
      </c>
      <c r="CV93" s="27">
        <f t="shared" si="107"/>
        <v>0</v>
      </c>
      <c r="CW93" s="27">
        <f t="shared" si="108"/>
        <v>0</v>
      </c>
      <c r="CX93" s="27">
        <f t="shared" si="109"/>
        <v>0</v>
      </c>
      <c r="CY93" s="27">
        <f t="shared" si="110"/>
        <v>0</v>
      </c>
      <c r="CZ93" s="24">
        <f t="shared" si="111"/>
        <v>0</v>
      </c>
      <c r="DA93" s="24">
        <f t="shared" si="112"/>
        <v>0</v>
      </c>
      <c r="DB93" s="27">
        <f t="shared" si="113"/>
        <v>0</v>
      </c>
      <c r="DC93" s="27">
        <f t="shared" si="114"/>
        <v>0</v>
      </c>
      <c r="DD93" s="27">
        <f t="shared" si="115"/>
        <v>0</v>
      </c>
      <c r="DE93" s="27">
        <f t="shared" si="116"/>
        <v>0</v>
      </c>
      <c r="DF93" s="24">
        <f t="shared" si="117"/>
        <v>0</v>
      </c>
      <c r="DG93" s="24">
        <f t="shared" si="118"/>
        <v>0</v>
      </c>
      <c r="DH93" s="24">
        <f t="shared" si="119"/>
        <v>0</v>
      </c>
      <c r="DI93" s="24">
        <f t="shared" si="120"/>
        <v>0</v>
      </c>
      <c r="DJ93" s="26">
        <f t="shared" si="140"/>
        <v>0</v>
      </c>
      <c r="DK93" s="26">
        <f t="shared" si="141"/>
        <v>0</v>
      </c>
      <c r="DP93" s="27"/>
      <c r="DQ93" s="27"/>
      <c r="DR93" s="27">
        <f t="shared" si="121"/>
        <v>0</v>
      </c>
      <c r="DS93" s="27">
        <f t="shared" si="122"/>
        <v>0</v>
      </c>
      <c r="DT93" s="27">
        <f t="shared" si="123"/>
        <v>0</v>
      </c>
      <c r="DU93" s="27">
        <f t="shared" si="124"/>
        <v>0</v>
      </c>
      <c r="DV93" s="27">
        <f t="shared" si="135"/>
        <v>0</v>
      </c>
      <c r="DW93" s="27">
        <f t="shared" si="136"/>
        <v>0</v>
      </c>
      <c r="DX93" s="27">
        <f t="shared" si="125"/>
        <v>0</v>
      </c>
      <c r="DY93" s="27">
        <f t="shared" si="126"/>
        <v>0</v>
      </c>
      <c r="DZ93" s="27">
        <f t="shared" si="127"/>
        <v>0</v>
      </c>
      <c r="EA93" s="27">
        <f t="shared" si="128"/>
        <v>0</v>
      </c>
      <c r="EB93" s="27">
        <f t="shared" si="137"/>
        <v>0</v>
      </c>
      <c r="EC93" s="27">
        <f t="shared" si="138"/>
        <v>0</v>
      </c>
    </row>
    <row r="94" spans="3:133" x14ac:dyDescent="0.35">
      <c r="C94" s="31">
        <f t="shared" si="91"/>
        <v>90</v>
      </c>
      <c r="D94" s="32">
        <v>92968.6</v>
      </c>
      <c r="E94" s="32">
        <v>99241.57</v>
      </c>
      <c r="F94" s="72"/>
      <c r="G94" s="31">
        <f t="shared" si="92"/>
        <v>90</v>
      </c>
      <c r="H94" s="73">
        <v>166015.35999999999</v>
      </c>
      <c r="I94" s="73">
        <v>177217.09</v>
      </c>
      <c r="BQ94">
        <v>88</v>
      </c>
      <c r="BR94" s="26" t="e">
        <f t="shared" si="129"/>
        <v>#N/A</v>
      </c>
      <c r="BS94" s="26" t="e">
        <f t="shared" si="130"/>
        <v>#N/A</v>
      </c>
      <c r="BU94">
        <v>88</v>
      </c>
      <c r="BV94" s="26" t="e">
        <f t="shared" si="93"/>
        <v>#N/A</v>
      </c>
      <c r="BW94" s="26" t="e">
        <f t="shared" si="94"/>
        <v>#N/A</v>
      </c>
      <c r="BY94">
        <v>88</v>
      </c>
      <c r="BZ94" s="26" t="e">
        <f t="shared" si="131"/>
        <v>#N/A</v>
      </c>
      <c r="CA94" s="26" t="e">
        <f t="shared" si="132"/>
        <v>#N/A</v>
      </c>
      <c r="CC94">
        <v>88</v>
      </c>
      <c r="CD94" s="26" t="e">
        <f t="shared" si="133"/>
        <v>#N/A</v>
      </c>
      <c r="CE94" s="26" t="e">
        <f t="shared" si="134"/>
        <v>#N/A</v>
      </c>
      <c r="CG94">
        <v>88</v>
      </c>
      <c r="CH94" s="24" t="e">
        <f t="shared" si="95"/>
        <v>#N/A</v>
      </c>
      <c r="CI94" s="24" t="e">
        <f t="shared" si="96"/>
        <v>#N/A</v>
      </c>
      <c r="CJ94" s="27">
        <f t="shared" si="97"/>
        <v>0</v>
      </c>
      <c r="CK94" s="27">
        <f t="shared" si="98"/>
        <v>0</v>
      </c>
      <c r="CL94" s="26">
        <f t="shared" si="99"/>
        <v>0</v>
      </c>
      <c r="CM94" s="26">
        <f t="shared" si="100"/>
        <v>0</v>
      </c>
      <c r="CN94" s="27">
        <f t="shared" si="101"/>
        <v>0</v>
      </c>
      <c r="CO94" s="27">
        <f t="shared" si="102"/>
        <v>0</v>
      </c>
      <c r="CP94" s="27">
        <f t="shared" si="103"/>
        <v>0</v>
      </c>
      <c r="CQ94" s="27">
        <f t="shared" si="104"/>
        <v>0</v>
      </c>
      <c r="CR94" s="24">
        <f t="shared" si="105"/>
        <v>0</v>
      </c>
      <c r="CS94" s="24">
        <f t="shared" si="106"/>
        <v>0</v>
      </c>
      <c r="CT94">
        <v>0</v>
      </c>
      <c r="CU94" s="24">
        <f t="shared" si="139"/>
        <v>0</v>
      </c>
      <c r="CV94" s="27">
        <f t="shared" si="107"/>
        <v>0</v>
      </c>
      <c r="CW94" s="27">
        <f t="shared" si="108"/>
        <v>0</v>
      </c>
      <c r="CX94" s="27">
        <f t="shared" si="109"/>
        <v>0</v>
      </c>
      <c r="CY94" s="27">
        <f t="shared" si="110"/>
        <v>0</v>
      </c>
      <c r="CZ94" s="24">
        <f t="shared" si="111"/>
        <v>0</v>
      </c>
      <c r="DA94" s="24">
        <f t="shared" si="112"/>
        <v>0</v>
      </c>
      <c r="DB94" s="27">
        <f t="shared" si="113"/>
        <v>0</v>
      </c>
      <c r="DC94" s="27">
        <f t="shared" si="114"/>
        <v>0</v>
      </c>
      <c r="DD94" s="27">
        <f t="shared" si="115"/>
        <v>0</v>
      </c>
      <c r="DE94" s="27">
        <f t="shared" si="116"/>
        <v>0</v>
      </c>
      <c r="DF94" s="24">
        <f t="shared" si="117"/>
        <v>0</v>
      </c>
      <c r="DG94" s="24">
        <f t="shared" si="118"/>
        <v>0</v>
      </c>
      <c r="DH94" s="24">
        <f t="shared" si="119"/>
        <v>0</v>
      </c>
      <c r="DI94" s="24">
        <f t="shared" si="120"/>
        <v>0</v>
      </c>
      <c r="DJ94" s="26">
        <f t="shared" si="140"/>
        <v>0</v>
      </c>
      <c r="DK94" s="26">
        <f t="shared" si="141"/>
        <v>0</v>
      </c>
      <c r="DP94" s="27"/>
      <c r="DQ94" s="27"/>
      <c r="DR94" s="27">
        <f t="shared" si="121"/>
        <v>0</v>
      </c>
      <c r="DS94" s="27">
        <f t="shared" si="122"/>
        <v>0</v>
      </c>
      <c r="DT94" s="27">
        <f t="shared" si="123"/>
        <v>0</v>
      </c>
      <c r="DU94" s="27">
        <f t="shared" si="124"/>
        <v>0</v>
      </c>
      <c r="DV94" s="27">
        <f t="shared" si="135"/>
        <v>0</v>
      </c>
      <c r="DW94" s="27">
        <f t="shared" si="136"/>
        <v>0</v>
      </c>
      <c r="DX94" s="27">
        <f t="shared" si="125"/>
        <v>0</v>
      </c>
      <c r="DY94" s="27">
        <f t="shared" si="126"/>
        <v>0</v>
      </c>
      <c r="DZ94" s="27">
        <f t="shared" si="127"/>
        <v>0</v>
      </c>
      <c r="EA94" s="27">
        <f t="shared" si="128"/>
        <v>0</v>
      </c>
      <c r="EB94" s="27">
        <f t="shared" si="137"/>
        <v>0</v>
      </c>
      <c r="EC94" s="27">
        <f t="shared" si="138"/>
        <v>0</v>
      </c>
    </row>
    <row r="95" spans="3:133" x14ac:dyDescent="0.35">
      <c r="C95" s="31">
        <f t="shared" si="91"/>
        <v>91</v>
      </c>
      <c r="D95" s="32">
        <v>93713.97</v>
      </c>
      <c r="E95" s="32">
        <v>100037.23</v>
      </c>
      <c r="F95" s="72"/>
      <c r="G95" s="31">
        <f t="shared" si="92"/>
        <v>91</v>
      </c>
      <c r="H95" s="73">
        <v>167346.38</v>
      </c>
      <c r="I95" s="73">
        <v>178637.91</v>
      </c>
      <c r="BQ95">
        <v>89</v>
      </c>
      <c r="BR95" s="26" t="e">
        <f t="shared" si="129"/>
        <v>#N/A</v>
      </c>
      <c r="BS95" s="26" t="e">
        <f t="shared" si="130"/>
        <v>#N/A</v>
      </c>
      <c r="BU95">
        <v>89</v>
      </c>
      <c r="BV95" s="26" t="e">
        <f t="shared" si="93"/>
        <v>#N/A</v>
      </c>
      <c r="BW95" s="26" t="e">
        <f t="shared" si="94"/>
        <v>#N/A</v>
      </c>
      <c r="BY95">
        <v>89</v>
      </c>
      <c r="BZ95" s="26" t="e">
        <f t="shared" si="131"/>
        <v>#N/A</v>
      </c>
      <c r="CA95" s="26" t="e">
        <f t="shared" si="132"/>
        <v>#N/A</v>
      </c>
      <c r="CC95">
        <v>89</v>
      </c>
      <c r="CD95" s="26" t="e">
        <f t="shared" si="133"/>
        <v>#N/A</v>
      </c>
      <c r="CE95" s="26" t="e">
        <f t="shared" si="134"/>
        <v>#N/A</v>
      </c>
      <c r="CG95">
        <v>89</v>
      </c>
      <c r="CH95" s="24" t="e">
        <f t="shared" si="95"/>
        <v>#N/A</v>
      </c>
      <c r="CI95" s="24" t="e">
        <f t="shared" si="96"/>
        <v>#N/A</v>
      </c>
      <c r="CJ95" s="27">
        <f t="shared" si="97"/>
        <v>0</v>
      </c>
      <c r="CK95" s="27">
        <f t="shared" si="98"/>
        <v>0</v>
      </c>
      <c r="CL95" s="26">
        <f t="shared" si="99"/>
        <v>0</v>
      </c>
      <c r="CM95" s="26">
        <f t="shared" si="100"/>
        <v>0</v>
      </c>
      <c r="CN95" s="27">
        <f t="shared" si="101"/>
        <v>0</v>
      </c>
      <c r="CO95" s="27">
        <f t="shared" si="102"/>
        <v>0</v>
      </c>
      <c r="CP95" s="27">
        <f t="shared" si="103"/>
        <v>0</v>
      </c>
      <c r="CQ95" s="27">
        <f t="shared" si="104"/>
        <v>0</v>
      </c>
      <c r="CR95" s="24">
        <f t="shared" si="105"/>
        <v>0</v>
      </c>
      <c r="CS95" s="24">
        <f t="shared" si="106"/>
        <v>0</v>
      </c>
      <c r="CT95">
        <v>0</v>
      </c>
      <c r="CU95" s="24">
        <f t="shared" si="139"/>
        <v>0</v>
      </c>
      <c r="CV95" s="27">
        <f t="shared" si="107"/>
        <v>0</v>
      </c>
      <c r="CW95" s="27">
        <f t="shared" si="108"/>
        <v>0</v>
      </c>
      <c r="CX95" s="27">
        <f t="shared" si="109"/>
        <v>0</v>
      </c>
      <c r="CY95" s="27">
        <f t="shared" si="110"/>
        <v>0</v>
      </c>
      <c r="CZ95" s="24">
        <f t="shared" si="111"/>
        <v>0</v>
      </c>
      <c r="DA95" s="24">
        <f t="shared" si="112"/>
        <v>0</v>
      </c>
      <c r="DB95" s="27">
        <f t="shared" si="113"/>
        <v>0</v>
      </c>
      <c r="DC95" s="27">
        <f t="shared" si="114"/>
        <v>0</v>
      </c>
      <c r="DD95" s="27">
        <f t="shared" si="115"/>
        <v>0</v>
      </c>
      <c r="DE95" s="27">
        <f t="shared" si="116"/>
        <v>0</v>
      </c>
      <c r="DF95" s="24">
        <f t="shared" si="117"/>
        <v>0</v>
      </c>
      <c r="DG95" s="24">
        <f t="shared" si="118"/>
        <v>0</v>
      </c>
      <c r="DH95" s="24">
        <f t="shared" si="119"/>
        <v>0</v>
      </c>
      <c r="DI95" s="24">
        <f t="shared" si="120"/>
        <v>0</v>
      </c>
      <c r="DJ95" s="26">
        <f t="shared" si="140"/>
        <v>0</v>
      </c>
      <c r="DK95" s="26">
        <f t="shared" si="141"/>
        <v>0</v>
      </c>
      <c r="DP95" s="27"/>
      <c r="DQ95" s="27"/>
      <c r="DR95" s="27">
        <f t="shared" si="121"/>
        <v>0</v>
      </c>
      <c r="DS95" s="27">
        <f t="shared" si="122"/>
        <v>0</v>
      </c>
      <c r="DT95" s="27">
        <f t="shared" si="123"/>
        <v>0</v>
      </c>
      <c r="DU95" s="27">
        <f t="shared" si="124"/>
        <v>0</v>
      </c>
      <c r="DV95" s="27">
        <f t="shared" si="135"/>
        <v>0</v>
      </c>
      <c r="DW95" s="27">
        <f t="shared" si="136"/>
        <v>0</v>
      </c>
      <c r="DX95" s="27">
        <f t="shared" si="125"/>
        <v>0</v>
      </c>
      <c r="DY95" s="27">
        <f t="shared" si="126"/>
        <v>0</v>
      </c>
      <c r="DZ95" s="27">
        <f t="shared" si="127"/>
        <v>0</v>
      </c>
      <c r="EA95" s="27">
        <f t="shared" si="128"/>
        <v>0</v>
      </c>
      <c r="EB95" s="27">
        <f t="shared" si="137"/>
        <v>0</v>
      </c>
      <c r="EC95" s="27">
        <f t="shared" si="138"/>
        <v>0</v>
      </c>
    </row>
    <row r="96" spans="3:133" x14ac:dyDescent="0.35">
      <c r="C96" s="31">
        <f t="shared" si="91"/>
        <v>92</v>
      </c>
      <c r="D96" s="32">
        <v>94465.32</v>
      </c>
      <c r="E96" s="32">
        <v>100839.28</v>
      </c>
      <c r="F96" s="72"/>
      <c r="G96" s="31">
        <f t="shared" si="92"/>
        <v>92</v>
      </c>
      <c r="H96" s="73">
        <v>168688.07</v>
      </c>
      <c r="I96" s="73">
        <v>180070.14</v>
      </c>
      <c r="BQ96">
        <v>90</v>
      </c>
      <c r="BR96" s="26" t="e">
        <f t="shared" si="129"/>
        <v>#N/A</v>
      </c>
      <c r="BS96" s="26" t="e">
        <f t="shared" si="130"/>
        <v>#N/A</v>
      </c>
      <c r="BU96">
        <v>90</v>
      </c>
      <c r="BV96" s="26" t="e">
        <f t="shared" si="93"/>
        <v>#N/A</v>
      </c>
      <c r="BW96" s="26" t="e">
        <f t="shared" si="94"/>
        <v>#N/A</v>
      </c>
      <c r="BY96">
        <v>90</v>
      </c>
      <c r="BZ96" s="26" t="e">
        <f t="shared" si="131"/>
        <v>#N/A</v>
      </c>
      <c r="CA96" s="26" t="e">
        <f t="shared" si="132"/>
        <v>#N/A</v>
      </c>
      <c r="CC96">
        <v>90</v>
      </c>
      <c r="CD96" s="26" t="e">
        <f t="shared" si="133"/>
        <v>#N/A</v>
      </c>
      <c r="CE96" s="26" t="e">
        <f t="shared" si="134"/>
        <v>#N/A</v>
      </c>
      <c r="CG96">
        <v>90</v>
      </c>
      <c r="CH96" s="24" t="e">
        <f t="shared" si="95"/>
        <v>#N/A</v>
      </c>
      <c r="CI96" s="24" t="e">
        <f t="shared" si="96"/>
        <v>#N/A</v>
      </c>
      <c r="CJ96" s="27">
        <f t="shared" si="97"/>
        <v>0</v>
      </c>
      <c r="CK96" s="27">
        <f t="shared" si="98"/>
        <v>0</v>
      </c>
      <c r="CL96" s="26">
        <f t="shared" si="99"/>
        <v>0</v>
      </c>
      <c r="CM96" s="26">
        <f t="shared" si="100"/>
        <v>0</v>
      </c>
      <c r="CN96" s="27">
        <f t="shared" si="101"/>
        <v>0</v>
      </c>
      <c r="CO96" s="27">
        <f t="shared" si="102"/>
        <v>0</v>
      </c>
      <c r="CP96" s="27">
        <f t="shared" si="103"/>
        <v>0</v>
      </c>
      <c r="CQ96" s="27">
        <f t="shared" si="104"/>
        <v>0</v>
      </c>
      <c r="CR96" s="24">
        <f t="shared" si="105"/>
        <v>0</v>
      </c>
      <c r="CS96" s="24">
        <f t="shared" si="106"/>
        <v>0</v>
      </c>
      <c r="CT96">
        <v>0</v>
      </c>
      <c r="CU96" s="24">
        <f t="shared" si="139"/>
        <v>0</v>
      </c>
      <c r="CV96" s="27">
        <f t="shared" si="107"/>
        <v>0</v>
      </c>
      <c r="CW96" s="27">
        <f t="shared" si="108"/>
        <v>0</v>
      </c>
      <c r="CX96" s="27">
        <f t="shared" si="109"/>
        <v>0</v>
      </c>
      <c r="CY96" s="27">
        <f t="shared" si="110"/>
        <v>0</v>
      </c>
      <c r="CZ96" s="24">
        <f t="shared" si="111"/>
        <v>0</v>
      </c>
      <c r="DA96" s="24">
        <f t="shared" si="112"/>
        <v>0</v>
      </c>
      <c r="DB96" s="27">
        <f t="shared" si="113"/>
        <v>0</v>
      </c>
      <c r="DC96" s="27">
        <f t="shared" si="114"/>
        <v>0</v>
      </c>
      <c r="DD96" s="27">
        <f t="shared" si="115"/>
        <v>0</v>
      </c>
      <c r="DE96" s="27">
        <f t="shared" si="116"/>
        <v>0</v>
      </c>
      <c r="DF96" s="24">
        <f t="shared" si="117"/>
        <v>0</v>
      </c>
      <c r="DG96" s="24">
        <f t="shared" si="118"/>
        <v>0</v>
      </c>
      <c r="DH96" s="24">
        <f t="shared" si="119"/>
        <v>0</v>
      </c>
      <c r="DI96" s="24">
        <f t="shared" si="120"/>
        <v>0</v>
      </c>
      <c r="DJ96" s="26">
        <f t="shared" si="140"/>
        <v>0</v>
      </c>
      <c r="DK96" s="26">
        <f t="shared" si="141"/>
        <v>0</v>
      </c>
      <c r="DP96" s="27"/>
      <c r="DQ96" s="27"/>
      <c r="DR96" s="27">
        <f t="shared" si="121"/>
        <v>0</v>
      </c>
      <c r="DS96" s="27">
        <f t="shared" si="122"/>
        <v>0</v>
      </c>
      <c r="DT96" s="27">
        <f t="shared" si="123"/>
        <v>0</v>
      </c>
      <c r="DU96" s="27">
        <f t="shared" si="124"/>
        <v>0</v>
      </c>
      <c r="DV96" s="27">
        <f t="shared" si="135"/>
        <v>0</v>
      </c>
      <c r="DW96" s="27">
        <f t="shared" si="136"/>
        <v>0</v>
      </c>
      <c r="DX96" s="27">
        <f t="shared" si="125"/>
        <v>0</v>
      </c>
      <c r="DY96" s="27">
        <f t="shared" si="126"/>
        <v>0</v>
      </c>
      <c r="DZ96" s="27">
        <f t="shared" si="127"/>
        <v>0</v>
      </c>
      <c r="EA96" s="27">
        <f t="shared" si="128"/>
        <v>0</v>
      </c>
      <c r="EB96" s="27">
        <f t="shared" si="137"/>
        <v>0</v>
      </c>
      <c r="EC96" s="27">
        <f t="shared" si="138"/>
        <v>0</v>
      </c>
    </row>
    <row r="97" spans="3:133" x14ac:dyDescent="0.35">
      <c r="C97" s="31">
        <f t="shared" si="91"/>
        <v>93</v>
      </c>
      <c r="D97" s="32">
        <v>95222.69</v>
      </c>
      <c r="E97" s="32">
        <v>101647.75</v>
      </c>
      <c r="F97" s="72"/>
      <c r="G97" s="31">
        <f t="shared" si="92"/>
        <v>93</v>
      </c>
      <c r="H97" s="73">
        <v>170040.52</v>
      </c>
      <c r="I97" s="73">
        <v>181513.84</v>
      </c>
      <c r="BQ97">
        <v>91</v>
      </c>
      <c r="BR97" s="26" t="e">
        <f t="shared" si="129"/>
        <v>#N/A</v>
      </c>
      <c r="BS97" s="26" t="e">
        <f t="shared" si="130"/>
        <v>#N/A</v>
      </c>
      <c r="BU97">
        <v>91</v>
      </c>
      <c r="BV97" s="26" t="e">
        <f t="shared" si="93"/>
        <v>#N/A</v>
      </c>
      <c r="BW97" s="26" t="e">
        <f t="shared" si="94"/>
        <v>#N/A</v>
      </c>
      <c r="BY97">
        <v>91</v>
      </c>
      <c r="BZ97" s="26" t="e">
        <f t="shared" si="131"/>
        <v>#N/A</v>
      </c>
      <c r="CA97" s="26" t="e">
        <f t="shared" si="132"/>
        <v>#N/A</v>
      </c>
      <c r="CC97">
        <v>91</v>
      </c>
      <c r="CD97" s="26" t="e">
        <f t="shared" si="133"/>
        <v>#N/A</v>
      </c>
      <c r="CE97" s="26" t="e">
        <f t="shared" si="134"/>
        <v>#N/A</v>
      </c>
      <c r="CG97">
        <v>91</v>
      </c>
      <c r="CH97" s="24" t="e">
        <f t="shared" si="95"/>
        <v>#N/A</v>
      </c>
      <c r="CI97" s="24" t="e">
        <f t="shared" si="96"/>
        <v>#N/A</v>
      </c>
      <c r="CJ97" s="27">
        <f t="shared" si="97"/>
        <v>0</v>
      </c>
      <c r="CK97" s="27">
        <f t="shared" si="98"/>
        <v>0</v>
      </c>
      <c r="CL97" s="26">
        <f t="shared" si="99"/>
        <v>0</v>
      </c>
      <c r="CM97" s="26">
        <f t="shared" si="100"/>
        <v>0</v>
      </c>
      <c r="CN97" s="27">
        <f t="shared" si="101"/>
        <v>0</v>
      </c>
      <c r="CO97" s="27">
        <f t="shared" si="102"/>
        <v>0</v>
      </c>
      <c r="CP97" s="27">
        <f t="shared" si="103"/>
        <v>0</v>
      </c>
      <c r="CQ97" s="27">
        <f t="shared" si="104"/>
        <v>0</v>
      </c>
      <c r="CR97" s="24">
        <f t="shared" si="105"/>
        <v>0</v>
      </c>
      <c r="CS97" s="24">
        <f t="shared" si="106"/>
        <v>0</v>
      </c>
      <c r="CT97">
        <v>0</v>
      </c>
      <c r="CU97" s="24">
        <f t="shared" si="139"/>
        <v>0</v>
      </c>
      <c r="CV97" s="27">
        <f t="shared" si="107"/>
        <v>0</v>
      </c>
      <c r="CW97" s="27">
        <f t="shared" si="108"/>
        <v>0</v>
      </c>
      <c r="CX97" s="27">
        <f t="shared" si="109"/>
        <v>0</v>
      </c>
      <c r="CY97" s="27">
        <f t="shared" si="110"/>
        <v>0</v>
      </c>
      <c r="CZ97" s="24">
        <f t="shared" si="111"/>
        <v>0</v>
      </c>
      <c r="DA97" s="24">
        <f t="shared" si="112"/>
        <v>0</v>
      </c>
      <c r="DB97" s="27">
        <f t="shared" si="113"/>
        <v>0</v>
      </c>
      <c r="DC97" s="27">
        <f t="shared" si="114"/>
        <v>0</v>
      </c>
      <c r="DD97" s="27">
        <f t="shared" si="115"/>
        <v>0</v>
      </c>
      <c r="DE97" s="27">
        <f t="shared" si="116"/>
        <v>0</v>
      </c>
      <c r="DF97" s="24">
        <f t="shared" si="117"/>
        <v>0</v>
      </c>
      <c r="DG97" s="24">
        <f t="shared" si="118"/>
        <v>0</v>
      </c>
      <c r="DH97" s="24">
        <f t="shared" si="119"/>
        <v>0</v>
      </c>
      <c r="DI97" s="24">
        <f t="shared" si="120"/>
        <v>0</v>
      </c>
      <c r="DJ97" s="26">
        <f t="shared" si="140"/>
        <v>0</v>
      </c>
      <c r="DK97" s="26">
        <f t="shared" si="141"/>
        <v>0</v>
      </c>
      <c r="DP97" s="27"/>
      <c r="DQ97" s="27"/>
      <c r="DR97" s="27">
        <f t="shared" si="121"/>
        <v>0</v>
      </c>
      <c r="DS97" s="27">
        <f t="shared" si="122"/>
        <v>0</v>
      </c>
      <c r="DT97" s="27">
        <f t="shared" si="123"/>
        <v>0</v>
      </c>
      <c r="DU97" s="27">
        <f t="shared" si="124"/>
        <v>0</v>
      </c>
      <c r="DV97" s="27">
        <f t="shared" si="135"/>
        <v>0</v>
      </c>
      <c r="DW97" s="27">
        <f t="shared" si="136"/>
        <v>0</v>
      </c>
      <c r="DX97" s="27">
        <f t="shared" si="125"/>
        <v>0</v>
      </c>
      <c r="DY97" s="27">
        <f t="shared" si="126"/>
        <v>0</v>
      </c>
      <c r="DZ97" s="27">
        <f t="shared" si="127"/>
        <v>0</v>
      </c>
      <c r="EA97" s="27">
        <f t="shared" si="128"/>
        <v>0</v>
      </c>
      <c r="EB97" s="27">
        <f t="shared" si="137"/>
        <v>0</v>
      </c>
      <c r="EC97" s="27">
        <f t="shared" si="138"/>
        <v>0</v>
      </c>
    </row>
    <row r="98" spans="3:133" x14ac:dyDescent="0.35">
      <c r="C98" s="31">
        <f t="shared" si="91"/>
        <v>94</v>
      </c>
      <c r="D98" s="32">
        <v>95986.14</v>
      </c>
      <c r="E98" s="32">
        <v>102462.71</v>
      </c>
      <c r="F98" s="72"/>
      <c r="G98" s="31">
        <f t="shared" si="92"/>
        <v>94</v>
      </c>
      <c r="H98" s="73">
        <v>171403.82</v>
      </c>
      <c r="I98" s="73">
        <v>182969.13</v>
      </c>
      <c r="BQ98">
        <v>92</v>
      </c>
      <c r="BR98" s="26" t="e">
        <f t="shared" si="129"/>
        <v>#N/A</v>
      </c>
      <c r="BS98" s="26" t="e">
        <f t="shared" si="130"/>
        <v>#N/A</v>
      </c>
      <c r="BU98">
        <v>92</v>
      </c>
      <c r="BV98" s="26" t="e">
        <f t="shared" si="93"/>
        <v>#N/A</v>
      </c>
      <c r="BW98" s="26" t="e">
        <f t="shared" si="94"/>
        <v>#N/A</v>
      </c>
      <c r="BY98">
        <v>92</v>
      </c>
      <c r="BZ98" s="26" t="e">
        <f t="shared" si="131"/>
        <v>#N/A</v>
      </c>
      <c r="CA98" s="26" t="e">
        <f t="shared" si="132"/>
        <v>#N/A</v>
      </c>
      <c r="CC98">
        <v>92</v>
      </c>
      <c r="CD98" s="26" t="e">
        <f t="shared" si="133"/>
        <v>#N/A</v>
      </c>
      <c r="CE98" s="26" t="e">
        <f t="shared" si="134"/>
        <v>#N/A</v>
      </c>
      <c r="CG98">
        <v>92</v>
      </c>
      <c r="CH98" s="24" t="e">
        <f t="shared" si="95"/>
        <v>#N/A</v>
      </c>
      <c r="CI98" s="24" t="e">
        <f t="shared" si="96"/>
        <v>#N/A</v>
      </c>
      <c r="CJ98" s="27">
        <f t="shared" si="97"/>
        <v>0</v>
      </c>
      <c r="CK98" s="27">
        <f t="shared" si="98"/>
        <v>0</v>
      </c>
      <c r="CL98" s="26">
        <f t="shared" si="99"/>
        <v>0</v>
      </c>
      <c r="CM98" s="26">
        <f t="shared" si="100"/>
        <v>0</v>
      </c>
      <c r="CN98" s="27">
        <f t="shared" si="101"/>
        <v>0</v>
      </c>
      <c r="CO98" s="27">
        <f t="shared" si="102"/>
        <v>0</v>
      </c>
      <c r="CP98" s="27">
        <f t="shared" si="103"/>
        <v>0</v>
      </c>
      <c r="CQ98" s="27">
        <f t="shared" si="104"/>
        <v>0</v>
      </c>
      <c r="CR98" s="24">
        <f t="shared" si="105"/>
        <v>0</v>
      </c>
      <c r="CS98" s="24">
        <f t="shared" si="106"/>
        <v>0</v>
      </c>
      <c r="CT98">
        <v>0</v>
      </c>
      <c r="CU98" s="24">
        <f t="shared" si="139"/>
        <v>0</v>
      </c>
      <c r="CV98" s="27">
        <f t="shared" si="107"/>
        <v>0</v>
      </c>
      <c r="CW98" s="27">
        <f t="shared" si="108"/>
        <v>0</v>
      </c>
      <c r="CX98" s="27">
        <f t="shared" si="109"/>
        <v>0</v>
      </c>
      <c r="CY98" s="27">
        <f t="shared" si="110"/>
        <v>0</v>
      </c>
      <c r="CZ98" s="24">
        <f t="shared" si="111"/>
        <v>0</v>
      </c>
      <c r="DA98" s="24">
        <f t="shared" si="112"/>
        <v>0</v>
      </c>
      <c r="DB98" s="27">
        <f t="shared" si="113"/>
        <v>0</v>
      </c>
      <c r="DC98" s="27">
        <f t="shared" si="114"/>
        <v>0</v>
      </c>
      <c r="DD98" s="27">
        <f t="shared" si="115"/>
        <v>0</v>
      </c>
      <c r="DE98" s="27">
        <f t="shared" si="116"/>
        <v>0</v>
      </c>
      <c r="DF98" s="24">
        <f t="shared" si="117"/>
        <v>0</v>
      </c>
      <c r="DG98" s="24">
        <f t="shared" si="118"/>
        <v>0</v>
      </c>
      <c r="DH98" s="24">
        <f t="shared" si="119"/>
        <v>0</v>
      </c>
      <c r="DI98" s="24">
        <f t="shared" si="120"/>
        <v>0</v>
      </c>
      <c r="DJ98" s="26">
        <f t="shared" si="140"/>
        <v>0</v>
      </c>
      <c r="DK98" s="26">
        <f t="shared" si="141"/>
        <v>0</v>
      </c>
      <c r="DP98" s="27"/>
      <c r="DQ98" s="27"/>
      <c r="DR98" s="27">
        <f t="shared" si="121"/>
        <v>0</v>
      </c>
      <c r="DS98" s="27">
        <f t="shared" si="122"/>
        <v>0</v>
      </c>
      <c r="DT98" s="27">
        <f t="shared" si="123"/>
        <v>0</v>
      </c>
      <c r="DU98" s="27">
        <f t="shared" si="124"/>
        <v>0</v>
      </c>
      <c r="DV98" s="27">
        <f t="shared" si="135"/>
        <v>0</v>
      </c>
      <c r="DW98" s="27">
        <f t="shared" si="136"/>
        <v>0</v>
      </c>
      <c r="DX98" s="27">
        <f t="shared" si="125"/>
        <v>0</v>
      </c>
      <c r="DY98" s="27">
        <f t="shared" si="126"/>
        <v>0</v>
      </c>
      <c r="DZ98" s="27">
        <f t="shared" si="127"/>
        <v>0</v>
      </c>
      <c r="EA98" s="27">
        <f t="shared" si="128"/>
        <v>0</v>
      </c>
      <c r="EB98" s="27">
        <f t="shared" si="137"/>
        <v>0</v>
      </c>
      <c r="EC98" s="27">
        <f t="shared" si="138"/>
        <v>0</v>
      </c>
    </row>
    <row r="99" spans="3:133" x14ac:dyDescent="0.35">
      <c r="C99" s="31">
        <f t="shared" si="91"/>
        <v>95</v>
      </c>
      <c r="D99" s="32">
        <v>96755.7</v>
      </c>
      <c r="E99" s="32">
        <v>103284.21</v>
      </c>
      <c r="F99" s="72"/>
      <c r="G99" s="31">
        <f t="shared" si="92"/>
        <v>95</v>
      </c>
      <c r="H99" s="73">
        <v>172778.04</v>
      </c>
      <c r="I99" s="73">
        <v>184436.09</v>
      </c>
      <c r="BQ99">
        <v>93</v>
      </c>
      <c r="BR99" s="26" t="e">
        <f t="shared" si="129"/>
        <v>#N/A</v>
      </c>
      <c r="BS99" s="26" t="e">
        <f t="shared" si="130"/>
        <v>#N/A</v>
      </c>
      <c r="BU99">
        <v>93</v>
      </c>
      <c r="BV99" s="26" t="e">
        <f t="shared" si="93"/>
        <v>#N/A</v>
      </c>
      <c r="BW99" s="26" t="e">
        <f t="shared" si="94"/>
        <v>#N/A</v>
      </c>
      <c r="BY99">
        <v>93</v>
      </c>
      <c r="BZ99" s="26" t="e">
        <f t="shared" si="131"/>
        <v>#N/A</v>
      </c>
      <c r="CA99" s="26" t="e">
        <f t="shared" si="132"/>
        <v>#N/A</v>
      </c>
      <c r="CC99">
        <v>93</v>
      </c>
      <c r="CD99" s="26" t="e">
        <f t="shared" si="133"/>
        <v>#N/A</v>
      </c>
      <c r="CE99" s="26" t="e">
        <f t="shared" si="134"/>
        <v>#N/A</v>
      </c>
      <c r="CG99">
        <v>93</v>
      </c>
      <c r="CH99" s="24" t="e">
        <f t="shared" si="95"/>
        <v>#N/A</v>
      </c>
      <c r="CI99" s="24" t="e">
        <f t="shared" si="96"/>
        <v>#N/A</v>
      </c>
      <c r="CJ99" s="27">
        <f t="shared" si="97"/>
        <v>0</v>
      </c>
      <c r="CK99" s="27">
        <f t="shared" si="98"/>
        <v>0</v>
      </c>
      <c r="CL99" s="26">
        <f t="shared" si="99"/>
        <v>0</v>
      </c>
      <c r="CM99" s="26">
        <f t="shared" si="100"/>
        <v>0</v>
      </c>
      <c r="CN99" s="27">
        <f t="shared" si="101"/>
        <v>0</v>
      </c>
      <c r="CO99" s="27">
        <f t="shared" si="102"/>
        <v>0</v>
      </c>
      <c r="CP99" s="27">
        <f t="shared" si="103"/>
        <v>0</v>
      </c>
      <c r="CQ99" s="27">
        <f t="shared" si="104"/>
        <v>0</v>
      </c>
      <c r="CR99" s="24">
        <f t="shared" si="105"/>
        <v>0</v>
      </c>
      <c r="CS99" s="24">
        <f t="shared" si="106"/>
        <v>0</v>
      </c>
      <c r="CT99">
        <v>0</v>
      </c>
      <c r="CU99" s="24">
        <f t="shared" si="139"/>
        <v>0</v>
      </c>
      <c r="CV99" s="27">
        <f t="shared" si="107"/>
        <v>0</v>
      </c>
      <c r="CW99" s="27">
        <f t="shared" si="108"/>
        <v>0</v>
      </c>
      <c r="CX99" s="27">
        <f t="shared" si="109"/>
        <v>0</v>
      </c>
      <c r="CY99" s="27">
        <f t="shared" si="110"/>
        <v>0</v>
      </c>
      <c r="CZ99" s="24">
        <f t="shared" si="111"/>
        <v>0</v>
      </c>
      <c r="DA99" s="24">
        <f t="shared" si="112"/>
        <v>0</v>
      </c>
      <c r="DB99" s="27">
        <f t="shared" si="113"/>
        <v>0</v>
      </c>
      <c r="DC99" s="27">
        <f t="shared" si="114"/>
        <v>0</v>
      </c>
      <c r="DD99" s="27">
        <f t="shared" si="115"/>
        <v>0</v>
      </c>
      <c r="DE99" s="27">
        <f t="shared" si="116"/>
        <v>0</v>
      </c>
      <c r="DF99" s="24">
        <f t="shared" si="117"/>
        <v>0</v>
      </c>
      <c r="DG99" s="24">
        <f t="shared" si="118"/>
        <v>0</v>
      </c>
      <c r="DH99" s="24">
        <f t="shared" si="119"/>
        <v>0</v>
      </c>
      <c r="DI99" s="24">
        <f t="shared" si="120"/>
        <v>0</v>
      </c>
      <c r="DJ99" s="26">
        <f t="shared" si="140"/>
        <v>0</v>
      </c>
      <c r="DK99" s="26">
        <f t="shared" si="141"/>
        <v>0</v>
      </c>
      <c r="DP99" s="27"/>
      <c r="DQ99" s="27"/>
      <c r="DR99" s="27">
        <f t="shared" si="121"/>
        <v>0</v>
      </c>
      <c r="DS99" s="27">
        <f t="shared" si="122"/>
        <v>0</v>
      </c>
      <c r="DT99" s="27">
        <f t="shared" si="123"/>
        <v>0</v>
      </c>
      <c r="DU99" s="27">
        <f t="shared" si="124"/>
        <v>0</v>
      </c>
      <c r="DV99" s="27">
        <f t="shared" si="135"/>
        <v>0</v>
      </c>
      <c r="DW99" s="27">
        <f t="shared" si="136"/>
        <v>0</v>
      </c>
      <c r="DX99" s="27">
        <f t="shared" si="125"/>
        <v>0</v>
      </c>
      <c r="DY99" s="27">
        <f t="shared" si="126"/>
        <v>0</v>
      </c>
      <c r="DZ99" s="27">
        <f t="shared" si="127"/>
        <v>0</v>
      </c>
      <c r="EA99" s="27">
        <f t="shared" si="128"/>
        <v>0</v>
      </c>
      <c r="EB99" s="27">
        <f t="shared" si="137"/>
        <v>0</v>
      </c>
      <c r="EC99" s="27">
        <f t="shared" si="138"/>
        <v>0</v>
      </c>
    </row>
    <row r="100" spans="3:133" x14ac:dyDescent="0.35">
      <c r="C100" s="31">
        <f t="shared" si="91"/>
        <v>96</v>
      </c>
      <c r="D100" s="32">
        <v>97531.44</v>
      </c>
      <c r="E100" s="32">
        <v>104112.28</v>
      </c>
      <c r="F100" s="72"/>
      <c r="G100" s="31">
        <f t="shared" si="92"/>
        <v>96</v>
      </c>
      <c r="H100" s="73">
        <v>174163.29</v>
      </c>
      <c r="I100" s="73">
        <v>185914.79</v>
      </c>
      <c r="BQ100">
        <v>94</v>
      </c>
      <c r="BR100" s="26" t="e">
        <f t="shared" si="129"/>
        <v>#N/A</v>
      </c>
      <c r="BS100" s="26" t="e">
        <f t="shared" si="130"/>
        <v>#N/A</v>
      </c>
      <c r="BU100">
        <v>94</v>
      </c>
      <c r="BV100" s="26" t="e">
        <f t="shared" si="93"/>
        <v>#N/A</v>
      </c>
      <c r="BW100" s="26" t="e">
        <f t="shared" si="94"/>
        <v>#N/A</v>
      </c>
      <c r="BY100">
        <v>94</v>
      </c>
      <c r="BZ100" s="26" t="e">
        <f t="shared" si="131"/>
        <v>#N/A</v>
      </c>
      <c r="CA100" s="26" t="e">
        <f t="shared" si="132"/>
        <v>#N/A</v>
      </c>
      <c r="CC100">
        <v>94</v>
      </c>
      <c r="CD100" s="26" t="e">
        <f t="shared" si="133"/>
        <v>#N/A</v>
      </c>
      <c r="CE100" s="26" t="e">
        <f t="shared" si="134"/>
        <v>#N/A</v>
      </c>
      <c r="CG100">
        <v>94</v>
      </c>
      <c r="CH100" s="24" t="e">
        <f t="shared" si="95"/>
        <v>#N/A</v>
      </c>
      <c r="CI100" s="24" t="e">
        <f t="shared" si="96"/>
        <v>#N/A</v>
      </c>
      <c r="CJ100" s="27">
        <f t="shared" si="97"/>
        <v>0</v>
      </c>
      <c r="CK100" s="27">
        <f t="shared" si="98"/>
        <v>0</v>
      </c>
      <c r="CL100" s="26">
        <f t="shared" si="99"/>
        <v>0</v>
      </c>
      <c r="CM100" s="26">
        <f t="shared" si="100"/>
        <v>0</v>
      </c>
      <c r="CN100" s="27">
        <f t="shared" si="101"/>
        <v>0</v>
      </c>
      <c r="CO100" s="27">
        <f t="shared" si="102"/>
        <v>0</v>
      </c>
      <c r="CP100" s="27">
        <f t="shared" si="103"/>
        <v>0</v>
      </c>
      <c r="CQ100" s="27">
        <f t="shared" si="104"/>
        <v>0</v>
      </c>
      <c r="CR100" s="24">
        <f t="shared" si="105"/>
        <v>0</v>
      </c>
      <c r="CS100" s="24">
        <f t="shared" si="106"/>
        <v>0</v>
      </c>
      <c r="CT100">
        <v>0</v>
      </c>
      <c r="CU100" s="24">
        <f t="shared" si="139"/>
        <v>0</v>
      </c>
      <c r="CV100" s="27">
        <f t="shared" si="107"/>
        <v>0</v>
      </c>
      <c r="CW100" s="27">
        <f t="shared" si="108"/>
        <v>0</v>
      </c>
      <c r="CX100" s="27">
        <f t="shared" si="109"/>
        <v>0</v>
      </c>
      <c r="CY100" s="27">
        <f t="shared" si="110"/>
        <v>0</v>
      </c>
      <c r="CZ100" s="24">
        <f t="shared" si="111"/>
        <v>0</v>
      </c>
      <c r="DA100" s="24">
        <f t="shared" si="112"/>
        <v>0</v>
      </c>
      <c r="DB100" s="27">
        <f t="shared" si="113"/>
        <v>0</v>
      </c>
      <c r="DC100" s="27">
        <f t="shared" si="114"/>
        <v>0</v>
      </c>
      <c r="DD100" s="27">
        <f t="shared" si="115"/>
        <v>0</v>
      </c>
      <c r="DE100" s="27">
        <f t="shared" si="116"/>
        <v>0</v>
      </c>
      <c r="DF100" s="24">
        <f t="shared" si="117"/>
        <v>0</v>
      </c>
      <c r="DG100" s="24">
        <f t="shared" si="118"/>
        <v>0</v>
      </c>
      <c r="DH100" s="24">
        <f t="shared" si="119"/>
        <v>0</v>
      </c>
      <c r="DI100" s="24">
        <f t="shared" si="120"/>
        <v>0</v>
      </c>
      <c r="DJ100" s="26">
        <f t="shared" si="140"/>
        <v>0</v>
      </c>
      <c r="DK100" s="26">
        <f t="shared" si="141"/>
        <v>0</v>
      </c>
      <c r="DP100" s="27"/>
      <c r="DQ100" s="27"/>
      <c r="DR100" s="27">
        <f t="shared" si="121"/>
        <v>0</v>
      </c>
      <c r="DS100" s="27">
        <f t="shared" si="122"/>
        <v>0</v>
      </c>
      <c r="DT100" s="27">
        <f t="shared" si="123"/>
        <v>0</v>
      </c>
      <c r="DU100" s="27">
        <f t="shared" si="124"/>
        <v>0</v>
      </c>
      <c r="DV100" s="27">
        <f t="shared" si="135"/>
        <v>0</v>
      </c>
      <c r="DW100" s="27">
        <f t="shared" si="136"/>
        <v>0</v>
      </c>
      <c r="DX100" s="27">
        <f t="shared" si="125"/>
        <v>0</v>
      </c>
      <c r="DY100" s="27">
        <f t="shared" si="126"/>
        <v>0</v>
      </c>
      <c r="DZ100" s="27">
        <f t="shared" si="127"/>
        <v>0</v>
      </c>
      <c r="EA100" s="27">
        <f t="shared" si="128"/>
        <v>0</v>
      </c>
      <c r="EB100" s="27">
        <f t="shared" si="137"/>
        <v>0</v>
      </c>
      <c r="EC100" s="27">
        <f t="shared" si="138"/>
        <v>0</v>
      </c>
    </row>
    <row r="101" spans="3:133" x14ac:dyDescent="0.35">
      <c r="C101" s="31">
        <f t="shared" si="91"/>
        <v>97</v>
      </c>
      <c r="D101" s="32">
        <v>98313.4</v>
      </c>
      <c r="E101" s="32">
        <v>104947</v>
      </c>
      <c r="F101" s="72"/>
      <c r="G101" s="31">
        <f t="shared" si="92"/>
        <v>97</v>
      </c>
      <c r="H101" s="73">
        <v>175559.64</v>
      </c>
      <c r="I101" s="73">
        <v>187405.36</v>
      </c>
      <c r="BQ101">
        <v>95</v>
      </c>
      <c r="BR101" s="26" t="e">
        <f t="shared" si="129"/>
        <v>#N/A</v>
      </c>
      <c r="BS101" s="26" t="e">
        <f t="shared" si="130"/>
        <v>#N/A</v>
      </c>
      <c r="BU101">
        <v>95</v>
      </c>
      <c r="BV101" s="26" t="e">
        <f t="shared" si="93"/>
        <v>#N/A</v>
      </c>
      <c r="BW101" s="26" t="e">
        <f t="shared" si="94"/>
        <v>#N/A</v>
      </c>
      <c r="BY101">
        <v>95</v>
      </c>
      <c r="BZ101" s="26" t="e">
        <f t="shared" si="131"/>
        <v>#N/A</v>
      </c>
      <c r="CA101" s="26" t="e">
        <f t="shared" si="132"/>
        <v>#N/A</v>
      </c>
      <c r="CC101">
        <v>95</v>
      </c>
      <c r="CD101" s="26" t="e">
        <f t="shared" si="133"/>
        <v>#N/A</v>
      </c>
      <c r="CE101" s="26" t="e">
        <f t="shared" si="134"/>
        <v>#N/A</v>
      </c>
      <c r="CG101">
        <v>95</v>
      </c>
      <c r="CH101" s="24" t="e">
        <f t="shared" si="95"/>
        <v>#N/A</v>
      </c>
      <c r="CI101" s="24" t="e">
        <f t="shared" si="96"/>
        <v>#N/A</v>
      </c>
      <c r="CJ101" s="27">
        <f t="shared" si="97"/>
        <v>0</v>
      </c>
      <c r="CK101" s="27">
        <f t="shared" si="98"/>
        <v>0</v>
      </c>
      <c r="CL101" s="26">
        <f t="shared" si="99"/>
        <v>0</v>
      </c>
      <c r="CM101" s="26">
        <f t="shared" si="100"/>
        <v>0</v>
      </c>
      <c r="CN101" s="27">
        <f t="shared" si="101"/>
        <v>0</v>
      </c>
      <c r="CO101" s="27">
        <f t="shared" si="102"/>
        <v>0</v>
      </c>
      <c r="CP101" s="27">
        <f t="shared" si="103"/>
        <v>0</v>
      </c>
      <c r="CQ101" s="27">
        <f t="shared" si="104"/>
        <v>0</v>
      </c>
      <c r="CR101" s="24">
        <f t="shared" si="105"/>
        <v>0</v>
      </c>
      <c r="CS101" s="24">
        <f t="shared" si="106"/>
        <v>0</v>
      </c>
      <c r="CT101">
        <v>0</v>
      </c>
      <c r="CU101" s="24">
        <f t="shared" si="139"/>
        <v>0</v>
      </c>
      <c r="CV101" s="27">
        <f t="shared" si="107"/>
        <v>0</v>
      </c>
      <c r="CW101" s="27">
        <f t="shared" si="108"/>
        <v>0</v>
      </c>
      <c r="CX101" s="27">
        <f t="shared" si="109"/>
        <v>0</v>
      </c>
      <c r="CY101" s="27">
        <f t="shared" si="110"/>
        <v>0</v>
      </c>
      <c r="CZ101" s="24">
        <f t="shared" si="111"/>
        <v>0</v>
      </c>
      <c r="DA101" s="24">
        <f t="shared" si="112"/>
        <v>0</v>
      </c>
      <c r="DB101" s="27">
        <f t="shared" si="113"/>
        <v>0</v>
      </c>
      <c r="DC101" s="27">
        <f t="shared" si="114"/>
        <v>0</v>
      </c>
      <c r="DD101" s="27">
        <f t="shared" si="115"/>
        <v>0</v>
      </c>
      <c r="DE101" s="27">
        <f t="shared" si="116"/>
        <v>0</v>
      </c>
      <c r="DF101" s="24">
        <f t="shared" si="117"/>
        <v>0</v>
      </c>
      <c r="DG101" s="24">
        <f t="shared" si="118"/>
        <v>0</v>
      </c>
      <c r="DH101" s="24">
        <f t="shared" si="119"/>
        <v>0</v>
      </c>
      <c r="DI101" s="24">
        <f t="shared" si="120"/>
        <v>0</v>
      </c>
      <c r="DJ101" s="26">
        <f t="shared" si="140"/>
        <v>0</v>
      </c>
      <c r="DK101" s="26">
        <f t="shared" si="141"/>
        <v>0</v>
      </c>
      <c r="DP101" s="27"/>
      <c r="DQ101" s="27"/>
      <c r="DR101" s="27">
        <f t="shared" si="121"/>
        <v>0</v>
      </c>
      <c r="DS101" s="27">
        <f t="shared" si="122"/>
        <v>0</v>
      </c>
      <c r="DT101" s="27">
        <f t="shared" si="123"/>
        <v>0</v>
      </c>
      <c r="DU101" s="27">
        <f t="shared" si="124"/>
        <v>0</v>
      </c>
      <c r="DV101" s="27">
        <f t="shared" si="135"/>
        <v>0</v>
      </c>
      <c r="DW101" s="27">
        <f t="shared" si="136"/>
        <v>0</v>
      </c>
      <c r="DX101" s="27">
        <f t="shared" si="125"/>
        <v>0</v>
      </c>
      <c r="DY101" s="27">
        <f t="shared" si="126"/>
        <v>0</v>
      </c>
      <c r="DZ101" s="27">
        <f t="shared" si="127"/>
        <v>0</v>
      </c>
      <c r="EA101" s="27">
        <f t="shared" si="128"/>
        <v>0</v>
      </c>
      <c r="EB101" s="27">
        <f t="shared" si="137"/>
        <v>0</v>
      </c>
      <c r="EC101" s="27">
        <f t="shared" si="138"/>
        <v>0</v>
      </c>
    </row>
    <row r="102" spans="3:133" x14ac:dyDescent="0.35">
      <c r="C102" s="31">
        <f t="shared" si="91"/>
        <v>98</v>
      </c>
      <c r="D102" s="32">
        <v>99101.62</v>
      </c>
      <c r="E102" s="32">
        <v>105788.41</v>
      </c>
      <c r="F102" s="72"/>
      <c r="G102" s="31">
        <f t="shared" si="92"/>
        <v>98</v>
      </c>
      <c r="H102" s="73">
        <v>176967.18</v>
      </c>
      <c r="I102" s="73">
        <v>188907.88</v>
      </c>
      <c r="BQ102">
        <v>96</v>
      </c>
      <c r="BR102" s="26" t="e">
        <f t="shared" si="129"/>
        <v>#N/A</v>
      </c>
      <c r="BS102" s="26" t="e">
        <f t="shared" si="130"/>
        <v>#N/A</v>
      </c>
      <c r="BU102">
        <v>96</v>
      </c>
      <c r="BV102" s="26" t="e">
        <f t="shared" si="93"/>
        <v>#N/A</v>
      </c>
      <c r="BW102" s="26" t="e">
        <f t="shared" si="94"/>
        <v>#N/A</v>
      </c>
      <c r="BY102">
        <v>96</v>
      </c>
      <c r="BZ102" s="26" t="e">
        <f t="shared" si="131"/>
        <v>#N/A</v>
      </c>
      <c r="CA102" s="26" t="e">
        <f t="shared" si="132"/>
        <v>#N/A</v>
      </c>
      <c r="CC102">
        <v>96</v>
      </c>
      <c r="CD102" s="26" t="e">
        <f t="shared" si="133"/>
        <v>#N/A</v>
      </c>
      <c r="CE102" s="26" t="e">
        <f t="shared" si="134"/>
        <v>#N/A</v>
      </c>
      <c r="CG102">
        <v>96</v>
      </c>
      <c r="CH102" s="24" t="e">
        <f t="shared" ref="CH102:CH106" si="142">ROUND((H100*$BN$4*$BN$5*$BN$6*$BN$7*$BN$8*$BN$9),4)</f>
        <v>#N/A</v>
      </c>
      <c r="CI102" s="24" t="e">
        <f t="shared" ref="CI102:CI106" si="143">ROUND((I100*$BN$4*$BN$5*$BN$6*$BN$7*$BN$8*$BN$9),4)</f>
        <v>#N/A</v>
      </c>
      <c r="CJ102" s="27">
        <f t="shared" si="97"/>
        <v>0</v>
      </c>
      <c r="CK102" s="27">
        <f t="shared" si="98"/>
        <v>0</v>
      </c>
      <c r="CL102" s="26">
        <f t="shared" ref="CL102:CL106" si="144">ROUND(IF($CM$1=1,((D100*$BN$4*$BN$5*$BN$7*$BN$8*$BN$9)/(1-$L$7))*$AJ$3,0),4)</f>
        <v>0</v>
      </c>
      <c r="CM102" s="26">
        <f t="shared" ref="CM102:CM106" si="145">ROUND(IF($CM$1=1,((E100*$BN$4*$BN$5*$BN$7*$BN$8*$BN$9)/(1-$L$7))*$AJ$3,0),4)</f>
        <v>0</v>
      </c>
      <c r="CN102" s="27">
        <f t="shared" ref="CN102:CN106" si="146">ROUND(IF($CO$1=1,((D100*$BN$4*$BN$5*$BN$6*$BN$8*$BN$9)/(1-$L$7))*$AJ$11,0),4)</f>
        <v>0</v>
      </c>
      <c r="CO102" s="27">
        <f t="shared" ref="CO102:CO106" si="147">ROUND(IF($CO$1=1,((E100*$BN$4*$BN$5*$BN$6*$BN$8*$BN$9)/(1-$L$7))*$AJ$11,0),4)</f>
        <v>0</v>
      </c>
      <c r="CP102" s="27">
        <f t="shared" si="103"/>
        <v>0</v>
      </c>
      <c r="CQ102" s="27">
        <f t="shared" si="104"/>
        <v>0</v>
      </c>
      <c r="CR102" s="24">
        <f t="shared" ref="CR102:CR106" si="148">ROUND(IF($CS$1=1,((D100*$CS$2*$BN$4*$BN$5)/(1-$L$7)),0),4)</f>
        <v>0</v>
      </c>
      <c r="CS102" s="24">
        <f t="shared" ref="CS102:CS106" si="149">ROUND(IF($CS$1=1,((E100*$CS$2*$BN$4*$BN$5)/(1-$L$7)),0),4)</f>
        <v>0</v>
      </c>
      <c r="CT102">
        <v>0</v>
      </c>
      <c r="CU102" s="24">
        <f t="shared" si="139"/>
        <v>0</v>
      </c>
      <c r="CV102" s="27">
        <f t="shared" ref="CV102:CV106" si="150">ROUND(IF($CW$1=1,(D100*$BN$5*$BN$6*$BN$7*$BN$8*$BN$9*$CW$2)/(1-$L$7),0),4)</f>
        <v>0</v>
      </c>
      <c r="CW102" s="27">
        <f t="shared" ref="CW102:CW106" si="151">ROUND(IF($CW$1=1,(E100*$BN$5*$BN$6*$BN$7*$BN$8*$BN$9*$CW$2)/(1-$L$7),0),4)</f>
        <v>0</v>
      </c>
      <c r="CX102" s="27">
        <f t="shared" ref="CX102:CX106" si="152">ROUND(IF($CY$1=1,(D100*$BN$4*$BN$5*$BI$3)/(1-$L$7),0),4)</f>
        <v>0</v>
      </c>
      <c r="CY102" s="27">
        <f t="shared" ref="CY102:CY106" si="153">ROUND(IF($CY$1=1,(E100*$BN$4*$BN$5*$BI$3)/(1-$L$7),0),4)</f>
        <v>0</v>
      </c>
      <c r="CZ102" s="24">
        <f t="shared" ref="CZ102:CZ106" si="154">ROUND(IF($DA$1=1,(D100*$AW$3)/(1-$L$7),0),4)</f>
        <v>0</v>
      </c>
      <c r="DA102" s="24">
        <f t="shared" ref="DA102:DA106" si="155">ROUND(IF($DA$1=1,(E100*$AW$3)/(1-$L$7),0),4)</f>
        <v>0</v>
      </c>
      <c r="DB102" s="27">
        <f t="shared" si="113"/>
        <v>0</v>
      </c>
      <c r="DC102" s="27">
        <f t="shared" si="114"/>
        <v>0</v>
      </c>
      <c r="DD102" s="27">
        <f t="shared" ref="DD102:DD106" si="156">ROUND(IF($DE$1=1,(D100*$BN$4*$BN$5*$BN$7*$BN$8*$BN$9*$DE$2)/(1-$L$7),0),4)</f>
        <v>0</v>
      </c>
      <c r="DE102" s="27">
        <f t="shared" ref="DE102:DE106" si="157">ROUND(IF($DE$1=1,(E100*$BN$4*$BN$5*$BN$7*$BN$8*$BN$9*$DE$2)/(1-$L$7),0),4)</f>
        <v>0</v>
      </c>
      <c r="DF102" s="24">
        <f t="shared" ref="DF102:DF106" si="158">ROUND(IF($DG$1=1,((D100*$BN$4*$BN$5*$BN$6*$BN$9)/(1-$L$7))*$BC$7,0),4)</f>
        <v>0</v>
      </c>
      <c r="DG102" s="24">
        <f t="shared" ref="DG102:DG106" si="159">ROUND(IF($DG$1=1,((E100*$BN$4*$BN$5*$BN$6*$BN$9)/(1-$L$7))*$BC$7,0),4)</f>
        <v>0</v>
      </c>
      <c r="DH102" s="24">
        <f t="shared" ref="DH102:DH106" si="160">ROUND(IF($DI$1=1,(D100*$BC$3)/(1-$L$7),0),4)</f>
        <v>0</v>
      </c>
      <c r="DI102" s="24">
        <f t="shared" ref="DI102:DI106" si="161">ROUND(IF($DI$1=1,(E100*$BC$3)/(1-$L$7),0),4)</f>
        <v>0</v>
      </c>
      <c r="DJ102" s="26">
        <f t="shared" si="140"/>
        <v>0</v>
      </c>
      <c r="DK102" s="26">
        <f t="shared" si="141"/>
        <v>0</v>
      </c>
      <c r="DP102" s="27"/>
      <c r="DQ102" s="27"/>
      <c r="DR102" s="27">
        <f t="shared" si="121"/>
        <v>0</v>
      </c>
      <c r="DS102" s="27">
        <f t="shared" si="122"/>
        <v>0</v>
      </c>
      <c r="DT102" s="27">
        <f t="shared" si="123"/>
        <v>0</v>
      </c>
      <c r="DU102" s="27">
        <f t="shared" si="124"/>
        <v>0</v>
      </c>
      <c r="DV102" s="27">
        <f t="shared" si="135"/>
        <v>0</v>
      </c>
      <c r="DW102" s="27">
        <f t="shared" si="136"/>
        <v>0</v>
      </c>
      <c r="DX102" s="27">
        <f t="shared" ref="DX102:DX106" si="162">ROUND(IF($DY$1=1,(D100*$BN$5*$BN$7*$BN$8*$BN$9*$DY$2)/(1-$L$7),0),4)</f>
        <v>0</v>
      </c>
      <c r="DY102" s="27">
        <f t="shared" ref="DY102:DY106" si="163">ROUND(IF($DY$1=1,(E100*$BN$5*$BN$7*$BN$8*$BN$9*$DY$2)/(1-$L$7),0),4)</f>
        <v>0</v>
      </c>
      <c r="DZ102" s="27">
        <f t="shared" si="127"/>
        <v>0</v>
      </c>
      <c r="EA102" s="27">
        <f t="shared" si="128"/>
        <v>0</v>
      </c>
      <c r="EB102" s="27">
        <f t="shared" si="137"/>
        <v>0</v>
      </c>
      <c r="EC102" s="27">
        <f t="shared" si="138"/>
        <v>0</v>
      </c>
    </row>
    <row r="103" spans="3:133" x14ac:dyDescent="0.35">
      <c r="C103" s="31">
        <f t="shared" si="91"/>
        <v>99</v>
      </c>
      <c r="D103" s="32">
        <v>99896.17</v>
      </c>
      <c r="E103" s="32">
        <v>106636.57</v>
      </c>
      <c r="F103" s="72"/>
      <c r="G103" s="31">
        <f t="shared" si="92"/>
        <v>99</v>
      </c>
      <c r="H103" s="73">
        <v>178386.02</v>
      </c>
      <c r="I103" s="73">
        <v>190422.45</v>
      </c>
      <c r="BQ103">
        <v>97</v>
      </c>
      <c r="BR103" s="26" t="e">
        <f t="shared" si="129"/>
        <v>#N/A</v>
      </c>
      <c r="BS103" s="26" t="e">
        <f t="shared" si="130"/>
        <v>#N/A</v>
      </c>
      <c r="BU103">
        <v>97</v>
      </c>
      <c r="BV103" s="26" t="e">
        <f t="shared" si="93"/>
        <v>#N/A</v>
      </c>
      <c r="BW103" s="26" t="e">
        <f t="shared" si="94"/>
        <v>#N/A</v>
      </c>
      <c r="BY103">
        <v>97</v>
      </c>
      <c r="BZ103" s="26" t="e">
        <f t="shared" si="131"/>
        <v>#N/A</v>
      </c>
      <c r="CA103" s="26" t="e">
        <f t="shared" si="132"/>
        <v>#N/A</v>
      </c>
      <c r="CC103">
        <v>97</v>
      </c>
      <c r="CD103" s="26" t="e">
        <f t="shared" si="133"/>
        <v>#N/A</v>
      </c>
      <c r="CE103" s="26" t="e">
        <f t="shared" si="134"/>
        <v>#N/A</v>
      </c>
      <c r="CG103">
        <v>97</v>
      </c>
      <c r="CH103" s="24" t="e">
        <f t="shared" si="142"/>
        <v>#N/A</v>
      </c>
      <c r="CI103" s="24" t="e">
        <f t="shared" si="143"/>
        <v>#N/A</v>
      </c>
      <c r="CJ103" s="27">
        <f t="shared" si="97"/>
        <v>0</v>
      </c>
      <c r="CK103" s="27">
        <f t="shared" si="98"/>
        <v>0</v>
      </c>
      <c r="CL103" s="26">
        <f t="shared" si="144"/>
        <v>0</v>
      </c>
      <c r="CM103" s="26">
        <f t="shared" si="145"/>
        <v>0</v>
      </c>
      <c r="CN103" s="27">
        <f t="shared" si="146"/>
        <v>0</v>
      </c>
      <c r="CO103" s="27">
        <f t="shared" si="147"/>
        <v>0</v>
      </c>
      <c r="CP103" s="27">
        <f t="shared" si="103"/>
        <v>0</v>
      </c>
      <c r="CQ103" s="27">
        <f t="shared" si="104"/>
        <v>0</v>
      </c>
      <c r="CR103" s="24">
        <f t="shared" si="148"/>
        <v>0</v>
      </c>
      <c r="CS103" s="24">
        <f t="shared" si="149"/>
        <v>0</v>
      </c>
      <c r="CT103">
        <v>0</v>
      </c>
      <c r="CU103" s="24">
        <f t="shared" si="139"/>
        <v>0</v>
      </c>
      <c r="CV103" s="27">
        <f t="shared" si="150"/>
        <v>0</v>
      </c>
      <c r="CW103" s="27">
        <f t="shared" si="151"/>
        <v>0</v>
      </c>
      <c r="CX103" s="27">
        <f t="shared" si="152"/>
        <v>0</v>
      </c>
      <c r="CY103" s="27">
        <f t="shared" si="153"/>
        <v>0</v>
      </c>
      <c r="CZ103" s="24">
        <f t="shared" si="154"/>
        <v>0</v>
      </c>
      <c r="DA103" s="24">
        <f t="shared" si="155"/>
        <v>0</v>
      </c>
      <c r="DB103" s="27">
        <f t="shared" si="113"/>
        <v>0</v>
      </c>
      <c r="DC103" s="27">
        <f t="shared" si="114"/>
        <v>0</v>
      </c>
      <c r="DD103" s="27">
        <f t="shared" si="156"/>
        <v>0</v>
      </c>
      <c r="DE103" s="27">
        <f t="shared" si="157"/>
        <v>0</v>
      </c>
      <c r="DF103" s="24">
        <f t="shared" si="158"/>
        <v>0</v>
      </c>
      <c r="DG103" s="24">
        <f t="shared" si="159"/>
        <v>0</v>
      </c>
      <c r="DH103" s="24">
        <f t="shared" si="160"/>
        <v>0</v>
      </c>
      <c r="DI103" s="24">
        <f t="shared" si="161"/>
        <v>0</v>
      </c>
      <c r="DJ103" s="26">
        <f t="shared" si="140"/>
        <v>0</v>
      </c>
      <c r="DK103" s="26">
        <f t="shared" si="141"/>
        <v>0</v>
      </c>
      <c r="DP103" s="27"/>
      <c r="DQ103" s="27"/>
      <c r="DR103" s="27">
        <f t="shared" si="121"/>
        <v>0</v>
      </c>
      <c r="DS103" s="27">
        <f t="shared" si="122"/>
        <v>0</v>
      </c>
      <c r="DT103" s="27">
        <f t="shared" si="123"/>
        <v>0</v>
      </c>
      <c r="DU103" s="27">
        <f t="shared" si="124"/>
        <v>0</v>
      </c>
      <c r="DV103" s="27">
        <f t="shared" si="135"/>
        <v>0</v>
      </c>
      <c r="DW103" s="27">
        <f t="shared" si="136"/>
        <v>0</v>
      </c>
      <c r="DX103" s="27">
        <f t="shared" si="162"/>
        <v>0</v>
      </c>
      <c r="DY103" s="27">
        <f t="shared" si="163"/>
        <v>0</v>
      </c>
      <c r="DZ103" s="27">
        <f t="shared" si="127"/>
        <v>0</v>
      </c>
      <c r="EA103" s="27">
        <f t="shared" si="128"/>
        <v>0</v>
      </c>
      <c r="EB103" s="27">
        <f t="shared" si="137"/>
        <v>0</v>
      </c>
      <c r="EC103" s="27">
        <f t="shared" si="138"/>
        <v>0</v>
      </c>
    </row>
    <row r="104" spans="3:133" x14ac:dyDescent="0.35">
      <c r="C104" s="31">
        <f t="shared" si="91"/>
        <v>100</v>
      </c>
      <c r="D104" s="32">
        <v>100697.08</v>
      </c>
      <c r="E104" s="32">
        <v>107491.52</v>
      </c>
      <c r="F104" s="72"/>
      <c r="G104" s="31">
        <f t="shared" si="92"/>
        <v>100</v>
      </c>
      <c r="H104" s="73">
        <v>179816.21</v>
      </c>
      <c r="I104" s="73">
        <v>191949.14</v>
      </c>
      <c r="BQ104">
        <v>98</v>
      </c>
      <c r="BR104" s="26" t="e">
        <f t="shared" si="129"/>
        <v>#N/A</v>
      </c>
      <c r="BS104" s="26" t="e">
        <f t="shared" si="130"/>
        <v>#N/A</v>
      </c>
      <c r="BU104">
        <v>98</v>
      </c>
      <c r="BV104" s="26" t="e">
        <f t="shared" si="93"/>
        <v>#N/A</v>
      </c>
      <c r="BW104" s="26" t="e">
        <f t="shared" si="94"/>
        <v>#N/A</v>
      </c>
      <c r="BY104">
        <v>98</v>
      </c>
      <c r="BZ104" s="26" t="e">
        <f t="shared" si="131"/>
        <v>#N/A</v>
      </c>
      <c r="CA104" s="26" t="e">
        <f t="shared" si="132"/>
        <v>#N/A</v>
      </c>
      <c r="CC104">
        <v>98</v>
      </c>
      <c r="CD104" s="26" t="e">
        <f t="shared" si="133"/>
        <v>#N/A</v>
      </c>
      <c r="CE104" s="26" t="e">
        <f t="shared" si="134"/>
        <v>#N/A</v>
      </c>
      <c r="CG104">
        <v>98</v>
      </c>
      <c r="CH104" s="24" t="e">
        <f t="shared" si="142"/>
        <v>#N/A</v>
      </c>
      <c r="CI104" s="24" t="e">
        <f t="shared" si="143"/>
        <v>#N/A</v>
      </c>
      <c r="CJ104" s="27">
        <f t="shared" si="97"/>
        <v>0</v>
      </c>
      <c r="CK104" s="27">
        <f t="shared" si="98"/>
        <v>0</v>
      </c>
      <c r="CL104" s="26">
        <f t="shared" si="144"/>
        <v>0</v>
      </c>
      <c r="CM104" s="26">
        <f t="shared" si="145"/>
        <v>0</v>
      </c>
      <c r="CN104" s="27">
        <f t="shared" si="146"/>
        <v>0</v>
      </c>
      <c r="CO104" s="27">
        <f t="shared" si="147"/>
        <v>0</v>
      </c>
      <c r="CP104" s="27">
        <f t="shared" si="103"/>
        <v>0</v>
      </c>
      <c r="CQ104" s="27">
        <f t="shared" si="104"/>
        <v>0</v>
      </c>
      <c r="CR104" s="24">
        <f t="shared" si="148"/>
        <v>0</v>
      </c>
      <c r="CS104" s="24">
        <f t="shared" si="149"/>
        <v>0</v>
      </c>
      <c r="CT104">
        <v>0</v>
      </c>
      <c r="CU104" s="24">
        <f t="shared" si="139"/>
        <v>0</v>
      </c>
      <c r="CV104" s="27">
        <f t="shared" si="150"/>
        <v>0</v>
      </c>
      <c r="CW104" s="27">
        <f t="shared" si="151"/>
        <v>0</v>
      </c>
      <c r="CX104" s="27">
        <f t="shared" si="152"/>
        <v>0</v>
      </c>
      <c r="CY104" s="27">
        <f t="shared" si="153"/>
        <v>0</v>
      </c>
      <c r="CZ104" s="24">
        <f t="shared" si="154"/>
        <v>0</v>
      </c>
      <c r="DA104" s="24">
        <f t="shared" si="155"/>
        <v>0</v>
      </c>
      <c r="DB104" s="27">
        <f t="shared" si="113"/>
        <v>0</v>
      </c>
      <c r="DC104" s="27">
        <f t="shared" si="114"/>
        <v>0</v>
      </c>
      <c r="DD104" s="27">
        <f t="shared" si="156"/>
        <v>0</v>
      </c>
      <c r="DE104" s="27">
        <f t="shared" si="157"/>
        <v>0</v>
      </c>
      <c r="DF104" s="24">
        <f t="shared" si="158"/>
        <v>0</v>
      </c>
      <c r="DG104" s="24">
        <f t="shared" si="159"/>
        <v>0</v>
      </c>
      <c r="DH104" s="24">
        <f t="shared" si="160"/>
        <v>0</v>
      </c>
      <c r="DI104" s="24">
        <f t="shared" si="161"/>
        <v>0</v>
      </c>
      <c r="DJ104" s="26">
        <f t="shared" si="140"/>
        <v>0</v>
      </c>
      <c r="DK104" s="26">
        <f t="shared" si="141"/>
        <v>0</v>
      </c>
      <c r="DP104" s="27"/>
      <c r="DQ104" s="27"/>
      <c r="DR104" s="27">
        <f t="shared" si="121"/>
        <v>0</v>
      </c>
      <c r="DS104" s="27">
        <f t="shared" si="122"/>
        <v>0</v>
      </c>
      <c r="DT104" s="27">
        <f t="shared" si="123"/>
        <v>0</v>
      </c>
      <c r="DU104" s="27">
        <f t="shared" si="124"/>
        <v>0</v>
      </c>
      <c r="DV104" s="27">
        <f t="shared" si="135"/>
        <v>0</v>
      </c>
      <c r="DW104" s="27">
        <f t="shared" si="136"/>
        <v>0</v>
      </c>
      <c r="DX104" s="27">
        <f t="shared" si="162"/>
        <v>0</v>
      </c>
      <c r="DY104" s="27">
        <f t="shared" si="163"/>
        <v>0</v>
      </c>
      <c r="DZ104" s="27">
        <f t="shared" si="127"/>
        <v>0</v>
      </c>
      <c r="EA104" s="27">
        <f t="shared" si="128"/>
        <v>0</v>
      </c>
      <c r="EB104" s="27">
        <f t="shared" si="137"/>
        <v>0</v>
      </c>
      <c r="EC104" s="27">
        <f t="shared" si="138"/>
        <v>0</v>
      </c>
    </row>
    <row r="105" spans="3:133" x14ac:dyDescent="0.35">
      <c r="BQ105">
        <v>99</v>
      </c>
      <c r="BR105" s="26" t="e">
        <f t="shared" si="129"/>
        <v>#N/A</v>
      </c>
      <c r="BS105" s="26" t="e">
        <f t="shared" si="130"/>
        <v>#N/A</v>
      </c>
      <c r="BU105">
        <v>99</v>
      </c>
      <c r="BV105" s="26" t="e">
        <f t="shared" si="93"/>
        <v>#N/A</v>
      </c>
      <c r="BW105" s="26" t="e">
        <f t="shared" si="94"/>
        <v>#N/A</v>
      </c>
      <c r="BY105">
        <v>99</v>
      </c>
      <c r="BZ105" s="26" t="e">
        <f t="shared" si="131"/>
        <v>#N/A</v>
      </c>
      <c r="CA105" s="26" t="e">
        <f t="shared" si="132"/>
        <v>#N/A</v>
      </c>
      <c r="CC105">
        <v>99</v>
      </c>
      <c r="CD105" s="26" t="e">
        <f t="shared" si="133"/>
        <v>#N/A</v>
      </c>
      <c r="CE105" s="26" t="e">
        <f t="shared" si="134"/>
        <v>#N/A</v>
      </c>
      <c r="CG105">
        <v>99</v>
      </c>
      <c r="CH105" s="24" t="e">
        <f t="shared" si="142"/>
        <v>#N/A</v>
      </c>
      <c r="CI105" s="24" t="e">
        <f t="shared" si="143"/>
        <v>#N/A</v>
      </c>
      <c r="CJ105" s="27">
        <f t="shared" si="97"/>
        <v>0</v>
      </c>
      <c r="CK105" s="27">
        <f t="shared" si="98"/>
        <v>0</v>
      </c>
      <c r="CL105" s="26">
        <f t="shared" si="144"/>
        <v>0</v>
      </c>
      <c r="CM105" s="26">
        <f t="shared" si="145"/>
        <v>0</v>
      </c>
      <c r="CN105" s="27">
        <f t="shared" si="146"/>
        <v>0</v>
      </c>
      <c r="CO105" s="27">
        <f t="shared" si="147"/>
        <v>0</v>
      </c>
      <c r="CP105" s="27">
        <f t="shared" si="103"/>
        <v>0</v>
      </c>
      <c r="CQ105" s="27">
        <f t="shared" si="104"/>
        <v>0</v>
      </c>
      <c r="CR105" s="24">
        <f t="shared" si="148"/>
        <v>0</v>
      </c>
      <c r="CS105" s="24">
        <f t="shared" si="149"/>
        <v>0</v>
      </c>
      <c r="CT105">
        <v>0</v>
      </c>
      <c r="CU105" s="24">
        <f t="shared" si="139"/>
        <v>0</v>
      </c>
      <c r="CV105" s="27">
        <f t="shared" si="150"/>
        <v>0</v>
      </c>
      <c r="CW105" s="27">
        <f t="shared" si="151"/>
        <v>0</v>
      </c>
      <c r="CX105" s="27">
        <f t="shared" si="152"/>
        <v>0</v>
      </c>
      <c r="CY105" s="27">
        <f t="shared" si="153"/>
        <v>0</v>
      </c>
      <c r="CZ105" s="24">
        <f t="shared" si="154"/>
        <v>0</v>
      </c>
      <c r="DA105" s="24">
        <f t="shared" si="155"/>
        <v>0</v>
      </c>
      <c r="DB105" s="27">
        <f t="shared" si="113"/>
        <v>0</v>
      </c>
      <c r="DC105" s="27">
        <f t="shared" si="114"/>
        <v>0</v>
      </c>
      <c r="DD105" s="27">
        <f t="shared" si="156"/>
        <v>0</v>
      </c>
      <c r="DE105" s="27">
        <f t="shared" si="157"/>
        <v>0</v>
      </c>
      <c r="DF105" s="24">
        <f t="shared" si="158"/>
        <v>0</v>
      </c>
      <c r="DG105" s="24">
        <f t="shared" si="159"/>
        <v>0</v>
      </c>
      <c r="DH105" s="24">
        <f t="shared" si="160"/>
        <v>0</v>
      </c>
      <c r="DI105" s="24">
        <f t="shared" si="161"/>
        <v>0</v>
      </c>
      <c r="DJ105" s="26">
        <f t="shared" si="140"/>
        <v>0</v>
      </c>
      <c r="DK105" s="26">
        <f t="shared" si="141"/>
        <v>0</v>
      </c>
      <c r="DP105" s="27"/>
      <c r="DQ105" s="27"/>
      <c r="DR105" s="27">
        <f t="shared" si="121"/>
        <v>0</v>
      </c>
      <c r="DS105" s="27">
        <f t="shared" si="122"/>
        <v>0</v>
      </c>
      <c r="DT105" s="27">
        <f t="shared" si="123"/>
        <v>0</v>
      </c>
      <c r="DU105" s="27">
        <f t="shared" si="124"/>
        <v>0</v>
      </c>
      <c r="DV105" s="27">
        <f t="shared" si="135"/>
        <v>0</v>
      </c>
      <c r="DW105" s="27">
        <f t="shared" si="136"/>
        <v>0</v>
      </c>
      <c r="DX105" s="27">
        <f t="shared" si="162"/>
        <v>0</v>
      </c>
      <c r="DY105" s="27">
        <f t="shared" si="163"/>
        <v>0</v>
      </c>
      <c r="DZ105" s="27">
        <f t="shared" si="127"/>
        <v>0</v>
      </c>
      <c r="EA105" s="27">
        <f t="shared" si="128"/>
        <v>0</v>
      </c>
      <c r="EB105" s="27">
        <f t="shared" si="137"/>
        <v>0</v>
      </c>
      <c r="EC105" s="27">
        <f t="shared" si="138"/>
        <v>0</v>
      </c>
    </row>
    <row r="106" spans="3:133" x14ac:dyDescent="0.35">
      <c r="BQ106">
        <v>100</v>
      </c>
      <c r="BR106" s="26" t="e">
        <f t="shared" si="129"/>
        <v>#N/A</v>
      </c>
      <c r="BS106" s="26" t="e">
        <f t="shared" si="130"/>
        <v>#N/A</v>
      </c>
      <c r="BU106">
        <v>100</v>
      </c>
      <c r="BV106" s="26" t="e">
        <f t="shared" si="93"/>
        <v>#N/A</v>
      </c>
      <c r="BW106" s="26" t="e">
        <f t="shared" si="94"/>
        <v>#N/A</v>
      </c>
      <c r="BY106">
        <v>100</v>
      </c>
      <c r="BZ106" s="26" t="e">
        <f t="shared" si="131"/>
        <v>#N/A</v>
      </c>
      <c r="CA106" s="26" t="e">
        <f t="shared" si="132"/>
        <v>#N/A</v>
      </c>
      <c r="CC106">
        <v>100</v>
      </c>
      <c r="CD106" s="26" t="e">
        <f t="shared" si="133"/>
        <v>#N/A</v>
      </c>
      <c r="CE106" s="26" t="e">
        <f t="shared" si="134"/>
        <v>#N/A</v>
      </c>
      <c r="CG106">
        <v>100</v>
      </c>
      <c r="CH106" s="24" t="e">
        <f t="shared" si="142"/>
        <v>#N/A</v>
      </c>
      <c r="CI106" s="24" t="e">
        <f t="shared" si="143"/>
        <v>#N/A</v>
      </c>
      <c r="CJ106" s="27">
        <f t="shared" si="97"/>
        <v>0</v>
      </c>
      <c r="CK106" s="27">
        <f t="shared" si="98"/>
        <v>0</v>
      </c>
      <c r="CL106" s="26">
        <f t="shared" si="144"/>
        <v>0</v>
      </c>
      <c r="CM106" s="26">
        <f t="shared" si="145"/>
        <v>0</v>
      </c>
      <c r="CN106" s="27">
        <f t="shared" si="146"/>
        <v>0</v>
      </c>
      <c r="CO106" s="27">
        <f t="shared" si="147"/>
        <v>0</v>
      </c>
      <c r="CP106" s="27">
        <f t="shared" si="103"/>
        <v>0</v>
      </c>
      <c r="CQ106" s="27">
        <f t="shared" si="104"/>
        <v>0</v>
      </c>
      <c r="CR106" s="24">
        <f t="shared" si="148"/>
        <v>0</v>
      </c>
      <c r="CS106" s="24">
        <f t="shared" si="149"/>
        <v>0</v>
      </c>
      <c r="CT106">
        <v>0</v>
      </c>
      <c r="CU106" s="24">
        <f t="shared" si="139"/>
        <v>0</v>
      </c>
      <c r="CV106" s="27">
        <f t="shared" si="150"/>
        <v>0</v>
      </c>
      <c r="CW106" s="27">
        <f t="shared" si="151"/>
        <v>0</v>
      </c>
      <c r="CX106" s="27">
        <f t="shared" si="152"/>
        <v>0</v>
      </c>
      <c r="CY106" s="27">
        <f t="shared" si="153"/>
        <v>0</v>
      </c>
      <c r="CZ106" s="24">
        <f t="shared" si="154"/>
        <v>0</v>
      </c>
      <c r="DA106" s="24">
        <f t="shared" si="155"/>
        <v>0</v>
      </c>
      <c r="DB106" s="27">
        <f t="shared" si="113"/>
        <v>0</v>
      </c>
      <c r="DC106" s="27">
        <f t="shared" si="114"/>
        <v>0</v>
      </c>
      <c r="DD106" s="27">
        <f t="shared" si="156"/>
        <v>0</v>
      </c>
      <c r="DE106" s="27">
        <f t="shared" si="157"/>
        <v>0</v>
      </c>
      <c r="DF106" s="24">
        <f t="shared" si="158"/>
        <v>0</v>
      </c>
      <c r="DG106" s="24">
        <f t="shared" si="159"/>
        <v>0</v>
      </c>
      <c r="DH106" s="24">
        <f t="shared" si="160"/>
        <v>0</v>
      </c>
      <c r="DI106" s="24">
        <f t="shared" si="161"/>
        <v>0</v>
      </c>
      <c r="DJ106" s="26">
        <f t="shared" si="140"/>
        <v>0</v>
      </c>
      <c r="DK106" s="26">
        <f t="shared" si="141"/>
        <v>0</v>
      </c>
      <c r="DP106" s="27"/>
      <c r="DQ106" s="27"/>
      <c r="DR106" s="27">
        <f t="shared" si="121"/>
        <v>0</v>
      </c>
      <c r="DS106" s="27">
        <f t="shared" si="122"/>
        <v>0</v>
      </c>
      <c r="DT106" s="27">
        <f t="shared" si="123"/>
        <v>0</v>
      </c>
      <c r="DU106" s="27">
        <f t="shared" si="124"/>
        <v>0</v>
      </c>
      <c r="DV106" s="27">
        <f t="shared" si="135"/>
        <v>0</v>
      </c>
      <c r="DW106" s="27">
        <f t="shared" si="136"/>
        <v>0</v>
      </c>
      <c r="DX106" s="27">
        <f t="shared" si="162"/>
        <v>0</v>
      </c>
      <c r="DY106" s="27">
        <f t="shared" si="163"/>
        <v>0</v>
      </c>
      <c r="DZ106" s="27">
        <f t="shared" si="127"/>
        <v>0</v>
      </c>
      <c r="EA106" s="27">
        <f t="shared" si="128"/>
        <v>0</v>
      </c>
      <c r="EB106" s="27">
        <f t="shared" si="137"/>
        <v>0</v>
      </c>
      <c r="EC106" s="27">
        <f t="shared" si="138"/>
        <v>0</v>
      </c>
    </row>
  </sheetData>
  <sortState ref="AY42:BA74">
    <sortCondition ref="AY42"/>
  </sortState>
  <mergeCells count="76">
    <mergeCell ref="AQ40:AS40"/>
    <mergeCell ref="AU28:AV28"/>
    <mergeCell ref="AU39:AV39"/>
    <mergeCell ref="DR3:DS3"/>
    <mergeCell ref="DR4:DS4"/>
    <mergeCell ref="CX3:CY3"/>
    <mergeCell ref="CJ3:CK3"/>
    <mergeCell ref="CL4:CM4"/>
    <mergeCell ref="CP4:CQ4"/>
    <mergeCell ref="CN4:CO4"/>
    <mergeCell ref="CT4:CU4"/>
    <mergeCell ref="CV4:CW4"/>
    <mergeCell ref="CZ4:DA4"/>
    <mergeCell ref="CZ3:DA3"/>
    <mergeCell ref="DB3:DC3"/>
    <mergeCell ref="A1:A80"/>
    <mergeCell ref="AH1:AH80"/>
    <mergeCell ref="BJ1:BJ80"/>
    <mergeCell ref="BL11:BM11"/>
    <mergeCell ref="CG3:CG5"/>
    <mergeCell ref="C2:E2"/>
    <mergeCell ref="K2:L2"/>
    <mergeCell ref="N2:O2"/>
    <mergeCell ref="Q2:R2"/>
    <mergeCell ref="AA19:AB19"/>
    <mergeCell ref="AD2:AF2"/>
    <mergeCell ref="T2:U2"/>
    <mergeCell ref="W2:Y2"/>
    <mergeCell ref="AA9:AB9"/>
    <mergeCell ref="AU13:AV13"/>
    <mergeCell ref="AY40:BA40"/>
    <mergeCell ref="G2:I2"/>
    <mergeCell ref="CJ4:CK4"/>
    <mergeCell ref="CH3:CI3"/>
    <mergeCell ref="CH4:CI4"/>
    <mergeCell ref="BR3:BS3"/>
    <mergeCell ref="BR4:BS4"/>
    <mergeCell ref="AA2:AB2"/>
    <mergeCell ref="AN2:AO2"/>
    <mergeCell ref="AQ2:AS2"/>
    <mergeCell ref="AY2:BA2"/>
    <mergeCell ref="BE2:BG2"/>
    <mergeCell ref="BV4:BW4"/>
    <mergeCell ref="BZ3:CA3"/>
    <mergeCell ref="BZ4:CA4"/>
    <mergeCell ref="CD3:CE3"/>
    <mergeCell ref="CD4:CE4"/>
    <mergeCell ref="T11:U11"/>
    <mergeCell ref="DV4:DW4"/>
    <mergeCell ref="DV3:DW3"/>
    <mergeCell ref="EB3:EC3"/>
    <mergeCell ref="EB4:EC4"/>
    <mergeCell ref="DJ4:DK4"/>
    <mergeCell ref="DZ3:EA3"/>
    <mergeCell ref="DZ4:EA4"/>
    <mergeCell ref="DT4:DU4"/>
    <mergeCell ref="DX3:DY3"/>
    <mergeCell ref="DX4:DY4"/>
    <mergeCell ref="BV3:BW3"/>
    <mergeCell ref="DF3:DG3"/>
    <mergeCell ref="DJ3:DK3"/>
    <mergeCell ref="DD3:DE3"/>
    <mergeCell ref="CR4:CS4"/>
    <mergeCell ref="AJ13:AK13"/>
    <mergeCell ref="DH3:DI3"/>
    <mergeCell ref="CR3:CS3"/>
    <mergeCell ref="CL3:CM3"/>
    <mergeCell ref="CT3:CU3"/>
    <mergeCell ref="CV3:CW3"/>
    <mergeCell ref="CP3:CQ3"/>
    <mergeCell ref="CN3:CO3"/>
    <mergeCell ref="CX4:CY4"/>
    <mergeCell ref="DB4:DC4"/>
    <mergeCell ref="DD4:DE4"/>
    <mergeCell ref="DH4:DI4"/>
    <mergeCell ref="DF4:DG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36"/>
  <sheetViews>
    <sheetView workbookViewId="0">
      <selection activeCell="L7" sqref="L7"/>
    </sheetView>
  </sheetViews>
  <sheetFormatPr baseColWidth="10" defaultRowHeight="14.5" x14ac:dyDescent="0.35"/>
  <cols>
    <col min="1" max="1" width="28.7265625" customWidth="1"/>
    <col min="4" max="4" width="27.54296875" customWidth="1"/>
    <col min="5" max="5" width="23.453125" customWidth="1"/>
    <col min="6" max="6" width="4.26953125" customWidth="1"/>
    <col min="11" max="11" width="4" customWidth="1"/>
    <col min="12" max="14" width="11" customWidth="1"/>
  </cols>
  <sheetData>
    <row r="1" spans="1:14" ht="15" thickBot="1" x14ac:dyDescent="0.4"/>
    <row r="2" spans="1:14" ht="15" thickBot="1" x14ac:dyDescent="0.4">
      <c r="L2" s="395" t="s">
        <v>168</v>
      </c>
      <c r="M2" s="396"/>
      <c r="N2" s="397"/>
    </row>
    <row r="3" spans="1:14" ht="52" x14ac:dyDescent="0.35">
      <c r="A3" s="61" t="s">
        <v>169</v>
      </c>
      <c r="B3" s="62">
        <v>3</v>
      </c>
      <c r="C3" s="62">
        <v>2</v>
      </c>
      <c r="D3" s="61" t="s">
        <v>170</v>
      </c>
      <c r="E3" s="61" t="s">
        <v>170</v>
      </c>
      <c r="G3" s="61" t="s">
        <v>46</v>
      </c>
      <c r="H3" s="61" t="s">
        <v>171</v>
      </c>
      <c r="I3" s="61" t="s">
        <v>172</v>
      </c>
      <c r="J3" s="61" t="s">
        <v>173</v>
      </c>
      <c r="L3" s="61" t="s">
        <v>174</v>
      </c>
      <c r="M3" s="61" t="s">
        <v>175</v>
      </c>
      <c r="N3" s="61" t="s">
        <v>176</v>
      </c>
    </row>
    <row r="4" spans="1:14" x14ac:dyDescent="0.35">
      <c r="A4" s="63">
        <v>1</v>
      </c>
      <c r="B4" s="64">
        <v>0</v>
      </c>
      <c r="C4" s="65">
        <v>0</v>
      </c>
      <c r="D4" s="66"/>
      <c r="E4" s="66"/>
      <c r="G4" s="67">
        <v>1500</v>
      </c>
      <c r="H4" s="68">
        <v>3</v>
      </c>
      <c r="I4" s="68">
        <v>30</v>
      </c>
      <c r="J4" s="66">
        <f>IF(H4=3,VLOOKUP(I4,$A$4:$E$35,4,0)+(5.2*$D$36),VLOOKUP(I4,$A$4:$E$35,5,0)+(5.2*$D$36))</f>
        <v>0.13057982540551771</v>
      </c>
      <c r="L4" s="66">
        <f>+J4*G4</f>
        <v>195.86973810827658</v>
      </c>
      <c r="M4" s="66">
        <v>7351.9605968785472</v>
      </c>
      <c r="N4" s="66">
        <f>+L4/M4</f>
        <v>2.6641837306831843E-2</v>
      </c>
    </row>
    <row r="5" spans="1:14" x14ac:dyDescent="0.35">
      <c r="A5" s="63">
        <v>2</v>
      </c>
      <c r="B5" s="64">
        <v>0</v>
      </c>
      <c r="C5" s="65">
        <v>0.29826350445778216</v>
      </c>
      <c r="D5" s="66"/>
      <c r="E5" s="66"/>
    </row>
    <row r="6" spans="1:14" x14ac:dyDescent="0.35">
      <c r="A6" s="63">
        <v>3</v>
      </c>
      <c r="B6" s="64">
        <v>0</v>
      </c>
      <c r="C6" s="65">
        <v>0.36836431443389078</v>
      </c>
      <c r="D6" s="66"/>
      <c r="E6" s="66">
        <v>0.36840000000000001</v>
      </c>
    </row>
    <row r="7" spans="1:14" x14ac:dyDescent="0.35">
      <c r="A7" s="63">
        <v>4</v>
      </c>
      <c r="B7" s="64">
        <v>8.493094807994872E-2</v>
      </c>
      <c r="C7" s="65">
        <v>0.38319445253773088</v>
      </c>
      <c r="D7" s="66">
        <v>8.493094807994872E-2</v>
      </c>
      <c r="E7" s="66">
        <f>+C7</f>
        <v>0.38319445253773088</v>
      </c>
    </row>
    <row r="8" spans="1:14" x14ac:dyDescent="0.35">
      <c r="A8" s="63">
        <v>5</v>
      </c>
      <c r="B8" s="64">
        <v>9.0058854379115441E-2</v>
      </c>
      <c r="C8" s="65">
        <v>0.38832235883689764</v>
      </c>
      <c r="D8" s="66">
        <v>9.0058854379115441E-2</v>
      </c>
      <c r="E8" s="66">
        <f t="shared" ref="E8:E24" si="0">+C8</f>
        <v>0.38832235883689764</v>
      </c>
    </row>
    <row r="9" spans="1:14" x14ac:dyDescent="0.35">
      <c r="A9" s="63">
        <v>6</v>
      </c>
      <c r="B9" s="64">
        <v>9.4283549909678924E-2</v>
      </c>
      <c r="C9" s="65">
        <v>0.39254705436746112</v>
      </c>
      <c r="D9" s="66">
        <v>9.4283549909678924E-2</v>
      </c>
      <c r="E9" s="66">
        <f t="shared" si="0"/>
        <v>0.39254705436746112</v>
      </c>
    </row>
    <row r="10" spans="1:14" x14ac:dyDescent="0.35">
      <c r="A10" s="63">
        <v>7</v>
      </c>
      <c r="B10" s="64">
        <v>9.9877629508769883E-2</v>
      </c>
      <c r="C10" s="65">
        <v>0.39814113396655204</v>
      </c>
      <c r="D10" s="66">
        <v>9.9877629508769883E-2</v>
      </c>
      <c r="E10" s="66">
        <f t="shared" si="0"/>
        <v>0.39814113396655204</v>
      </c>
    </row>
    <row r="11" spans="1:14" x14ac:dyDescent="0.35">
      <c r="A11" s="63">
        <v>8</v>
      </c>
      <c r="B11" s="64">
        <v>9.9935901171260416E-2</v>
      </c>
      <c r="C11" s="65">
        <v>0.3981994056290426</v>
      </c>
      <c r="D11" s="66">
        <v>9.9935901171260416E-2</v>
      </c>
      <c r="E11" s="66">
        <f t="shared" si="0"/>
        <v>0.3981994056290426</v>
      </c>
    </row>
    <row r="12" spans="1:14" x14ac:dyDescent="0.35">
      <c r="A12" s="63">
        <v>9</v>
      </c>
      <c r="B12" s="64">
        <v>0.10261639764582484</v>
      </c>
      <c r="C12" s="65">
        <v>0.40087990210360702</v>
      </c>
      <c r="D12" s="66">
        <v>0.10261639764582484</v>
      </c>
      <c r="E12" s="66">
        <f t="shared" si="0"/>
        <v>0.40087990210360702</v>
      </c>
    </row>
    <row r="13" spans="1:14" x14ac:dyDescent="0.35">
      <c r="A13" s="63">
        <v>10</v>
      </c>
      <c r="B13" s="64">
        <v>0.10290775595827749</v>
      </c>
      <c r="C13" s="65">
        <v>0.40117126041605966</v>
      </c>
      <c r="D13" s="66">
        <v>0.10290775595827749</v>
      </c>
      <c r="E13" s="66">
        <f t="shared" si="0"/>
        <v>0.40117126041605966</v>
      </c>
    </row>
    <row r="14" spans="1:14" x14ac:dyDescent="0.35">
      <c r="A14" s="63">
        <v>11</v>
      </c>
      <c r="B14" s="64">
        <v>0.10325738593322067</v>
      </c>
      <c r="C14" s="65">
        <v>0.40152089039100286</v>
      </c>
      <c r="D14" s="66">
        <v>0.10325738593322067</v>
      </c>
      <c r="E14" s="66">
        <f t="shared" si="0"/>
        <v>0.40152089039100286</v>
      </c>
    </row>
    <row r="15" spans="1:14" x14ac:dyDescent="0.35">
      <c r="A15" s="63">
        <v>12</v>
      </c>
      <c r="B15" s="64">
        <v>0.10334479342695647</v>
      </c>
      <c r="C15" s="65">
        <v>0.40160829788473867</v>
      </c>
      <c r="D15" s="66">
        <v>0.10334479342695647</v>
      </c>
      <c r="E15" s="66">
        <f t="shared" si="0"/>
        <v>0.40160829788473867</v>
      </c>
    </row>
    <row r="16" spans="1:14" x14ac:dyDescent="0.35">
      <c r="A16" s="63">
        <v>13</v>
      </c>
      <c r="B16" s="64">
        <v>0.10384010255812598</v>
      </c>
      <c r="C16" s="65">
        <v>0.40210360701590814</v>
      </c>
      <c r="D16" s="66">
        <v>0.10384010255812598</v>
      </c>
      <c r="E16" s="66">
        <f t="shared" si="0"/>
        <v>0.40210360701590814</v>
      </c>
    </row>
    <row r="17" spans="1:5" x14ac:dyDescent="0.35">
      <c r="A17" s="63">
        <v>14</v>
      </c>
      <c r="B17" s="64">
        <v>0.10401491754559758</v>
      </c>
      <c r="C17" s="65">
        <v>0.40227842200337977</v>
      </c>
      <c r="D17" s="66">
        <v>0.10401491754559758</v>
      </c>
      <c r="E17" s="66">
        <f t="shared" si="0"/>
        <v>0.40227842200337977</v>
      </c>
    </row>
    <row r="18" spans="1:5" x14ac:dyDescent="0.35">
      <c r="A18" s="63">
        <v>15</v>
      </c>
      <c r="B18" s="64">
        <v>0.10404405337684285</v>
      </c>
      <c r="C18" s="65">
        <v>0.40230755783462502</v>
      </c>
      <c r="D18" s="66">
        <v>0.10404405337684285</v>
      </c>
      <c r="E18" s="66">
        <f t="shared" si="0"/>
        <v>0.40230755783462502</v>
      </c>
    </row>
    <row r="19" spans="1:5" x14ac:dyDescent="0.35">
      <c r="A19" s="63">
        <v>16</v>
      </c>
      <c r="B19" s="64">
        <v>0.10407318920808811</v>
      </c>
      <c r="C19" s="65">
        <v>0.40233669366587027</v>
      </c>
      <c r="D19" s="66">
        <v>0.10407318920808811</v>
      </c>
      <c r="E19" s="66">
        <f t="shared" si="0"/>
        <v>0.40233669366587027</v>
      </c>
    </row>
    <row r="20" spans="1:5" x14ac:dyDescent="0.35">
      <c r="A20" s="63">
        <v>17</v>
      </c>
      <c r="B20" s="64">
        <v>0.10413146087057863</v>
      </c>
      <c r="C20" s="65">
        <v>0.40239496532836083</v>
      </c>
      <c r="D20" s="66">
        <v>0.10413146087057863</v>
      </c>
      <c r="E20" s="66">
        <f t="shared" si="0"/>
        <v>0.40239496532836083</v>
      </c>
    </row>
    <row r="21" spans="1:5" x14ac:dyDescent="0.35">
      <c r="A21" s="63">
        <v>18</v>
      </c>
      <c r="B21" s="64">
        <v>0.10430627585805023</v>
      </c>
      <c r="C21" s="65">
        <v>0.4025697803158324</v>
      </c>
      <c r="D21" s="66">
        <v>0.10430627585805023</v>
      </c>
      <c r="E21" s="66">
        <f t="shared" si="0"/>
        <v>0.4025697803158324</v>
      </c>
    </row>
    <row r="22" spans="1:5" x14ac:dyDescent="0.35">
      <c r="A22" s="63">
        <v>19</v>
      </c>
      <c r="B22" s="64">
        <v>0.10512207913291766</v>
      </c>
      <c r="C22" s="65">
        <v>0.40338558359069987</v>
      </c>
      <c r="D22" s="66">
        <v>0.10512207913291766</v>
      </c>
      <c r="E22" s="66">
        <f t="shared" si="0"/>
        <v>0.40338558359069987</v>
      </c>
    </row>
    <row r="23" spans="1:5" x14ac:dyDescent="0.35">
      <c r="A23" s="63">
        <v>20</v>
      </c>
      <c r="B23" s="64" t="e">
        <v>#N/A</v>
      </c>
      <c r="C23" s="65" t="e">
        <v>#N/A</v>
      </c>
      <c r="D23" s="69">
        <f>+D22+((A23-A22)/(A24-A22)*(D24-D22))</f>
        <v>0.10513664704854028</v>
      </c>
      <c r="E23" s="69">
        <f>+E22+((A23-A22)/(A24-A22)*(E24-E22))</f>
        <v>0.40340015150632247</v>
      </c>
    </row>
    <row r="24" spans="1:5" x14ac:dyDescent="0.35">
      <c r="A24" s="63">
        <v>21</v>
      </c>
      <c r="B24" s="64">
        <v>0.10515121496416292</v>
      </c>
      <c r="C24" s="65">
        <v>0.40341471942194512</v>
      </c>
      <c r="D24" s="43">
        <v>0.10515121496416292</v>
      </c>
      <c r="E24" s="66">
        <f t="shared" si="0"/>
        <v>0.40341471942194512</v>
      </c>
    </row>
    <row r="25" spans="1:5" x14ac:dyDescent="0.35">
      <c r="A25" s="63">
        <v>22</v>
      </c>
      <c r="B25" s="64" t="e">
        <v>#N/A</v>
      </c>
      <c r="C25" s="65" t="e">
        <v>#N/A</v>
      </c>
      <c r="D25" s="69">
        <f>+D24+((A25-A24)/(A27-A24)*(D27-D24))</f>
        <v>0.10516092690791135</v>
      </c>
      <c r="E25" s="69">
        <f>+E24+((A25-A24)/(A27-A24)*(E27-E24))</f>
        <v>0.40342443136569356</v>
      </c>
    </row>
    <row r="26" spans="1:5" x14ac:dyDescent="0.35">
      <c r="A26" s="63">
        <v>23</v>
      </c>
      <c r="B26" s="64" t="e">
        <v>#N/A</v>
      </c>
      <c r="C26" s="65" t="e">
        <v>#N/A</v>
      </c>
      <c r="D26" s="69">
        <f>+D25+((A26-A25)/(A27-A25)*(D27-D25))</f>
        <v>0.10517063885165977</v>
      </c>
      <c r="E26" s="69">
        <f>+E25+((A26-A25)/(A27-A25)*(E27-E25))</f>
        <v>0.40343414330944194</v>
      </c>
    </row>
    <row r="27" spans="1:5" x14ac:dyDescent="0.35">
      <c r="A27" s="63">
        <v>24</v>
      </c>
      <c r="B27" s="64">
        <v>0.10518035079540819</v>
      </c>
      <c r="C27" s="65">
        <v>0.40344385525319038</v>
      </c>
      <c r="D27" s="43">
        <v>0.10518035079540819</v>
      </c>
      <c r="E27" s="66">
        <f t="shared" ref="E27" si="1">+C27</f>
        <v>0.40344385525319038</v>
      </c>
    </row>
    <row r="28" spans="1:5" x14ac:dyDescent="0.35">
      <c r="A28" s="63">
        <v>25</v>
      </c>
      <c r="B28" s="64" t="e">
        <v>#N/A</v>
      </c>
      <c r="C28" s="65" t="e">
        <v>#N/A</v>
      </c>
      <c r="D28" s="69">
        <f>+D27+((A28-A27)/(A31-A27)*(D31-D27))</f>
        <v>0.10520220266884214</v>
      </c>
      <c r="E28" s="69">
        <f>+E27+((A28-A27)/(A31-A27)*(E31-E27))</f>
        <v>0.40346570712662433</v>
      </c>
    </row>
    <row r="29" spans="1:5" x14ac:dyDescent="0.35">
      <c r="A29" s="63">
        <v>26</v>
      </c>
      <c r="B29" s="64" t="e">
        <v>#N/A</v>
      </c>
      <c r="C29" s="65" t="e">
        <v>#N/A</v>
      </c>
      <c r="D29" s="69">
        <f>+D28+((A29-A28)/(A31-A28)*(D31-D28))</f>
        <v>0.1052240545422761</v>
      </c>
      <c r="E29" s="69">
        <f>+E28+((A29-A28)/(A31-A28)*(E31-E28))</f>
        <v>0.40348755900005828</v>
      </c>
    </row>
    <row r="30" spans="1:5" x14ac:dyDescent="0.35">
      <c r="A30" s="63">
        <v>27</v>
      </c>
      <c r="B30" s="64" t="e">
        <v>#N/A</v>
      </c>
      <c r="C30" s="65" t="e">
        <v>#N/A</v>
      </c>
      <c r="D30" s="69">
        <f>+D29+((A30-A29)/(A31-A29)*(D31-D29))</f>
        <v>0.10524590641571005</v>
      </c>
      <c r="E30" s="69">
        <f>+E29+((A30-A29)/(A31-A29)*(E31-E29))</f>
        <v>0.40350941087349224</v>
      </c>
    </row>
    <row r="31" spans="1:5" x14ac:dyDescent="0.35">
      <c r="A31" s="70">
        <v>28</v>
      </c>
      <c r="B31" s="64">
        <v>0.10526775828914399</v>
      </c>
      <c r="C31" s="65">
        <v>0.40353126274692619</v>
      </c>
      <c r="D31" s="43">
        <v>0.10526775828914399</v>
      </c>
      <c r="E31" s="66">
        <f t="shared" ref="E31" si="2">+C31</f>
        <v>0.40353126274692619</v>
      </c>
    </row>
    <row r="32" spans="1:5" x14ac:dyDescent="0.35">
      <c r="A32" s="70">
        <v>29</v>
      </c>
      <c r="B32" s="64" t="e">
        <v>#N/A</v>
      </c>
      <c r="C32" s="65" t="e">
        <v>#N/A</v>
      </c>
      <c r="D32" s="69">
        <f>+D31+((A32-A31)/(A35-A31)*(D35-D31))</f>
        <v>0.1052750422469553</v>
      </c>
      <c r="E32" s="69">
        <f>+E31+((A32-A31)/(A35-A31)*(E35-E31))</f>
        <v>0.40353854670473749</v>
      </c>
    </row>
    <row r="33" spans="1:5" x14ac:dyDescent="0.35">
      <c r="A33" s="70">
        <v>30</v>
      </c>
      <c r="B33" s="64" t="e">
        <v>#N/A</v>
      </c>
      <c r="C33" s="65" t="e">
        <v>#N/A</v>
      </c>
      <c r="D33" s="69">
        <f>+D32+((A33-A32)/(A35-A32)*(D35-D32))</f>
        <v>0.10528232620476662</v>
      </c>
      <c r="E33" s="69">
        <f>+E32+((A33-A32)/(A35-A32)*(E35-E32))</f>
        <v>0.40354583066254879</v>
      </c>
    </row>
    <row r="34" spans="1:5" x14ac:dyDescent="0.35">
      <c r="A34" s="70">
        <v>31</v>
      </c>
      <c r="B34" s="64" t="e">
        <v>#N/A</v>
      </c>
      <c r="C34" s="65" t="e">
        <v>#N/A</v>
      </c>
      <c r="D34" s="69">
        <f>+D33+((A34-A33)/(A35-A33)*(D35-D33))</f>
        <v>0.10528961016257793</v>
      </c>
      <c r="E34" s="69">
        <f>+E33+((A34-A33)/(A35-A33)*(E35-E33))</f>
        <v>0.40355311462036014</v>
      </c>
    </row>
    <row r="35" spans="1:5" x14ac:dyDescent="0.35">
      <c r="A35" s="70">
        <v>32</v>
      </c>
      <c r="B35" s="64">
        <v>0.10529689412038926</v>
      </c>
      <c r="C35" s="65">
        <v>0.40356039857817144</v>
      </c>
      <c r="D35" s="43">
        <v>0.10529689412038926</v>
      </c>
      <c r="E35" s="43">
        <f t="shared" ref="E35" si="3">+C35</f>
        <v>0.40356039857817144</v>
      </c>
    </row>
    <row r="36" spans="1:5" x14ac:dyDescent="0.35">
      <c r="D36">
        <f>+STDEV(D7:D35)</f>
        <v>4.8649036924521358E-3</v>
      </c>
      <c r="E36">
        <f>+STDEV(E7:E35)</f>
        <v>4.8649036924521384E-3</v>
      </c>
    </row>
  </sheetData>
  <mergeCells count="1"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autoPageBreaks="0"/>
  </sheetPr>
  <dimension ref="A1:AF131"/>
  <sheetViews>
    <sheetView showGridLines="0" showRowColHeaders="0" tabSelected="1" zoomScale="90" zoomScaleNormal="90" workbookViewId="0">
      <selection activeCell="E63" sqref="E63"/>
    </sheetView>
  </sheetViews>
  <sheetFormatPr baseColWidth="10" defaultColWidth="0" defaultRowHeight="14.5" zeroHeight="1" x14ac:dyDescent="0.35"/>
  <cols>
    <col min="1" max="1" width="1.7265625" style="9" customWidth="1"/>
    <col min="2" max="2" width="4.54296875" style="9" customWidth="1"/>
    <col min="3" max="3" width="15.26953125" style="10" bestFit="1" customWidth="1"/>
    <col min="4" max="4" width="5.7265625" style="9" customWidth="1"/>
    <col min="5" max="5" width="43.453125" style="9" customWidth="1"/>
    <col min="6" max="6" width="2" style="9" customWidth="1"/>
    <col min="7" max="7" width="15.54296875" style="9" customWidth="1"/>
    <col min="8" max="8" width="13.7265625" style="9" customWidth="1"/>
    <col min="9" max="9" width="2.54296875" style="9" customWidth="1"/>
    <col min="10" max="10" width="16.26953125" style="16" bestFit="1" customWidth="1"/>
    <col min="11" max="11" width="2.81640625" style="9" customWidth="1"/>
    <col min="12" max="12" width="21" style="9" customWidth="1"/>
    <col min="13" max="13" width="15.26953125" style="10" customWidth="1"/>
    <col min="14" max="14" width="4.81640625" style="10" customWidth="1"/>
    <col min="15" max="15" width="4.54296875" style="10" customWidth="1"/>
    <col min="16" max="16" width="2.7265625" style="10" customWidth="1"/>
    <col min="17" max="17" width="17.81640625" style="10" hidden="1" customWidth="1"/>
    <col min="18" max="18" width="16.7265625" style="10" hidden="1" customWidth="1"/>
    <col min="19" max="19" width="14.81640625" style="10" hidden="1" customWidth="1"/>
    <col min="20" max="23" width="16" style="10" hidden="1" customWidth="1"/>
    <col min="24" max="24" width="17.26953125" style="10" hidden="1" customWidth="1"/>
    <col min="25" max="26" width="13.7265625" style="10" hidden="1" customWidth="1"/>
    <col min="27" max="27" width="6.7265625" style="9" hidden="1" customWidth="1"/>
    <col min="28" max="16384" width="3.7265625" style="9" hidden="1"/>
  </cols>
  <sheetData>
    <row r="1" spans="1:32" x14ac:dyDescent="0.35">
      <c r="A1" s="226">
        <v>1</v>
      </c>
      <c r="AA1" s="227"/>
    </row>
    <row r="2" spans="1:32" ht="23.5" x14ac:dyDescent="0.55000000000000004">
      <c r="B2" s="407"/>
      <c r="C2" s="407"/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407"/>
      <c r="O2" s="11"/>
      <c r="P2" s="11"/>
      <c r="R2" s="11"/>
      <c r="S2" s="11"/>
      <c r="T2" s="11"/>
      <c r="U2" s="11"/>
      <c r="V2" s="11"/>
      <c r="W2" s="11"/>
      <c r="X2" s="11"/>
      <c r="Y2" s="11"/>
      <c r="Z2" s="11"/>
      <c r="AA2" s="228"/>
    </row>
    <row r="3" spans="1:32" ht="23.5" x14ac:dyDescent="0.55000000000000004">
      <c r="B3" s="407"/>
      <c r="C3" s="407"/>
      <c r="D3" s="407"/>
      <c r="E3" s="407"/>
      <c r="F3" s="407"/>
      <c r="G3" s="407"/>
      <c r="H3" s="407"/>
      <c r="I3" s="407"/>
      <c r="J3" s="407"/>
      <c r="K3" s="407"/>
      <c r="L3" s="407"/>
      <c r="M3" s="407"/>
      <c r="N3" s="407"/>
      <c r="O3" s="11"/>
      <c r="P3" s="11"/>
      <c r="Q3" s="9"/>
      <c r="R3" s="11"/>
      <c r="S3" s="11"/>
      <c r="T3" s="11"/>
      <c r="U3" s="11"/>
      <c r="V3" s="11"/>
      <c r="W3" s="11"/>
      <c r="X3" s="11"/>
      <c r="Y3" s="11"/>
      <c r="Z3" s="11"/>
      <c r="AA3" s="228"/>
    </row>
    <row r="4" spans="1:32" ht="24" thickBot="1" x14ac:dyDescent="0.6">
      <c r="B4" s="229"/>
      <c r="C4" s="229"/>
      <c r="D4" s="229"/>
      <c r="E4" s="229"/>
      <c r="F4" s="229"/>
      <c r="G4" s="229"/>
      <c r="H4" s="229"/>
      <c r="I4" s="229"/>
      <c r="J4" s="336"/>
      <c r="K4" s="229"/>
      <c r="L4" s="229"/>
      <c r="M4" s="229"/>
      <c r="N4" s="229"/>
      <c r="O4" s="11"/>
      <c r="P4" s="11"/>
      <c r="Q4" s="230"/>
      <c r="R4" s="11"/>
      <c r="S4" s="11"/>
      <c r="T4" s="11"/>
      <c r="U4" s="11"/>
      <c r="V4" s="11"/>
      <c r="W4" s="11"/>
      <c r="X4" s="11"/>
      <c r="Y4" s="11"/>
      <c r="Z4" s="11"/>
      <c r="AA4" s="228"/>
    </row>
    <row r="5" spans="1:32" ht="24.5" thickTop="1" thickBot="1" x14ac:dyDescent="0.6">
      <c r="B5" s="229"/>
      <c r="C5" s="229"/>
      <c r="D5" s="229"/>
      <c r="E5" s="229"/>
      <c r="F5" s="229"/>
      <c r="G5" s="229"/>
      <c r="H5" s="229"/>
      <c r="I5" s="229"/>
      <c r="J5" s="336"/>
      <c r="K5" s="229"/>
      <c r="L5" s="231" t="s">
        <v>88</v>
      </c>
      <c r="M5" s="225">
        <f ca="1">TODAY()</f>
        <v>44394</v>
      </c>
      <c r="N5" s="229"/>
      <c r="O5" s="11"/>
      <c r="P5" s="11"/>
      <c r="Q5" s="230" t="s">
        <v>85</v>
      </c>
      <c r="R5" s="11"/>
      <c r="S5" s="11"/>
      <c r="T5" s="11"/>
      <c r="U5" s="11"/>
      <c r="V5" s="11"/>
      <c r="W5" s="11"/>
      <c r="X5" s="11"/>
      <c r="Y5" s="11"/>
      <c r="Z5" s="11"/>
      <c r="AA5" s="228"/>
    </row>
    <row r="6" spans="1:32" ht="24.5" thickTop="1" thickBot="1" x14ac:dyDescent="0.6">
      <c r="B6" s="229"/>
      <c r="C6" s="229"/>
      <c r="D6" s="229"/>
      <c r="E6" s="232"/>
      <c r="F6" s="229"/>
      <c r="G6" s="229"/>
      <c r="H6" s="229"/>
      <c r="I6" s="229"/>
      <c r="J6" s="336"/>
      <c r="K6" s="229"/>
      <c r="L6" s="231" t="s">
        <v>89</v>
      </c>
      <c r="M6" s="359"/>
      <c r="N6" s="229"/>
      <c r="O6" s="11"/>
      <c r="P6" s="11"/>
      <c r="Q6" s="230" t="s">
        <v>86</v>
      </c>
      <c r="R6" s="11"/>
      <c r="S6" s="11"/>
      <c r="T6" s="11"/>
      <c r="U6" s="11"/>
      <c r="V6" s="11"/>
      <c r="W6" s="11"/>
      <c r="X6" s="11"/>
      <c r="Y6" s="11"/>
      <c r="Z6" s="11"/>
      <c r="AA6" s="228"/>
    </row>
    <row r="7" spans="1:32" ht="19" thickTop="1" x14ac:dyDescent="0.45">
      <c r="B7" s="13"/>
      <c r="C7" s="14"/>
      <c r="D7" s="13"/>
      <c r="E7" s="13"/>
      <c r="F7" s="13"/>
      <c r="G7" s="13"/>
      <c r="H7" s="13"/>
      <c r="I7" s="13"/>
      <c r="J7" s="17"/>
      <c r="K7" s="13"/>
      <c r="L7" s="13"/>
      <c r="M7" s="14"/>
      <c r="N7" s="14"/>
      <c r="Q7" s="230" t="s">
        <v>87</v>
      </c>
      <c r="AA7" s="227"/>
      <c r="AF7" s="233"/>
    </row>
    <row r="8" spans="1:32" ht="21" x14ac:dyDescent="0.35">
      <c r="B8" s="408" t="s">
        <v>72</v>
      </c>
      <c r="C8" s="408"/>
      <c r="D8" s="408"/>
      <c r="E8" s="408"/>
      <c r="F8" s="409"/>
      <c r="G8" s="409"/>
      <c r="H8" s="409"/>
      <c r="I8" s="409"/>
      <c r="J8" s="409"/>
      <c r="K8" s="409"/>
      <c r="L8" s="409"/>
      <c r="M8" s="409"/>
      <c r="N8" s="234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27"/>
    </row>
    <row r="9" spans="1:32" ht="15" customHeight="1" x14ac:dyDescent="0.4">
      <c r="B9" s="15"/>
      <c r="C9" s="236"/>
      <c r="D9" s="318" t="s">
        <v>74</v>
      </c>
      <c r="E9" s="404" t="s">
        <v>64</v>
      </c>
      <c r="F9" s="405"/>
      <c r="G9" s="405"/>
      <c r="H9" s="405"/>
      <c r="I9" s="405"/>
      <c r="J9" s="406"/>
      <c r="K9" s="237"/>
      <c r="M9" s="9"/>
      <c r="N9" s="236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27"/>
    </row>
    <row r="10" spans="1:32" ht="30.75" customHeight="1" x14ac:dyDescent="0.35">
      <c r="B10" s="15"/>
      <c r="C10" s="236"/>
      <c r="D10" s="236"/>
      <c r="E10" s="236" t="s">
        <v>64</v>
      </c>
      <c r="F10" s="236"/>
      <c r="G10" s="236"/>
      <c r="H10" s="236"/>
      <c r="I10" s="236"/>
      <c r="J10" s="18"/>
      <c r="K10" s="236"/>
      <c r="M10" s="9"/>
      <c r="N10" s="239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1"/>
    </row>
    <row r="11" spans="1:32" s="10" customFormat="1" ht="21" x14ac:dyDescent="0.35">
      <c r="B11" s="408" t="s">
        <v>194</v>
      </c>
      <c r="C11" s="408"/>
      <c r="D11" s="408"/>
      <c r="E11" s="408"/>
      <c r="F11" s="409"/>
      <c r="G11" s="409"/>
      <c r="H11" s="409"/>
      <c r="I11" s="409"/>
      <c r="J11" s="409"/>
      <c r="K11" s="409"/>
      <c r="L11" s="409"/>
      <c r="M11" s="409"/>
      <c r="N11" s="234"/>
      <c r="Q11" s="337"/>
      <c r="AA11" s="242"/>
    </row>
    <row r="12" spans="1:32" ht="17" x14ac:dyDescent="0.4">
      <c r="A12" s="243"/>
      <c r="B12" s="236"/>
      <c r="C12" s="244"/>
      <c r="D12" s="318" t="s">
        <v>75</v>
      </c>
      <c r="E12" s="404" t="s">
        <v>64</v>
      </c>
      <c r="F12" s="405"/>
      <c r="G12" s="405"/>
      <c r="H12" s="405"/>
      <c r="I12" s="405"/>
      <c r="J12" s="406"/>
      <c r="K12" s="245"/>
      <c r="L12" s="410"/>
      <c r="M12" s="364"/>
      <c r="N12" s="226"/>
      <c r="Q12" s="365">
        <v>1</v>
      </c>
      <c r="AA12" s="242"/>
    </row>
    <row r="13" spans="1:32" ht="17" x14ac:dyDescent="0.4">
      <c r="A13" s="243"/>
      <c r="B13" s="236"/>
      <c r="C13" s="244"/>
      <c r="D13" s="318" t="s">
        <v>76</v>
      </c>
      <c r="E13" s="214" t="s">
        <v>64</v>
      </c>
      <c r="F13" s="236"/>
      <c r="G13" s="236"/>
      <c r="H13" s="10"/>
      <c r="I13" s="10"/>
      <c r="J13" s="337"/>
      <c r="K13" s="10"/>
      <c r="L13" s="411"/>
      <c r="M13" s="246"/>
      <c r="N13" s="226"/>
      <c r="AA13" s="242"/>
    </row>
    <row r="14" spans="1:32" x14ac:dyDescent="0.35">
      <c r="A14" s="243"/>
      <c r="B14" s="236"/>
      <c r="C14" s="244"/>
      <c r="D14" s="247"/>
      <c r="E14" s="248"/>
      <c r="F14" s="248"/>
      <c r="G14" s="248"/>
      <c r="H14" s="10"/>
      <c r="I14" s="10"/>
      <c r="J14" s="337"/>
      <c r="K14" s="10"/>
      <c r="L14" s="412"/>
      <c r="M14" s="246"/>
      <c r="N14" s="246"/>
      <c r="AA14" s="242"/>
    </row>
    <row r="15" spans="1:32" ht="15" thickBot="1" x14ac:dyDescent="0.4">
      <c r="A15" s="243"/>
      <c r="B15" s="236"/>
      <c r="C15" s="244"/>
      <c r="D15" s="244"/>
      <c r="E15" s="236"/>
      <c r="F15" s="236"/>
      <c r="G15" s="236"/>
      <c r="H15" s="249"/>
      <c r="I15" s="249"/>
      <c r="J15" s="338"/>
      <c r="K15" s="236"/>
      <c r="L15" s="236"/>
      <c r="M15" s="236"/>
      <c r="N15" s="236"/>
      <c r="U15" s="398" t="s">
        <v>294</v>
      </c>
      <c r="V15" s="399"/>
      <c r="W15" s="399"/>
      <c r="X15" s="400"/>
      <c r="AA15" s="242"/>
    </row>
    <row r="16" spans="1:32" ht="40.5" customHeight="1" thickTop="1" thickBot="1" x14ac:dyDescent="0.4">
      <c r="A16" s="243"/>
      <c r="B16" s="236"/>
      <c r="C16" s="250" t="s">
        <v>77</v>
      </c>
      <c r="D16" s="251"/>
      <c r="E16" s="250" t="s">
        <v>248</v>
      </c>
      <c r="F16" s="252"/>
      <c r="G16" s="252"/>
      <c r="H16" s="250" t="s">
        <v>9</v>
      </c>
      <c r="I16" s="253"/>
      <c r="J16" s="339" t="s">
        <v>247</v>
      </c>
      <c r="K16" s="254"/>
      <c r="L16" s="255" t="s">
        <v>237</v>
      </c>
      <c r="M16" s="256"/>
      <c r="Q16" s="257" t="s">
        <v>78</v>
      </c>
      <c r="R16" s="257" t="s">
        <v>79</v>
      </c>
      <c r="S16" s="258" t="s">
        <v>13</v>
      </c>
      <c r="T16" s="258" t="s">
        <v>80</v>
      </c>
      <c r="U16" s="349" t="s">
        <v>78</v>
      </c>
      <c r="V16" s="257" t="s">
        <v>79</v>
      </c>
      <c r="W16" s="257" t="s">
        <v>13</v>
      </c>
      <c r="X16" s="350" t="s">
        <v>80</v>
      </c>
      <c r="AA16" s="242"/>
    </row>
    <row r="17" spans="1:27" ht="15" thickTop="1" x14ac:dyDescent="0.35">
      <c r="A17" s="243"/>
      <c r="B17" s="236"/>
      <c r="C17" s="251"/>
      <c r="D17" s="251"/>
      <c r="E17" s="251"/>
      <c r="F17" s="236"/>
      <c r="G17" s="236"/>
      <c r="H17" s="249"/>
      <c r="I17" s="249"/>
      <c r="J17" s="338"/>
      <c r="K17" s="251"/>
      <c r="L17" s="259"/>
      <c r="M17" s="260"/>
      <c r="Q17" s="236"/>
      <c r="R17" s="236"/>
      <c r="U17" s="351"/>
      <c r="X17" s="352"/>
      <c r="AA17" s="242"/>
    </row>
    <row r="18" spans="1:27" ht="16.5" thickBot="1" x14ac:dyDescent="0.4">
      <c r="A18" s="243" t="b">
        <v>1</v>
      </c>
      <c r="B18" s="236"/>
      <c r="C18" s="261" t="s">
        <v>90</v>
      </c>
      <c r="D18" s="262"/>
      <c r="E18" s="218"/>
      <c r="F18" s="18"/>
      <c r="G18" s="18"/>
      <c r="H18" s="220"/>
      <c r="I18" s="263"/>
      <c r="J18" s="221"/>
      <c r="L18" s="358" t="s">
        <v>241</v>
      </c>
      <c r="Q18" s="264">
        <f>IF(AND(H18&lt;&gt;"",J18&lt;&gt;""),VLOOKUP(H18,Tarifa!$CG$6:$CI$110,IF(J18="Hombre",2,3),0),0)</f>
        <v>0</v>
      </c>
      <c r="R18" s="264">
        <f>IF(AND(H18&lt;&gt;"",J18&lt;&gt;""),VLOOKUP(H18,Tarifa!$BU$6:$BW$110,IF(J18="Hombre",2,3),0),0)</f>
        <v>0</v>
      </c>
      <c r="S18" s="264">
        <f>Q18+R18</f>
        <v>0</v>
      </c>
      <c r="T18" s="265">
        <f>SUM(S18:S33)</f>
        <v>0</v>
      </c>
      <c r="U18" s="353">
        <f>IF($J$59=TRUE,IF(AND(H18&lt;&gt;"",J18&lt;&gt;""),VLOOKUP(H18,Tarifa!$BY$6:$CA$106,IF(J18="Hombre",2,3),0),0),0)</f>
        <v>0</v>
      </c>
      <c r="V18" s="265">
        <f>IF($J$59=TRUE,IF(AND(H18&lt;&gt;"",J18&lt;&gt;""),VLOOKUP(H18,Tarifa!$CC$6:$CE$106,IF(J18="Hombre",2,3),0),0),0)</f>
        <v>0</v>
      </c>
      <c r="W18" s="264">
        <f>U18+V18</f>
        <v>0</v>
      </c>
      <c r="X18" s="354">
        <f>SUM(W18:W33)</f>
        <v>0</v>
      </c>
      <c r="Y18" s="265"/>
      <c r="AA18" s="242"/>
    </row>
    <row r="19" spans="1:27" ht="10.5" customHeight="1" x14ac:dyDescent="0.35">
      <c r="A19" s="243"/>
      <c r="B19" s="236"/>
      <c r="C19" s="261"/>
      <c r="D19" s="251"/>
      <c r="E19" s="266"/>
      <c r="F19" s="18"/>
      <c r="G19" s="18"/>
      <c r="H19" s="267"/>
      <c r="I19" s="263"/>
      <c r="J19" s="267"/>
      <c r="L19" s="213"/>
      <c r="Q19" s="264"/>
      <c r="R19" s="264"/>
      <c r="S19" s="264"/>
      <c r="U19" s="351"/>
      <c r="X19" s="352"/>
      <c r="AA19" s="242"/>
    </row>
    <row r="20" spans="1:27" ht="16.5" thickBot="1" x14ac:dyDescent="0.5">
      <c r="A20" s="243" t="b">
        <v>1</v>
      </c>
      <c r="B20" s="236" t="s">
        <v>94</v>
      </c>
      <c r="C20" s="268" t="s">
        <v>238</v>
      </c>
      <c r="D20" s="262"/>
      <c r="E20" s="219"/>
      <c r="F20" s="18"/>
      <c r="G20" s="18"/>
      <c r="H20" s="220"/>
      <c r="I20" s="263"/>
      <c r="J20" s="221"/>
      <c r="L20" s="358" t="s">
        <v>241</v>
      </c>
      <c r="Q20" s="264">
        <f>IF(AND(H20&lt;&gt;"",J20&lt;&gt;""),VLOOKUP(H20,Tarifa!$CG$6:$CI$110,IF(J20="Hombre",2,3),0),0)</f>
        <v>0</v>
      </c>
      <c r="R20" s="264">
        <f>IF(AND(H20&lt;&gt;"",J20&lt;&gt;""),VLOOKUP(H20,Tarifa!$BU$6:$BW$110,IF(J20="Hombre",2,3),0),0)</f>
        <v>0</v>
      </c>
      <c r="S20" s="264">
        <f>Q20+R20</f>
        <v>0</v>
      </c>
      <c r="U20" s="353">
        <f>IF($J$59=TRUE,IF(AND(H20&lt;&gt;"",J20&lt;&gt;""),VLOOKUP(H20,Tarifa!$BY$6:$CA$106,IF(J20="Hombre",2,3),0),0),0)</f>
        <v>0</v>
      </c>
      <c r="V20" s="265">
        <f>IF($J$59=TRUE,IF(AND(H20&lt;&gt;"",J20&lt;&gt;""),VLOOKUP(H20,Tarifa!$CC$6:$CE$106,IF(J20="Hombre",2,3),0),0),0)</f>
        <v>0</v>
      </c>
      <c r="W20" s="264">
        <f>U20+V20</f>
        <v>0</v>
      </c>
      <c r="X20" s="352"/>
      <c r="AA20" s="242"/>
    </row>
    <row r="21" spans="1:27" ht="10.5" customHeight="1" x14ac:dyDescent="0.45">
      <c r="A21" s="243"/>
      <c r="B21" s="236"/>
      <c r="C21" s="268"/>
      <c r="D21" s="244"/>
      <c r="E21" s="269"/>
      <c r="F21" s="18"/>
      <c r="G21" s="18"/>
      <c r="H21" s="270"/>
      <c r="I21" s="267"/>
      <c r="J21" s="270"/>
      <c r="L21" s="213"/>
      <c r="Q21" s="264"/>
      <c r="R21" s="264"/>
      <c r="S21" s="264"/>
      <c r="U21" s="351"/>
      <c r="X21" s="352"/>
      <c r="AA21" s="242"/>
    </row>
    <row r="22" spans="1:27" ht="16.5" thickBot="1" x14ac:dyDescent="0.5">
      <c r="A22" s="243" t="b">
        <v>0</v>
      </c>
      <c r="B22" s="236"/>
      <c r="C22" s="268" t="s">
        <v>91</v>
      </c>
      <c r="D22" s="262"/>
      <c r="E22" s="219"/>
      <c r="F22" s="18"/>
      <c r="G22" s="18"/>
      <c r="H22" s="220"/>
      <c r="I22" s="267"/>
      <c r="J22" s="221"/>
      <c r="L22" s="358" t="s">
        <v>241</v>
      </c>
      <c r="Q22" s="264">
        <f>IF(AND(H22&lt;&gt;"",J22&lt;&gt;""),VLOOKUP(H22,Tarifa!$CG$6:$CI$110,IF(J22="Hombre",2,3),0),0)</f>
        <v>0</v>
      </c>
      <c r="R22" s="264">
        <f>IF(AND(H22&lt;&gt;"",J22&lt;&gt;""),VLOOKUP(H22,Tarifa!$BU$6:$BW$110,IF(J22="Hombre",2,3),0),0)</f>
        <v>0</v>
      </c>
      <c r="S22" s="264">
        <f>Q22+R22</f>
        <v>0</v>
      </c>
      <c r="U22" s="353">
        <f>IF($J$59=TRUE,IF(AND(H22&lt;&gt;"",J22&lt;&gt;""),VLOOKUP(H22,Tarifa!$BY$6:$CA$106,IF(J22="Hombre",2,3),0),0),0)</f>
        <v>0</v>
      </c>
      <c r="V22" s="265">
        <f>IF($J$59=TRUE,IF(AND(H22&lt;&gt;"",J22&lt;&gt;""),VLOOKUP(H22,Tarifa!$CC$6:$CE$106,IF(J22="Hombre",2,3),0),0),0)</f>
        <v>0</v>
      </c>
      <c r="W22" s="264">
        <f>U22+V22</f>
        <v>0</v>
      </c>
      <c r="X22" s="352"/>
      <c r="AA22" s="242"/>
    </row>
    <row r="23" spans="1:27" ht="16" x14ac:dyDescent="0.45">
      <c r="A23" s="243"/>
      <c r="B23" s="236"/>
      <c r="C23" s="268"/>
      <c r="D23" s="244"/>
      <c r="E23" s="269"/>
      <c r="F23" s="18"/>
      <c r="G23" s="18"/>
      <c r="H23" s="267"/>
      <c r="I23" s="267"/>
      <c r="J23" s="267"/>
      <c r="L23" s="213"/>
      <c r="Q23" s="264"/>
      <c r="R23" s="264"/>
      <c r="S23" s="264"/>
      <c r="U23" s="351"/>
      <c r="X23" s="352"/>
      <c r="AA23" s="242"/>
    </row>
    <row r="24" spans="1:27" ht="16.5" thickBot="1" x14ac:dyDescent="0.5">
      <c r="A24" s="243" t="b">
        <v>0</v>
      </c>
      <c r="B24" s="236"/>
      <c r="C24" s="268" t="s">
        <v>92</v>
      </c>
      <c r="D24" s="262"/>
      <c r="E24" s="219"/>
      <c r="F24" s="18"/>
      <c r="G24" s="18"/>
      <c r="H24" s="220"/>
      <c r="I24" s="267"/>
      <c r="J24" s="221"/>
      <c r="L24" s="358" t="s">
        <v>241</v>
      </c>
      <c r="Q24" s="264">
        <f>IF(AND(H24&lt;&gt;"",J24&lt;&gt;""),VLOOKUP(H24,Tarifa!$CG$6:$CI$110,IF(J24="Hombre",2,3),0),0)</f>
        <v>0</v>
      </c>
      <c r="R24" s="264">
        <f>IF(AND(H24&lt;&gt;"",J24&lt;&gt;""),VLOOKUP(H24,Tarifa!$BU$6:$BW$110,IF(J24="Hombre",2,3),0),0)</f>
        <v>0</v>
      </c>
      <c r="S24" s="264">
        <f>Q24+R24</f>
        <v>0</v>
      </c>
      <c r="U24" s="353">
        <f>IF($J$59=TRUE,IF(AND(H24&lt;&gt;"",J24&lt;&gt;""),VLOOKUP(H24,Tarifa!$BY$6:$CA$106,IF(J24="Hombre",2,3),0),0),0)</f>
        <v>0</v>
      </c>
      <c r="V24" s="265">
        <f>IF($J$59=TRUE,IF(AND(H24&lt;&gt;"",J24&lt;&gt;""),VLOOKUP(H24,Tarifa!$CC$6:$CE$106,IF(J24="Hombre",2,3),0),0),0)</f>
        <v>0</v>
      </c>
      <c r="W24" s="264">
        <f>U24+V24</f>
        <v>0</v>
      </c>
      <c r="X24" s="352"/>
      <c r="AA24" s="242"/>
    </row>
    <row r="25" spans="1:27" ht="16" x14ac:dyDescent="0.45">
      <c r="A25" s="243"/>
      <c r="B25" s="236"/>
      <c r="C25" s="268"/>
      <c r="D25" s="244"/>
      <c r="E25" s="269"/>
      <c r="F25" s="18"/>
      <c r="G25" s="18"/>
      <c r="H25" s="267"/>
      <c r="I25" s="267"/>
      <c r="J25" s="267"/>
      <c r="L25" s="317"/>
      <c r="Q25" s="264"/>
      <c r="R25" s="264"/>
      <c r="S25" s="264"/>
      <c r="U25" s="351"/>
      <c r="X25" s="352"/>
      <c r="AA25" s="242"/>
    </row>
    <row r="26" spans="1:27" ht="16.5" thickBot="1" x14ac:dyDescent="0.5">
      <c r="A26" s="243" t="b">
        <v>0</v>
      </c>
      <c r="B26" s="236"/>
      <c r="C26" s="268" t="s">
        <v>93</v>
      </c>
      <c r="D26" s="262"/>
      <c r="E26" s="219"/>
      <c r="F26" s="18"/>
      <c r="G26" s="18"/>
      <c r="H26" s="220"/>
      <c r="I26" s="267"/>
      <c r="J26" s="221"/>
      <c r="L26" s="358" t="s">
        <v>241</v>
      </c>
      <c r="Q26" s="264">
        <f>IF(AND(H26&lt;&gt;"",J26&lt;&gt;""),VLOOKUP(H26,Tarifa!$CG$6:$CI$110,IF(J26="Hombre",2,3),0),0)</f>
        <v>0</v>
      </c>
      <c r="R26" s="264">
        <f>IF(AND(H26&lt;&gt;"",J26&lt;&gt;""),VLOOKUP(H26,Tarifa!$BU$6:$BW$110,IF(J26="Hombre",2,3),0),0)</f>
        <v>0</v>
      </c>
      <c r="S26" s="264">
        <f>Q26+R26</f>
        <v>0</v>
      </c>
      <c r="U26" s="353">
        <f>IF($J$59=TRUE,IF(AND(H26&lt;&gt;"",J26&lt;&gt;""),VLOOKUP(H26,Tarifa!$BY$6:$CA$106,IF(J26="Hombre",2,3),0),0),0)</f>
        <v>0</v>
      </c>
      <c r="V26" s="265">
        <f>IF($J$59=TRUE,IF(AND(H26&lt;&gt;"",J26&lt;&gt;""),VLOOKUP(H26,Tarifa!$CC$6:$CE$106,IF(J26="Hombre",2,3),0),0),0)</f>
        <v>0</v>
      </c>
      <c r="W26" s="264">
        <f>U26+V26</f>
        <v>0</v>
      </c>
      <c r="X26" s="352"/>
      <c r="AA26" s="242"/>
    </row>
    <row r="27" spans="1:27" ht="16" x14ac:dyDescent="0.45">
      <c r="A27" s="243"/>
      <c r="B27" s="236"/>
      <c r="C27" s="268"/>
      <c r="D27" s="244"/>
      <c r="E27" s="269"/>
      <c r="F27" s="18"/>
      <c r="G27" s="18"/>
      <c r="H27" s="267"/>
      <c r="I27" s="267"/>
      <c r="J27" s="267"/>
      <c r="L27" s="213"/>
      <c r="Q27" s="264"/>
      <c r="R27" s="264"/>
      <c r="S27" s="264"/>
      <c r="U27" s="351"/>
      <c r="X27" s="352"/>
      <c r="AA27" s="242"/>
    </row>
    <row r="28" spans="1:27" ht="16.5" thickBot="1" x14ac:dyDescent="0.5">
      <c r="A28" s="243" t="b">
        <v>0</v>
      </c>
      <c r="B28" s="236"/>
      <c r="C28" s="268" t="s">
        <v>95</v>
      </c>
      <c r="D28" s="262"/>
      <c r="E28" s="219"/>
      <c r="F28" s="18"/>
      <c r="G28" s="18"/>
      <c r="H28" s="220"/>
      <c r="I28" s="267"/>
      <c r="J28" s="221"/>
      <c r="L28" s="358" t="s">
        <v>241</v>
      </c>
      <c r="N28" s="271"/>
      <c r="Q28" s="264">
        <f>IF(AND(H28&lt;&gt;"",J28&lt;&gt;""),VLOOKUP(H28,Tarifa!$CG$6:$CI$110,IF(J28="Hombre",2,3),0),0)</f>
        <v>0</v>
      </c>
      <c r="R28" s="264">
        <f>IF(AND(H28&lt;&gt;"",J28&lt;&gt;""),VLOOKUP(H28,Tarifa!$BU$6:$BW$110,IF(J28="Hombre",2,3),0),0)</f>
        <v>0</v>
      </c>
      <c r="S28" s="264">
        <f>Q28+R28</f>
        <v>0</v>
      </c>
      <c r="U28" s="353">
        <f>IF($J$59=TRUE,IF(AND(H28&lt;&gt;"",J28&lt;&gt;""),VLOOKUP(H28,Tarifa!$BY$6:$CA$106,IF(J28="Hombre",2,3),0),0),0)</f>
        <v>0</v>
      </c>
      <c r="V28" s="265">
        <f>IF($J$59=TRUE,IF(AND(H28&lt;&gt;"",J28&lt;&gt;""),VLOOKUP(H28,Tarifa!$CC$6:$CE$106,IF(J28="Hombre",2,3),0),0),0)</f>
        <v>0</v>
      </c>
      <c r="W28" s="264">
        <f>U28+V28</f>
        <v>0</v>
      </c>
      <c r="X28" s="352"/>
      <c r="AA28" s="242"/>
    </row>
    <row r="29" spans="1:27" ht="16" x14ac:dyDescent="0.45">
      <c r="A29" s="243"/>
      <c r="B29" s="236"/>
      <c r="C29" s="268"/>
      <c r="D29" s="262"/>
      <c r="E29" s="333"/>
      <c r="F29" s="18"/>
      <c r="G29" s="18"/>
      <c r="H29" s="334"/>
      <c r="I29" s="267"/>
      <c r="J29" s="335"/>
      <c r="L29" s="213"/>
      <c r="N29" s="271"/>
      <c r="Q29" s="264"/>
      <c r="R29" s="264"/>
      <c r="S29" s="264"/>
      <c r="U29" s="351"/>
      <c r="X29" s="352"/>
      <c r="AA29" s="242"/>
    </row>
    <row r="30" spans="1:27" ht="16.5" thickBot="1" x14ac:dyDescent="0.5">
      <c r="A30" s="243"/>
      <c r="B30" s="236"/>
      <c r="C30" s="268" t="s">
        <v>292</v>
      </c>
      <c r="D30" s="262"/>
      <c r="E30" s="219"/>
      <c r="F30" s="18"/>
      <c r="G30" s="18"/>
      <c r="H30" s="220"/>
      <c r="I30" s="267"/>
      <c r="J30" s="221"/>
      <c r="L30" s="358" t="s">
        <v>241</v>
      </c>
      <c r="N30" s="271"/>
      <c r="Q30" s="264">
        <f>IF(AND(H30&lt;&gt;"",J30&lt;&gt;""),VLOOKUP(H30,Tarifa!$CG$6:$CI$110,IF(J30="Hombre",2,3),0),0)</f>
        <v>0</v>
      </c>
      <c r="R30" s="264">
        <f>IF(AND(H30&lt;&gt;"",J30&lt;&gt;""),VLOOKUP(H30,Tarifa!$BU$6:$BW$110,IF(J30="Hombre",2,3),0),0)</f>
        <v>0</v>
      </c>
      <c r="S30" s="264">
        <f>Q30+R30</f>
        <v>0</v>
      </c>
      <c r="U30" s="353">
        <f>IF($J$59=TRUE,IF(AND(H30&lt;&gt;"",J30&lt;&gt;""),VLOOKUP(H30,Tarifa!$BY$6:$CA$106,IF(J30="Hombre",2,3),0),0),0)</f>
        <v>0</v>
      </c>
      <c r="V30" s="265">
        <f>IF($J$59=TRUE,IF(AND(H30&lt;&gt;"",J30&lt;&gt;""),VLOOKUP(H30,Tarifa!$CC$6:$CE$106,IF(J30="Hombre",2,3),0),0),0)</f>
        <v>0</v>
      </c>
      <c r="W30" s="264">
        <f>U30+V30</f>
        <v>0</v>
      </c>
      <c r="X30" s="352"/>
      <c r="AA30" s="242"/>
    </row>
    <row r="31" spans="1:27" ht="16" x14ac:dyDescent="0.45">
      <c r="A31" s="243"/>
      <c r="B31" s="236"/>
      <c r="C31" s="268"/>
      <c r="D31" s="262"/>
      <c r="E31" s="333"/>
      <c r="F31" s="18"/>
      <c r="G31" s="18"/>
      <c r="H31" s="334"/>
      <c r="I31" s="267"/>
      <c r="J31" s="335"/>
      <c r="L31" s="213"/>
      <c r="N31" s="271"/>
      <c r="Q31" s="264"/>
      <c r="R31" s="264"/>
      <c r="S31" s="264"/>
      <c r="U31" s="351"/>
      <c r="W31" s="265"/>
      <c r="X31" s="352"/>
      <c r="AA31" s="242"/>
    </row>
    <row r="32" spans="1:27" ht="16.5" thickBot="1" x14ac:dyDescent="0.5">
      <c r="A32" s="243"/>
      <c r="B32" s="236"/>
      <c r="C32" s="268" t="s">
        <v>293</v>
      </c>
      <c r="D32" s="262"/>
      <c r="E32" s="219"/>
      <c r="F32" s="18"/>
      <c r="G32" s="18"/>
      <c r="H32" s="220"/>
      <c r="I32" s="267"/>
      <c r="J32" s="221"/>
      <c r="L32" s="358" t="s">
        <v>241</v>
      </c>
      <c r="N32" s="271"/>
      <c r="Q32" s="264">
        <f>IF(AND(H32&lt;&gt;"",J32&lt;&gt;""),VLOOKUP(H32,Tarifa!$CG$6:$CI$110,IF(J32="Hombre",2,3),0),0)</f>
        <v>0</v>
      </c>
      <c r="R32" s="264">
        <f>IF(AND(H32&lt;&gt;"",J32&lt;&gt;""),VLOOKUP(H32,Tarifa!$BU$6:$BW$110,IF(J32="Hombre",2,3),0),0)</f>
        <v>0</v>
      </c>
      <c r="S32" s="264">
        <f>Q32+R32</f>
        <v>0</v>
      </c>
      <c r="U32" s="353">
        <f>IF($J$59=TRUE,IF(AND(H32&lt;&gt;"",J32&lt;&gt;""),VLOOKUP(H32,Tarifa!$BY$6:$CA$106,IF(J32="Hombre",2,3),0),0),0)</f>
        <v>0</v>
      </c>
      <c r="V32" s="265">
        <f>IF($J$59=TRUE,IF(AND(H32&lt;&gt;"",J32&lt;&gt;""),VLOOKUP(H32,Tarifa!$CC$6:$CE$106,IF(J32="Hombre",2,3),0),0),0)</f>
        <v>0</v>
      </c>
      <c r="W32" s="264">
        <f>U32+V32</f>
        <v>0</v>
      </c>
      <c r="X32" s="352"/>
      <c r="AA32" s="242"/>
    </row>
    <row r="33" spans="1:27" x14ac:dyDescent="0.35">
      <c r="A33" s="226"/>
      <c r="B33" s="236"/>
      <c r="C33" s="244"/>
      <c r="D33" s="244"/>
      <c r="E33" s="236"/>
      <c r="F33" s="236"/>
      <c r="G33" s="236"/>
      <c r="H33" s="236"/>
      <c r="I33" s="236"/>
      <c r="J33" s="18"/>
      <c r="K33" s="236"/>
      <c r="L33" s="236"/>
      <c r="Q33" s="272"/>
      <c r="R33" s="273"/>
      <c r="S33" s="273"/>
      <c r="U33" s="98"/>
      <c r="V33" s="99"/>
      <c r="W33" s="99"/>
      <c r="X33" s="355"/>
      <c r="AA33" s="227"/>
    </row>
    <row r="34" spans="1:27" x14ac:dyDescent="0.35">
      <c r="A34" s="226"/>
      <c r="C34" s="14"/>
      <c r="F34" s="274"/>
      <c r="G34" s="274"/>
      <c r="Y34" s="243" t="b">
        <v>0</v>
      </c>
      <c r="AA34" s="227"/>
    </row>
    <row r="35" spans="1:27" ht="15.75" customHeight="1" x14ac:dyDescent="0.35">
      <c r="A35" s="10"/>
      <c r="B35" s="10"/>
      <c r="C35" s="401"/>
      <c r="D35" s="401"/>
      <c r="E35" s="401"/>
      <c r="F35" s="10"/>
      <c r="G35" s="10"/>
      <c r="H35" s="10"/>
      <c r="I35" s="10"/>
      <c r="J35" s="337"/>
      <c r="K35" s="10"/>
      <c r="L35" s="10"/>
      <c r="Y35" s="243" t="b">
        <v>0</v>
      </c>
      <c r="AA35" s="227"/>
    </row>
    <row r="36" spans="1:27" x14ac:dyDescent="0.35">
      <c r="A36" s="10"/>
      <c r="B36" s="10"/>
      <c r="D36" s="275"/>
      <c r="E36" s="275"/>
      <c r="F36" s="10"/>
      <c r="G36" s="10"/>
      <c r="H36" s="10"/>
      <c r="I36" s="10"/>
      <c r="J36" s="337"/>
      <c r="K36" s="10"/>
      <c r="L36" s="10"/>
      <c r="Y36" s="243" t="b">
        <v>0</v>
      </c>
      <c r="AA36" s="227"/>
    </row>
    <row r="37" spans="1:27" ht="15" customHeight="1" x14ac:dyDescent="0.35">
      <c r="A37" s="10"/>
      <c r="B37" s="10"/>
      <c r="C37" s="403" t="s">
        <v>4</v>
      </c>
      <c r="D37" s="403"/>
      <c r="E37" s="215"/>
      <c r="F37" s="10"/>
      <c r="G37" s="10"/>
      <c r="H37" s="10"/>
      <c r="I37" s="10"/>
      <c r="J37" s="337"/>
      <c r="K37" s="10"/>
      <c r="L37" s="10"/>
      <c r="Y37" s="243" t="b">
        <v>0</v>
      </c>
      <c r="AA37" s="227"/>
    </row>
    <row r="38" spans="1:27" ht="17" x14ac:dyDescent="0.35">
      <c r="A38" s="10"/>
      <c r="B38" s="10"/>
      <c r="C38" s="403" t="s">
        <v>5</v>
      </c>
      <c r="D38" s="403"/>
      <c r="E38" s="215"/>
      <c r="F38" s="10"/>
      <c r="G38" s="10"/>
      <c r="H38" s="10"/>
      <c r="I38" s="10"/>
      <c r="J38" s="337"/>
      <c r="K38" s="10"/>
      <c r="L38" s="10"/>
      <c r="Y38" s="243" t="b">
        <v>1</v>
      </c>
      <c r="AA38" s="227"/>
    </row>
    <row r="39" spans="1:27" ht="17" x14ac:dyDescent="0.35">
      <c r="A39" s="10"/>
      <c r="B39" s="10"/>
      <c r="C39" s="403" t="s">
        <v>6</v>
      </c>
      <c r="D39" s="403"/>
      <c r="E39" s="216"/>
      <c r="F39" s="10"/>
      <c r="G39" s="10"/>
      <c r="H39" s="10"/>
      <c r="I39" s="10"/>
      <c r="J39" s="337"/>
      <c r="K39" s="10"/>
      <c r="L39" s="10"/>
      <c r="Y39" s="243"/>
      <c r="AA39" s="227"/>
    </row>
    <row r="40" spans="1:27" ht="17" x14ac:dyDescent="0.35">
      <c r="A40" s="10"/>
      <c r="B40" s="10"/>
      <c r="C40" s="403" t="s">
        <v>7</v>
      </c>
      <c r="D40" s="403"/>
      <c r="E40" s="216"/>
      <c r="F40" s="10"/>
      <c r="G40" s="10"/>
      <c r="H40" s="10"/>
      <c r="I40" s="10"/>
      <c r="J40" s="337"/>
      <c r="K40" s="10"/>
      <c r="L40" s="10"/>
      <c r="Y40" s="243"/>
      <c r="AA40" s="227"/>
    </row>
    <row r="41" spans="1:27" ht="17" x14ac:dyDescent="0.35">
      <c r="C41" s="403" t="s">
        <v>8</v>
      </c>
      <c r="D41" s="403"/>
      <c r="E41" s="217"/>
      <c r="F41" s="10"/>
      <c r="G41" s="10"/>
      <c r="Y41" s="243" t="b">
        <v>0</v>
      </c>
      <c r="AA41" s="227"/>
    </row>
    <row r="42" spans="1:27" x14ac:dyDescent="0.35">
      <c r="C42" s="9"/>
      <c r="Y42" s="243"/>
      <c r="AA42" s="227"/>
    </row>
    <row r="43" spans="1:27" x14ac:dyDescent="0.35">
      <c r="C43" s="401"/>
      <c r="D43" s="401"/>
      <c r="E43" s="401"/>
      <c r="L43" s="276"/>
      <c r="Y43" s="243"/>
      <c r="AA43" s="227"/>
    </row>
    <row r="44" spans="1:27" ht="18.5" x14ac:dyDescent="0.45">
      <c r="F44" s="277"/>
      <c r="G44" s="277"/>
      <c r="H44" s="10"/>
      <c r="Y44" s="243"/>
      <c r="AA44" s="227"/>
    </row>
    <row r="45" spans="1:27" ht="19.5" customHeight="1" x14ac:dyDescent="0.35">
      <c r="C45" s="278"/>
      <c r="D45" s="279"/>
      <c r="E45" s="279"/>
      <c r="F45" s="279"/>
      <c r="G45" s="279"/>
      <c r="H45" s="278"/>
      <c r="I45" s="223"/>
      <c r="J45" s="356" t="b">
        <v>0</v>
      </c>
      <c r="K45" s="12" t="s">
        <v>182</v>
      </c>
      <c r="L45" s="226"/>
      <c r="Y45" s="243"/>
      <c r="AA45" s="227"/>
    </row>
    <row r="46" spans="1:27" ht="19.5" customHeight="1" x14ac:dyDescent="0.35">
      <c r="C46" s="278"/>
      <c r="D46" s="278"/>
      <c r="E46" s="278"/>
      <c r="F46" s="278"/>
      <c r="G46" s="278"/>
      <c r="H46" s="278"/>
      <c r="I46" s="223"/>
      <c r="J46" s="356" t="b">
        <v>0</v>
      </c>
      <c r="K46" s="12" t="s">
        <v>50</v>
      </c>
      <c r="L46" s="226"/>
      <c r="AA46" s="227"/>
    </row>
    <row r="47" spans="1:27" ht="19.5" customHeight="1" x14ac:dyDescent="0.35">
      <c r="C47" s="278"/>
      <c r="D47" s="278"/>
      <c r="E47" s="278"/>
      <c r="F47" s="278"/>
      <c r="G47" s="278"/>
      <c r="H47" s="280"/>
      <c r="I47" s="223"/>
      <c r="J47" s="356" t="b">
        <v>0</v>
      </c>
      <c r="K47" s="362" t="s">
        <v>183</v>
      </c>
      <c r="L47" s="226"/>
      <c r="AA47" s="227"/>
    </row>
    <row r="48" spans="1:27" ht="19.5" customHeight="1" x14ac:dyDescent="0.35">
      <c r="C48" s="278"/>
      <c r="D48" s="278"/>
      <c r="E48" s="278"/>
      <c r="F48" s="278"/>
      <c r="G48" s="278"/>
      <c r="H48" s="278"/>
      <c r="I48" s="223"/>
      <c r="J48" s="356" t="b">
        <v>0</v>
      </c>
      <c r="K48" s="362" t="s">
        <v>184</v>
      </c>
      <c r="L48" s="226"/>
      <c r="M48" s="274"/>
      <c r="AA48" s="227"/>
    </row>
    <row r="49" spans="2:27" ht="19.5" customHeight="1" x14ac:dyDescent="0.35">
      <c r="C49" s="278"/>
      <c r="D49" s="278"/>
      <c r="E49" s="278"/>
      <c r="F49" s="281"/>
      <c r="G49" s="281"/>
      <c r="H49" s="278"/>
      <c r="I49" s="223"/>
      <c r="J49" s="356" t="b">
        <v>0</v>
      </c>
      <c r="K49" s="362" t="s">
        <v>51</v>
      </c>
      <c r="L49" s="226"/>
      <c r="AA49" s="227"/>
    </row>
    <row r="50" spans="2:27" ht="19.5" customHeight="1" x14ac:dyDescent="0.35">
      <c r="C50" s="278"/>
      <c r="D50" s="278"/>
      <c r="E50" s="278" t="s">
        <v>246</v>
      </c>
      <c r="F50" s="278"/>
      <c r="G50" s="282"/>
      <c r="H50" s="212"/>
      <c r="I50" s="223"/>
      <c r="J50" s="356" t="b">
        <v>0</v>
      </c>
      <c r="K50" s="363" t="str">
        <f>CONCATENATE("Maternidad Plus (No aplica para hombres) - ",TEXT(H50,"0,000"))</f>
        <v>Maternidad Plus (No aplica para hombres) - 0,000</v>
      </c>
      <c r="L50" s="226"/>
      <c r="AA50" s="227"/>
    </row>
    <row r="51" spans="2:27" ht="19.5" customHeight="1" x14ac:dyDescent="0.35">
      <c r="C51" s="278"/>
      <c r="D51" s="278"/>
      <c r="E51" s="278"/>
      <c r="F51" s="278"/>
      <c r="G51" s="278"/>
      <c r="H51" s="278"/>
      <c r="I51" s="223"/>
      <c r="J51" s="356" t="b">
        <v>0</v>
      </c>
      <c r="K51" s="362" t="s">
        <v>190</v>
      </c>
      <c r="L51" s="226"/>
      <c r="N51" s="9"/>
      <c r="AA51" s="227"/>
    </row>
    <row r="52" spans="2:27" ht="19.5" customHeight="1" x14ac:dyDescent="0.35">
      <c r="C52" s="278"/>
      <c r="D52" s="278"/>
      <c r="E52" s="278"/>
      <c r="F52" s="278"/>
      <c r="G52" s="278"/>
      <c r="H52" s="278"/>
      <c r="I52" s="223"/>
      <c r="J52" s="357" t="b">
        <v>0</v>
      </c>
      <c r="K52" s="362" t="s">
        <v>187</v>
      </c>
      <c r="L52" s="226"/>
      <c r="M52" s="283"/>
      <c r="N52" s="9"/>
      <c r="AA52" s="227"/>
    </row>
    <row r="53" spans="2:27" ht="19.5" customHeight="1" x14ac:dyDescent="0.35">
      <c r="C53" s="278"/>
      <c r="D53" s="278"/>
      <c r="E53" s="278"/>
      <c r="F53" s="278"/>
      <c r="G53" s="278"/>
      <c r="H53" s="278"/>
      <c r="I53" s="223"/>
      <c r="J53" s="356" t="b">
        <v>0</v>
      </c>
      <c r="K53" s="362" t="s">
        <v>186</v>
      </c>
      <c r="L53" s="226"/>
      <c r="AA53" s="227"/>
    </row>
    <row r="54" spans="2:27" ht="19.5" customHeight="1" x14ac:dyDescent="0.35">
      <c r="C54" s="278"/>
      <c r="D54" s="278"/>
      <c r="E54" s="278"/>
      <c r="F54" s="278"/>
      <c r="G54" s="278"/>
      <c r="H54" s="278"/>
      <c r="I54" s="223"/>
      <c r="J54" s="357" t="b">
        <v>0</v>
      </c>
      <c r="K54" s="362" t="s">
        <v>188</v>
      </c>
      <c r="L54" s="226"/>
      <c r="M54" s="284"/>
      <c r="N54" s="283"/>
      <c r="AA54" s="227"/>
    </row>
    <row r="55" spans="2:27" ht="19.5" customHeight="1" x14ac:dyDescent="0.35">
      <c r="C55" s="278"/>
      <c r="D55" s="278"/>
      <c r="E55" s="278"/>
      <c r="F55" s="278"/>
      <c r="G55" s="278"/>
      <c r="H55" s="278"/>
      <c r="I55" s="224"/>
      <c r="J55" s="356" t="b">
        <v>0</v>
      </c>
      <c r="K55" s="362" t="s">
        <v>189</v>
      </c>
      <c r="L55" s="226"/>
      <c r="M55" s="285"/>
      <c r="N55" s="283"/>
      <c r="AA55" s="227"/>
    </row>
    <row r="56" spans="2:27" ht="19.5" customHeight="1" x14ac:dyDescent="0.35">
      <c r="C56" s="278"/>
      <c r="D56" s="278"/>
      <c r="E56" s="278"/>
      <c r="F56" s="278"/>
      <c r="G56" s="278"/>
      <c r="H56" s="278"/>
      <c r="I56" s="224"/>
      <c r="J56" s="356" t="b">
        <v>0</v>
      </c>
      <c r="K56" s="362" t="s">
        <v>185</v>
      </c>
      <c r="L56" s="226"/>
      <c r="M56" s="284"/>
      <c r="N56" s="283"/>
      <c r="AA56" s="227"/>
    </row>
    <row r="57" spans="2:27" ht="19.5" customHeight="1" x14ac:dyDescent="0.35">
      <c r="C57" s="278"/>
      <c r="D57" s="278"/>
      <c r="E57" s="278"/>
      <c r="F57" s="278"/>
      <c r="G57" s="278"/>
      <c r="H57" s="278"/>
      <c r="I57" s="224"/>
      <c r="J57" s="356" t="b">
        <v>0</v>
      </c>
      <c r="K57" s="362" t="s">
        <v>192</v>
      </c>
      <c r="L57" s="226"/>
      <c r="M57" s="285"/>
      <c r="N57" s="9"/>
      <c r="AA57" s="227"/>
    </row>
    <row r="58" spans="2:27" ht="19.5" customHeight="1" x14ac:dyDescent="0.35">
      <c r="C58" s="278"/>
      <c r="D58" s="278"/>
      <c r="E58" s="278"/>
      <c r="F58" s="278"/>
      <c r="G58" s="278"/>
      <c r="H58" s="278"/>
      <c r="I58" s="224"/>
      <c r="J58" s="356" t="b">
        <v>0</v>
      </c>
      <c r="K58" s="362" t="s">
        <v>191</v>
      </c>
      <c r="L58" s="226"/>
      <c r="M58" s="285"/>
      <c r="N58" s="9"/>
      <c r="AA58" s="227"/>
    </row>
    <row r="59" spans="2:27" ht="19.5" customHeight="1" x14ac:dyDescent="0.35">
      <c r="C59" s="278"/>
      <c r="D59" s="278"/>
      <c r="E59" s="278"/>
      <c r="F59" s="278"/>
      <c r="G59" s="278"/>
      <c r="H59" s="212"/>
      <c r="I59" s="224"/>
      <c r="J59" s="356" t="b">
        <v>0</v>
      </c>
      <c r="K59" s="363" t="str">
        <f>CONCATENATE("Xtensuz Bx+ - ",TEXT(H59,"0,000"))</f>
        <v>Xtensuz Bx+ - 0,000</v>
      </c>
      <c r="L59" s="226"/>
      <c r="M59" s="285"/>
      <c r="N59" s="9"/>
      <c r="AA59" s="227"/>
    </row>
    <row r="60" spans="2:27" ht="5.25" customHeight="1" x14ac:dyDescent="0.35">
      <c r="C60" s="278"/>
      <c r="D60" s="278"/>
      <c r="E60" s="278"/>
      <c r="F60" s="278"/>
      <c r="G60" s="278"/>
      <c r="H60" s="278"/>
      <c r="I60" s="224"/>
      <c r="J60" s="12"/>
      <c r="K60" s="12"/>
      <c r="L60" s="226"/>
      <c r="M60" s="284"/>
      <c r="N60" s="283"/>
      <c r="AA60" s="227"/>
    </row>
    <row r="61" spans="2:27" ht="19.5" customHeight="1" x14ac:dyDescent="0.35">
      <c r="B61" s="286"/>
      <c r="C61" s="287"/>
      <c r="D61" s="287"/>
      <c r="E61" s="287"/>
      <c r="F61" s="287"/>
      <c r="G61" s="287"/>
      <c r="H61" s="287"/>
      <c r="I61" s="288"/>
      <c r="J61" s="340"/>
      <c r="K61" s="16"/>
      <c r="L61" s="16"/>
      <c r="M61" s="285"/>
      <c r="N61" s="283"/>
      <c r="AA61" s="227"/>
    </row>
    <row r="62" spans="2:27" x14ac:dyDescent="0.35">
      <c r="C62" s="289"/>
      <c r="D62" s="289"/>
      <c r="E62" s="289"/>
      <c r="F62" s="289"/>
      <c r="G62" s="289"/>
      <c r="H62" s="289"/>
      <c r="I62" s="290"/>
      <c r="J62" s="341"/>
      <c r="M62" s="284"/>
      <c r="N62" s="283"/>
      <c r="AA62" s="227"/>
    </row>
    <row r="63" spans="2:27" x14ac:dyDescent="0.35">
      <c r="C63" s="402" t="s">
        <v>96</v>
      </c>
      <c r="D63" s="402"/>
      <c r="E63" s="222"/>
      <c r="F63" s="289"/>
      <c r="G63" s="289"/>
      <c r="H63" s="289"/>
      <c r="I63" s="290"/>
      <c r="J63" s="342"/>
      <c r="M63" s="292"/>
      <c r="N63" s="283"/>
      <c r="AA63" s="227"/>
    </row>
    <row r="64" spans="2:27" x14ac:dyDescent="0.35">
      <c r="C64" s="290"/>
      <c r="D64" s="290"/>
      <c r="E64" s="290"/>
      <c r="F64" s="290"/>
      <c r="G64" s="290"/>
      <c r="H64" s="290"/>
      <c r="I64" s="293"/>
      <c r="J64" s="341"/>
      <c r="M64" s="284"/>
      <c r="N64" s="283"/>
      <c r="AA64" s="227"/>
    </row>
    <row r="65" spans="2:27" x14ac:dyDescent="0.35">
      <c r="D65" s="294"/>
      <c r="E65" s="290"/>
      <c r="F65" s="290"/>
      <c r="G65" s="290"/>
      <c r="H65" s="295"/>
      <c r="I65" s="296"/>
      <c r="J65" s="343"/>
      <c r="K65" s="290"/>
      <c r="L65" s="291"/>
      <c r="M65" s="292"/>
      <c r="N65" s="283"/>
      <c r="AA65" s="227"/>
    </row>
    <row r="66" spans="2:27" x14ac:dyDescent="0.35">
      <c r="B66" s="297" t="s">
        <v>301</v>
      </c>
      <c r="C66" s="297"/>
      <c r="D66" s="297"/>
      <c r="E66" s="297"/>
      <c r="F66" s="297"/>
      <c r="G66" s="298"/>
      <c r="H66" s="297"/>
      <c r="I66" s="297"/>
      <c r="J66" s="344"/>
      <c r="K66" s="297"/>
      <c r="L66" s="297"/>
      <c r="M66" s="297"/>
      <c r="N66" s="297"/>
      <c r="O66" s="297"/>
      <c r="AA66" s="227"/>
    </row>
    <row r="67" spans="2:27" ht="16.5" hidden="1" x14ac:dyDescent="0.35">
      <c r="C67" s="299"/>
      <c r="E67" s="300"/>
      <c r="F67" s="300"/>
      <c r="G67" s="300"/>
      <c r="H67" s="300"/>
      <c r="I67" s="300"/>
      <c r="J67" s="345"/>
      <c r="K67" s="301"/>
      <c r="L67" s="302"/>
      <c r="AA67" s="227"/>
    </row>
    <row r="68" spans="2:27" hidden="1" x14ac:dyDescent="0.35">
      <c r="D68" s="290"/>
      <c r="E68" s="290"/>
      <c r="F68" s="290"/>
      <c r="G68" s="290"/>
      <c r="H68" s="290"/>
      <c r="I68" s="290"/>
      <c r="J68" s="346"/>
      <c r="K68" s="290"/>
      <c r="L68" s="302"/>
      <c r="AA68" s="227"/>
    </row>
    <row r="69" spans="2:27" hidden="1" x14ac:dyDescent="0.35">
      <c r="C69" s="304"/>
      <c r="E69" s="305"/>
      <c r="F69" s="303"/>
      <c r="G69" s="303"/>
      <c r="H69" s="306"/>
      <c r="I69" s="303"/>
      <c r="J69" s="346"/>
      <c r="K69" s="307"/>
      <c r="L69" s="308"/>
      <c r="AA69" s="227"/>
    </row>
    <row r="70" spans="2:27" hidden="1" x14ac:dyDescent="0.35">
      <c r="D70" s="303"/>
      <c r="E70" s="303"/>
      <c r="F70" s="303"/>
      <c r="G70" s="303"/>
      <c r="H70" s="303"/>
      <c r="I70" s="303"/>
      <c r="J70" s="346"/>
      <c r="K70" s="303"/>
      <c r="AA70" s="227"/>
    </row>
    <row r="71" spans="2:27" hidden="1" x14ac:dyDescent="0.35">
      <c r="C71" s="304"/>
      <c r="E71" s="305"/>
      <c r="F71" s="303"/>
      <c r="G71" s="303"/>
      <c r="H71" s="303"/>
      <c r="I71" s="303"/>
      <c r="J71" s="346"/>
      <c r="K71" s="307"/>
      <c r="L71" s="309"/>
      <c r="AA71" s="227"/>
    </row>
    <row r="72" spans="2:27" hidden="1" x14ac:dyDescent="0.35">
      <c r="D72" s="303"/>
      <c r="E72" s="303"/>
      <c r="F72" s="303"/>
      <c r="G72" s="303"/>
      <c r="H72" s="303"/>
      <c r="I72" s="303"/>
      <c r="J72" s="346"/>
      <c r="K72" s="303"/>
      <c r="AA72" s="227"/>
    </row>
    <row r="73" spans="2:27" hidden="1" x14ac:dyDescent="0.35">
      <c r="C73" s="304"/>
      <c r="E73" s="305"/>
      <c r="F73" s="303"/>
      <c r="G73" s="303"/>
      <c r="H73" s="303"/>
      <c r="I73" s="303"/>
      <c r="J73" s="346"/>
      <c r="K73" s="307"/>
      <c r="AA73" s="227"/>
    </row>
    <row r="74" spans="2:27" hidden="1" x14ac:dyDescent="0.35">
      <c r="C74" s="304"/>
      <c r="E74" s="305"/>
      <c r="F74" s="303"/>
      <c r="G74" s="303"/>
      <c r="H74" s="303"/>
      <c r="I74" s="303"/>
      <c r="J74" s="346"/>
      <c r="K74" s="307"/>
      <c r="AA74" s="227"/>
    </row>
    <row r="75" spans="2:27" hidden="1" x14ac:dyDescent="0.35">
      <c r="C75" s="304"/>
      <c r="E75" s="305"/>
      <c r="F75" s="303"/>
      <c r="G75" s="303"/>
      <c r="H75" s="303"/>
      <c r="I75" s="303"/>
      <c r="J75" s="346"/>
      <c r="K75" s="307"/>
      <c r="AA75" s="227"/>
    </row>
    <row r="76" spans="2:27" hidden="1" x14ac:dyDescent="0.35">
      <c r="C76" s="304"/>
      <c r="E76" s="305"/>
      <c r="F76" s="303"/>
      <c r="G76" s="303"/>
      <c r="H76" s="303"/>
      <c r="I76" s="303"/>
      <c r="J76" s="346"/>
      <c r="K76" s="307"/>
      <c r="AA76" s="227"/>
    </row>
    <row r="77" spans="2:27" hidden="1" x14ac:dyDescent="0.35">
      <c r="C77" s="304"/>
      <c r="E77" s="305"/>
      <c r="F77" s="303"/>
      <c r="G77" s="303"/>
      <c r="H77" s="303"/>
      <c r="I77" s="303"/>
      <c r="J77" s="346"/>
      <c r="K77" s="307"/>
      <c r="AA77" s="227"/>
    </row>
    <row r="78" spans="2:27" hidden="1" x14ac:dyDescent="0.35">
      <c r="C78" s="304"/>
      <c r="E78" s="305"/>
      <c r="F78" s="303"/>
      <c r="G78" s="303"/>
      <c r="H78" s="303"/>
      <c r="I78" s="303"/>
      <c r="J78" s="346"/>
      <c r="K78" s="307"/>
      <c r="AA78" s="227"/>
    </row>
    <row r="79" spans="2:27" hidden="1" x14ac:dyDescent="0.35">
      <c r="C79" s="304"/>
      <c r="E79" s="305"/>
      <c r="F79" s="303"/>
      <c r="G79" s="303"/>
      <c r="H79" s="303"/>
      <c r="I79" s="303"/>
      <c r="J79" s="346"/>
      <c r="K79" s="307"/>
      <c r="AA79" s="227"/>
    </row>
    <row r="80" spans="2:27" hidden="1" x14ac:dyDescent="0.35">
      <c r="C80" s="304"/>
      <c r="E80" s="305"/>
      <c r="F80" s="303"/>
      <c r="G80" s="303"/>
      <c r="H80" s="303"/>
      <c r="I80" s="303"/>
      <c r="J80" s="346"/>
      <c r="K80" s="307"/>
      <c r="AA80" s="227"/>
    </row>
    <row r="81" spans="3:27" hidden="1" x14ac:dyDescent="0.35">
      <c r="D81" s="303"/>
      <c r="E81" s="303"/>
      <c r="F81" s="303"/>
      <c r="G81" s="303"/>
      <c r="H81" s="303"/>
      <c r="I81" s="303"/>
      <c r="J81" s="346"/>
      <c r="K81" s="303"/>
      <c r="AA81" s="227"/>
    </row>
    <row r="82" spans="3:27" hidden="1" x14ac:dyDescent="0.35">
      <c r="C82" s="304"/>
      <c r="E82" s="305"/>
      <c r="F82" s="303"/>
      <c r="G82" s="303"/>
      <c r="H82" s="303"/>
      <c r="I82" s="303"/>
      <c r="J82" s="346"/>
      <c r="K82" s="307"/>
      <c r="AA82" s="227"/>
    </row>
    <row r="83" spans="3:27" hidden="1" x14ac:dyDescent="0.35">
      <c r="D83" s="303"/>
      <c r="E83" s="303"/>
      <c r="F83" s="303"/>
      <c r="G83" s="303"/>
      <c r="H83" s="303"/>
      <c r="I83" s="303"/>
      <c r="J83" s="346"/>
      <c r="K83" s="303"/>
      <c r="AA83" s="227"/>
    </row>
    <row r="84" spans="3:27" hidden="1" x14ac:dyDescent="0.35">
      <c r="C84" s="304"/>
      <c r="E84" s="305"/>
      <c r="F84" s="303"/>
      <c r="G84" s="303"/>
      <c r="H84" s="303"/>
      <c r="I84" s="303"/>
      <c r="J84" s="346"/>
      <c r="K84" s="307"/>
      <c r="AA84" s="227"/>
    </row>
    <row r="85" spans="3:27" hidden="1" x14ac:dyDescent="0.35">
      <c r="D85" s="303"/>
      <c r="E85" s="303"/>
      <c r="F85" s="303"/>
      <c r="G85" s="303"/>
      <c r="H85" s="303"/>
      <c r="I85" s="303"/>
      <c r="J85" s="346"/>
      <c r="K85" s="303"/>
      <c r="AA85" s="227"/>
    </row>
    <row r="86" spans="3:27" hidden="1" x14ac:dyDescent="0.35">
      <c r="C86" s="304"/>
      <c r="E86" s="305"/>
      <c r="F86" s="303"/>
      <c r="G86" s="303"/>
      <c r="H86" s="303"/>
      <c r="I86" s="303"/>
      <c r="J86" s="346"/>
      <c r="K86" s="307"/>
      <c r="AA86" s="227"/>
    </row>
    <row r="87" spans="3:27" hidden="1" x14ac:dyDescent="0.35">
      <c r="D87" s="310"/>
      <c r="E87" s="310"/>
      <c r="F87" s="310"/>
      <c r="G87" s="310"/>
      <c r="H87" s="310"/>
      <c r="I87" s="310"/>
      <c r="J87" s="347"/>
      <c r="K87" s="310"/>
      <c r="AA87" s="227"/>
    </row>
    <row r="88" spans="3:27" ht="15.5" hidden="1" x14ac:dyDescent="0.35">
      <c r="F88" s="311"/>
      <c r="G88" s="311"/>
      <c r="I88" s="312"/>
      <c r="J88" s="348"/>
      <c r="K88" s="313"/>
      <c r="AA88" s="227"/>
    </row>
    <row r="89" spans="3:27" ht="15.5" hidden="1" x14ac:dyDescent="0.35">
      <c r="F89" s="311"/>
      <c r="G89" s="311"/>
      <c r="I89" s="312"/>
      <c r="J89" s="348"/>
      <c r="K89" s="313"/>
      <c r="AA89" s="227"/>
    </row>
    <row r="90" spans="3:27" ht="15.5" hidden="1" x14ac:dyDescent="0.35">
      <c r="C90" s="314"/>
      <c r="F90" s="312"/>
      <c r="G90" s="312"/>
      <c r="I90" s="312"/>
      <c r="J90" s="348"/>
      <c r="K90" s="315"/>
      <c r="AA90" s="227"/>
    </row>
    <row r="91" spans="3:27" ht="15.5" hidden="1" x14ac:dyDescent="0.35">
      <c r="F91" s="311"/>
      <c r="G91" s="311"/>
      <c r="I91" s="312"/>
      <c r="J91" s="348"/>
      <c r="K91" s="313"/>
      <c r="AA91" s="227"/>
    </row>
    <row r="92" spans="3:27" hidden="1" x14ac:dyDescent="0.35">
      <c r="AA92" s="227"/>
    </row>
    <row r="93" spans="3:27" hidden="1" x14ac:dyDescent="0.35">
      <c r="AA93" s="227"/>
    </row>
    <row r="94" spans="3:27" hidden="1" x14ac:dyDescent="0.35">
      <c r="AA94" s="227"/>
    </row>
    <row r="95" spans="3:27" hidden="1" x14ac:dyDescent="0.35">
      <c r="AA95" s="227"/>
    </row>
    <row r="96" spans="3:27" hidden="1" x14ac:dyDescent="0.35">
      <c r="AA96" s="227"/>
    </row>
    <row r="97" spans="6:27" hidden="1" x14ac:dyDescent="0.35">
      <c r="AA97" s="227"/>
    </row>
    <row r="98" spans="6:27" hidden="1" x14ac:dyDescent="0.35">
      <c r="AA98" s="227"/>
    </row>
    <row r="99" spans="6:27" hidden="1" x14ac:dyDescent="0.35">
      <c r="F99" s="316"/>
      <c r="G99" s="316"/>
      <c r="AA99" s="227"/>
    </row>
    <row r="100" spans="6:27" hidden="1" x14ac:dyDescent="0.35">
      <c r="AA100" s="227"/>
    </row>
    <row r="101" spans="6:27" hidden="1" x14ac:dyDescent="0.35">
      <c r="AA101" s="227"/>
    </row>
    <row r="102" spans="6:27" hidden="1" x14ac:dyDescent="0.35">
      <c r="AA102" s="227"/>
    </row>
    <row r="103" spans="6:27" ht="16.5" hidden="1" customHeight="1" x14ac:dyDescent="0.35">
      <c r="AA103" s="227"/>
    </row>
    <row r="104" spans="6:27" hidden="1" x14ac:dyDescent="0.35">
      <c r="AA104" s="227"/>
    </row>
    <row r="105" spans="6:27" hidden="1" x14ac:dyDescent="0.35">
      <c r="AA105" s="227"/>
    </row>
    <row r="106" spans="6:27" hidden="1" x14ac:dyDescent="0.35">
      <c r="AA106" s="227"/>
    </row>
    <row r="107" spans="6:27" hidden="1" x14ac:dyDescent="0.35">
      <c r="AA107" s="227"/>
    </row>
    <row r="108" spans="6:27" hidden="1" x14ac:dyDescent="0.35">
      <c r="AA108" s="227"/>
    </row>
    <row r="109" spans="6:27" hidden="1" x14ac:dyDescent="0.35">
      <c r="AA109" s="227"/>
    </row>
    <row r="110" spans="6:27" hidden="1" x14ac:dyDescent="0.35">
      <c r="AA110" s="227"/>
    </row>
    <row r="111" spans="6:27" hidden="1" x14ac:dyDescent="0.35">
      <c r="AA111" s="227"/>
    </row>
    <row r="112" spans="6:27" hidden="1" x14ac:dyDescent="0.35">
      <c r="AA112" s="227"/>
    </row>
    <row r="113" spans="27:27" hidden="1" x14ac:dyDescent="0.35">
      <c r="AA113" s="227"/>
    </row>
    <row r="114" spans="27:27" hidden="1" x14ac:dyDescent="0.35">
      <c r="AA114" s="227"/>
    </row>
    <row r="115" spans="27:27" hidden="1" x14ac:dyDescent="0.35">
      <c r="AA115" s="227"/>
    </row>
    <row r="116" spans="27:27" hidden="1" x14ac:dyDescent="0.35">
      <c r="AA116" s="227"/>
    </row>
    <row r="117" spans="27:27" hidden="1" x14ac:dyDescent="0.35">
      <c r="AA117" s="227"/>
    </row>
    <row r="118" spans="27:27" hidden="1" x14ac:dyDescent="0.35">
      <c r="AA118" s="227"/>
    </row>
    <row r="119" spans="27:27" hidden="1" x14ac:dyDescent="0.35">
      <c r="AA119" s="227"/>
    </row>
    <row r="120" spans="27:27" hidden="1" x14ac:dyDescent="0.35">
      <c r="AA120" s="227"/>
    </row>
    <row r="121" spans="27:27" hidden="1" x14ac:dyDescent="0.35">
      <c r="AA121" s="227"/>
    </row>
    <row r="122" spans="27:27" hidden="1" x14ac:dyDescent="0.35">
      <c r="AA122" s="227"/>
    </row>
    <row r="123" spans="27:27" hidden="1" x14ac:dyDescent="0.35">
      <c r="AA123" s="227"/>
    </row>
    <row r="124" spans="27:27" hidden="1" x14ac:dyDescent="0.35">
      <c r="AA124" s="227"/>
    </row>
    <row r="125" spans="27:27" hidden="1" x14ac:dyDescent="0.35">
      <c r="AA125" s="227"/>
    </row>
    <row r="126" spans="27:27" hidden="1" x14ac:dyDescent="0.35">
      <c r="AA126" s="227"/>
    </row>
    <row r="127" spans="27:27" hidden="1" x14ac:dyDescent="0.35">
      <c r="AA127" s="227"/>
    </row>
    <row r="128" spans="27:27" hidden="1" x14ac:dyDescent="0.35">
      <c r="AA128" s="227"/>
    </row>
    <row r="129" spans="27:27" hidden="1" x14ac:dyDescent="0.35">
      <c r="AA129" s="227"/>
    </row>
    <row r="130" spans="27:27" hidden="1" x14ac:dyDescent="0.35">
      <c r="AA130" s="227"/>
    </row>
    <row r="131" spans="27:27" hidden="1" x14ac:dyDescent="0.35">
      <c r="AA131" s="227"/>
    </row>
  </sheetData>
  <sheetProtection algorithmName="SHA-512" hashValue="xZdM8If1JailEyxze5EwqdCh4pnEIJs94i2EC3sqhg7TgwQzW/3ywQ4MR9GVvStrb8Jx7Nd1b8IoHnoumIDaDw==" saltValue="UKU/ezdYjNdEsyPaSK8t9g==" spinCount="100000" sheet="1" objects="1" scenarios="1" selectLockedCells="1"/>
  <dataConsolidate/>
  <mergeCells count="20">
    <mergeCell ref="E9:J9"/>
    <mergeCell ref="E12:J12"/>
    <mergeCell ref="C38:D38"/>
    <mergeCell ref="B2:N2"/>
    <mergeCell ref="B3:N3"/>
    <mergeCell ref="C35:E35"/>
    <mergeCell ref="C37:D37"/>
    <mergeCell ref="B8:E8"/>
    <mergeCell ref="F8:I8"/>
    <mergeCell ref="J8:M8"/>
    <mergeCell ref="B11:E11"/>
    <mergeCell ref="F11:I11"/>
    <mergeCell ref="J11:M11"/>
    <mergeCell ref="L12:L14"/>
    <mergeCell ref="U15:X15"/>
    <mergeCell ref="C43:E43"/>
    <mergeCell ref="C63:D63"/>
    <mergeCell ref="C39:D39"/>
    <mergeCell ref="C40:D40"/>
    <mergeCell ref="C41:D41"/>
  </mergeCells>
  <conditionalFormatting sqref="K69 K71 K73:K80 K82 K84 K86 M60 M56 M54 J63 L65 M64 M62">
    <cfRule type="cellIs" dxfId="8" priority="21" stopIfTrue="1" operator="equal">
      <formula>0</formula>
    </cfRule>
  </conditionalFormatting>
  <conditionalFormatting sqref="H18 H31 H20 H22 H24 H26 H28:H29">
    <cfRule type="expression" dxfId="7" priority="20">
      <formula>$H$12="EDAD"</formula>
    </cfRule>
  </conditionalFormatting>
  <conditionalFormatting sqref="H18 H31 H20 H22 H24 H26 H28:H29">
    <cfRule type="expression" dxfId="6" priority="17">
      <formula>$H$12="FECHA DE NACIMIENTO"</formula>
    </cfRule>
  </conditionalFormatting>
  <conditionalFormatting sqref="H30">
    <cfRule type="expression" dxfId="5" priority="4">
      <formula>$H$12="EDAD"</formula>
    </cfRule>
  </conditionalFormatting>
  <conditionalFormatting sqref="H30">
    <cfRule type="expression" dxfId="4" priority="3">
      <formula>$H$12="FECHA DE NACIMIENTO"</formula>
    </cfRule>
  </conditionalFormatting>
  <conditionalFormatting sqref="H32">
    <cfRule type="expression" dxfId="3" priority="2">
      <formula>$H$12="EDAD"</formula>
    </cfRule>
  </conditionalFormatting>
  <conditionalFormatting sqref="H32">
    <cfRule type="expression" dxfId="2" priority="1">
      <formula>$H$12="FECHA DE NACIMIENTO"</formula>
    </cfRule>
  </conditionalFormatting>
  <dataValidations count="10">
    <dataValidation allowBlank="1" showErrorMessage="1" promptTitle="SUMA ASEGURADA" prompt="Ingrese el monto que desea contratar como Suma Asegurada para esta cobertura" sqref="I64"/>
    <dataValidation allowBlank="1" showInputMessage="1" showErrorMessage="1" sqref="I65:J65"/>
    <dataValidation type="list" allowBlank="1" showInputMessage="1" showErrorMessage="1" sqref="J18 J26 J20 J22 J24 J28:J32">
      <formula1>"Hombre,Mujer"</formula1>
    </dataValidation>
    <dataValidation type="custom" allowBlank="1" showInputMessage="1" showErrorMessage="1" errorTitle="Edad de aceptación." error="La edad máxima de aceptación es 70 años" sqref="H29 H31">
      <formula1>IF(H29&gt;70,FALSE,TRUE)</formula1>
    </dataValidation>
    <dataValidation errorStyle="information" allowBlank="1" showErrorMessage="1" error="Captura el monto" sqref="H47"/>
    <dataValidation type="custom" allowBlank="1" showInputMessage="1" showErrorMessage="1" sqref="J51">
      <formula1>IF(E40&lt;=30000,TRUE,FALSE)</formula1>
    </dataValidation>
    <dataValidation errorStyle="warning" allowBlank="1" showInputMessage="1" showErrorMessage="1" error="EL DEDUCIBLE ES MAYOR_x000a_" sqref="H39"/>
    <dataValidation type="whole" errorStyle="information" allowBlank="1" showInputMessage="1" showErrorMessage="1" error="El deducible debe ser menor" sqref="J39">
      <formula1>1</formula1>
      <formula2>1</formula2>
    </dataValidation>
    <dataValidation type="date" operator="greaterThanOrEqual" showInputMessage="1" showErrorMessage="1" sqref="L22 L18 L24 L20 L26 L28:L32">
      <formula1>1</formula1>
    </dataValidation>
    <dataValidation type="custom" allowBlank="1" showInputMessage="1" showErrorMessage="1" errorTitle="Edad de aceptación. " error="La edad máxima de aceptación para póliza nueva es de 70 años. _x000a_Para póliza de renovación no hay límite de edad." sqref="H18 H20 H22 H24 H26 H28 H30 H32">
      <formula1>IF($Q$12=1,H18&lt;=70,H18&lt;=100)</formula1>
    </dataValidation>
  </dataValidations>
  <printOptions horizontalCentered="1" verticalCentered="1"/>
  <pageMargins left="0" right="0" top="0" bottom="0" header="0" footer="0"/>
  <pageSetup scale="60" orientation="portrait" verticalDpi="200" r:id="rId1"/>
  <ignoredErrors>
    <ignoredError sqref="M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Group Box 1">
              <controlPr defaultSize="0" autoFill="0" autoPict="0">
                <anchor moveWithCells="1">
                  <from>
                    <xdr:col>11</xdr:col>
                    <xdr:colOff>12700</xdr:colOff>
                    <xdr:row>15</xdr:row>
                    <xdr:rowOff>0</xdr:rowOff>
                  </from>
                  <to>
                    <xdr:col>12</xdr:col>
                    <xdr:colOff>260350</xdr:colOff>
                    <xdr:row>15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Group Box 2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Group Box 3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Group Box 4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Group Box 5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Group Box 6">
              <controlPr defaultSize="0" autoFill="0" autoPict="0">
                <anchor moveWithCells="1">
                  <from>
                    <xdr:col>10</xdr:col>
                    <xdr:colOff>31750</xdr:colOff>
                    <xdr:row>36</xdr:row>
                    <xdr:rowOff>0</xdr:rowOff>
                  </from>
                  <to>
                    <xdr:col>12</xdr:col>
                    <xdr:colOff>88900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0" name="Check Box 13">
              <controlPr defaultSize="0" autoFill="0" autoLine="0" autoPict="0" macro="[0]!Maternidad_Plus">
                <anchor moveWithCells="1">
                  <from>
                    <xdr:col>2</xdr:col>
                    <xdr:colOff>0</xdr:colOff>
                    <xdr:row>49</xdr:row>
                    <xdr:rowOff>69850</xdr:rowOff>
                  </from>
                  <to>
                    <xdr:col>4</xdr:col>
                    <xdr:colOff>2222500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1" name="Check Box 14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52</xdr:row>
                    <xdr:rowOff>50800</xdr:rowOff>
                  </from>
                  <to>
                    <xdr:col>5</xdr:col>
                    <xdr:colOff>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2" name="Check Box 15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50</xdr:row>
                    <xdr:rowOff>50800</xdr:rowOff>
                  </from>
                  <to>
                    <xdr:col>4</xdr:col>
                    <xdr:colOff>2889250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3" name="Check Box 16">
              <controlPr defaultSize="0" autoFill="0" autoLine="0" autoPict="0" macro="[0]!Beneficio_VIP">
                <anchor moveWithCells="1">
                  <from>
                    <xdr:col>2</xdr:col>
                    <xdr:colOff>0</xdr:colOff>
                    <xdr:row>51</xdr:row>
                    <xdr:rowOff>57150</xdr:rowOff>
                  </from>
                  <to>
                    <xdr:col>4</xdr:col>
                    <xdr:colOff>2889250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4" name="Check Box 17">
              <controlPr defaultSize="0" autoFill="0" autoLine="0" autoPict="0" macro="[0]!Cob_Int">
                <anchor moveWithCells="1">
                  <from>
                    <xdr:col>2</xdr:col>
                    <xdr:colOff>0</xdr:colOff>
                    <xdr:row>54</xdr:row>
                    <xdr:rowOff>31750</xdr:rowOff>
                  </from>
                  <to>
                    <xdr:col>5</xdr:col>
                    <xdr:colOff>0</xdr:colOff>
                    <xdr:row>54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5" name="Check Box 18">
              <controlPr defaultSize="0" autoFill="0" autoLine="0" autoPict="0" macro="[0]!EnfGrav_Extr">
                <anchor moveWithCells="1">
                  <from>
                    <xdr:col>2</xdr:col>
                    <xdr:colOff>0</xdr:colOff>
                    <xdr:row>53</xdr:row>
                    <xdr:rowOff>38100</xdr:rowOff>
                  </from>
                  <to>
                    <xdr:col>4</xdr:col>
                    <xdr:colOff>2889250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6" name="Check Box 19">
              <controlPr defaultSize="0" autoFill="0" autoLine="0" autoPict="0" macro="[0]!Ampl_Servicios">
                <anchor moveWithCells="1">
                  <from>
                    <xdr:col>2</xdr:col>
                    <xdr:colOff>0</xdr:colOff>
                    <xdr:row>55</xdr:row>
                    <xdr:rowOff>31750</xdr:rowOff>
                  </from>
                  <to>
                    <xdr:col>4</xdr:col>
                    <xdr:colOff>2889250</xdr:colOff>
                    <xdr:row>55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7" name="Check Box 20">
              <controlPr defaultSize="0" autoFill="0" autoLine="0" autoPict="0" macro="[0]!Pad_Preex">
                <anchor moveWithCells="1">
                  <from>
                    <xdr:col>2</xdr:col>
                    <xdr:colOff>0</xdr:colOff>
                    <xdr:row>47</xdr:row>
                    <xdr:rowOff>95250</xdr:rowOff>
                  </from>
                  <to>
                    <xdr:col>5</xdr:col>
                    <xdr:colOff>0</xdr:colOff>
                    <xdr:row>48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8" name="Check Box 2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46</xdr:row>
                    <xdr:rowOff>95250</xdr:rowOff>
                  </from>
                  <to>
                    <xdr:col>4</xdr:col>
                    <xdr:colOff>2876550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9" name="Check Box 22">
              <controlPr defaultSize="0" autoFill="0" autoLine="0" autoPict="0" macro="[0]!Eliminacion_deducible">
                <anchor moveWithCells="1">
                  <from>
                    <xdr:col>2</xdr:col>
                    <xdr:colOff>0</xdr:colOff>
                    <xdr:row>48</xdr:row>
                    <xdr:rowOff>76200</xdr:rowOff>
                  </from>
                  <to>
                    <xdr:col>4</xdr:col>
                    <xdr:colOff>2876550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0" name="Check Box 24">
              <controlPr defaultSize="0" autoFill="0" autoLine="0" autoPict="0" macro="[0]!Ayuda_Hosp">
                <anchor moveWithCells="1">
                  <from>
                    <xdr:col>2</xdr:col>
                    <xdr:colOff>0</xdr:colOff>
                    <xdr:row>56</xdr:row>
                    <xdr:rowOff>12700</xdr:rowOff>
                  </from>
                  <to>
                    <xdr:col>5</xdr:col>
                    <xdr:colOff>0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1" name="Check Box 25">
              <controlPr defaultSize="0" autoFill="0" autoLine="0" autoPict="0" macro="[0]!IndemEnf_Grav">
                <anchor moveWithCells="1">
                  <from>
                    <xdr:col>2</xdr:col>
                    <xdr:colOff>0</xdr:colOff>
                    <xdr:row>56</xdr:row>
                    <xdr:rowOff>228600</xdr:rowOff>
                  </from>
                  <to>
                    <xdr:col>5</xdr:col>
                    <xdr:colOff>0</xdr:colOff>
                    <xdr:row>57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2" name="Group Box 26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3" name="Group Box 27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4" name="Group Box 28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5" name="Group Box 29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6" name="Group Box 30">
              <controlPr defaultSize="0" autoFill="0" autoPict="0">
                <anchor moveWithCells="1">
                  <from>
                    <xdr:col>10</xdr:col>
                    <xdr:colOff>31750</xdr:colOff>
                    <xdr:row>32</xdr:row>
                    <xdr:rowOff>0</xdr:rowOff>
                  </from>
                  <to>
                    <xdr:col>12</xdr:col>
                    <xdr:colOff>88900</xdr:colOff>
                    <xdr:row>33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7" name="Group Box 31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8" name="Group Box 32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9" name="Group Box 33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0" name="Group Box 34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1" name="Group Box 35">
              <controlPr defaultSize="0" autoFill="0" autoPict="0">
                <anchor moveWithCells="1">
                  <from>
                    <xdr:col>10</xdr:col>
                    <xdr:colOff>31750</xdr:colOff>
                    <xdr:row>35</xdr:row>
                    <xdr:rowOff>0</xdr:rowOff>
                  </from>
                  <to>
                    <xdr:col>12</xdr:col>
                    <xdr:colOff>88900</xdr:colOff>
                    <xdr:row>36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2" name="Group Box 36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3" name="Group Box 37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4" name="Group Box 38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5" name="Group Box 39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6" name="Group Box 40">
              <controlPr defaultSize="0" autoFill="0" autoPict="0">
                <anchor moveWithCells="1">
                  <from>
                    <xdr:col>10</xdr:col>
                    <xdr:colOff>31750</xdr:colOff>
                    <xdr:row>34</xdr:row>
                    <xdr:rowOff>0</xdr:rowOff>
                  </from>
                  <to>
                    <xdr:col>12</xdr:col>
                    <xdr:colOff>88900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7" name="Group Box 41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8" name="Group Box 42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9" name="Group Box 43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0" name="Group Box 44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1" name="Group Box 45">
              <controlPr defaultSize="0" autoFill="0" autoPict="0">
                <anchor moveWithCells="1">
                  <from>
                    <xdr:col>10</xdr:col>
                    <xdr:colOff>31750</xdr:colOff>
                    <xdr:row>33</xdr:row>
                    <xdr:rowOff>0</xdr:rowOff>
                  </from>
                  <to>
                    <xdr:col>12</xdr:col>
                    <xdr:colOff>88900</xdr:colOff>
                    <xdr:row>34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42" name="Check Box 51">
              <controlPr defaultSize="0" autoFill="0" autoLine="0" autoPict="0" macro="[0]!vuelta">
                <anchor moveWithCells="1">
                  <from>
                    <xdr:col>2</xdr:col>
                    <xdr:colOff>0</xdr:colOff>
                    <xdr:row>45</xdr:row>
                    <xdr:rowOff>95250</xdr:rowOff>
                  </from>
                  <to>
                    <xdr:col>5</xdr:col>
                    <xdr:colOff>0</xdr:colOff>
                    <xdr:row>46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43" name="Button 60">
              <controlPr defaultSize="0" print="0" autoFill="0" autoPict="0" macro="[0]!Borrar">
                <anchor moveWithCells="1" sizeWithCells="1">
                  <from>
                    <xdr:col>12</xdr:col>
                    <xdr:colOff>19050</xdr:colOff>
                    <xdr:row>62</xdr:row>
                    <xdr:rowOff>38100</xdr:rowOff>
                  </from>
                  <to>
                    <xdr:col>14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44" name="Check Box 62">
              <controlPr defaultSize="0" autoFill="0" autoLine="0" autoPict="0" macro="[0]!reconocimiento_antiguedad">
                <anchor moveWithCells="1">
                  <from>
                    <xdr:col>2</xdr:col>
                    <xdr:colOff>0</xdr:colOff>
                    <xdr:row>44</xdr:row>
                    <xdr:rowOff>88900</xdr:rowOff>
                  </from>
                  <to>
                    <xdr:col>5</xdr:col>
                    <xdr:colOff>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45" name="Button 67">
              <controlPr defaultSize="0" print="0" autoFill="0" autoPict="0" macro="[0]!Botón67_Haga_clic_en">
                <anchor moveWithCells="1" sizeWithCells="1">
                  <from>
                    <xdr:col>9</xdr:col>
                    <xdr:colOff>1047750</xdr:colOff>
                    <xdr:row>62</xdr:row>
                    <xdr:rowOff>69850</xdr:rowOff>
                  </from>
                  <to>
                    <xdr:col>11</xdr:col>
                    <xdr:colOff>869950</xdr:colOff>
                    <xdr:row>64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46" name="Check Box 69">
              <controlPr defaultSize="0" autoFill="0" autoLine="0" autoPict="0" macro="[0]!Xtensuz" altText="Xtensuz Bx+">
                <anchor moveWithCells="1">
                  <from>
                    <xdr:col>2</xdr:col>
                    <xdr:colOff>0</xdr:colOff>
                    <xdr:row>57</xdr:row>
                    <xdr:rowOff>228600</xdr:rowOff>
                  </from>
                  <to>
                    <xdr:col>5</xdr:col>
                    <xdr:colOff>0</xdr:colOff>
                    <xdr:row>58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47" name="Option Button 70">
              <controlPr defaultSize="0" autoFill="0" autoLine="0" autoPict="0" macro="[0]!NuevoRenovación" altText="Póliza Nueva">
                <anchor moveWithCells="1">
                  <from>
                    <xdr:col>11</xdr:col>
                    <xdr:colOff>57150</xdr:colOff>
                    <xdr:row>11</xdr:row>
                    <xdr:rowOff>31750</xdr:rowOff>
                  </from>
                  <to>
                    <xdr:col>11</xdr:col>
                    <xdr:colOff>1155700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48" name="Option Button 71">
              <controlPr defaultSize="0" autoFill="0" autoLine="0" autoPict="0" macro="[0]!NuevoRenovación" altText="Póliza de Renovación">
                <anchor moveWithCells="1">
                  <from>
                    <xdr:col>11</xdr:col>
                    <xdr:colOff>38100</xdr:colOff>
                    <xdr:row>12</xdr:row>
                    <xdr:rowOff>146050</xdr:rowOff>
                  </from>
                  <to>
                    <xdr:col>11</xdr:col>
                    <xdr:colOff>1143000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Tarifa!$T$4:$T$8</xm:f>
          </x14:formula1>
          <xm:sqref>E41</xm:sqref>
        </x14:dataValidation>
        <x14:dataValidation type="list" allowBlank="1" showInputMessage="1" showErrorMessage="1">
          <x14:formula1>
            <xm:f>Tarifa!$AA$11:$AA$16</xm:f>
          </x14:formula1>
          <xm:sqref>E38</xm:sqref>
        </x14:dataValidation>
        <x14:dataValidation type="list" allowBlank="1" showInputMessage="1" showErrorMessage="1">
          <x14:formula1>
            <xm:f>Tarifa!$AA$4:$AA$6</xm:f>
          </x14:formula1>
          <xm:sqref>E37</xm:sqref>
        </x14:dataValidation>
        <x14:dataValidation type="list" allowBlank="1" showInputMessage="1" showErrorMessage="1">
          <x14:formula1>
            <xm:f>Tarifa!$W$4:$W$38</xm:f>
          </x14:formula1>
          <xm:sqref>E13</xm:sqref>
        </x14:dataValidation>
        <x14:dataValidation type="list" allowBlank="1" showInputMessage="1" showErrorMessage="1">
          <x14:formula1>
            <xm:f>IF($J$50=TRUE,Tarifa!$AL$4:$AL$6,"")</xm:f>
          </x14:formula1>
          <xm:sqref>H50</xm:sqref>
        </x14:dataValidation>
        <x14:dataValidation type="list" errorStyle="warning" allowBlank="1" showInputMessage="1" showErrorMessage="1" error="_x000a__x000a__x000a_">
          <x14:formula1>
            <xm:f>IF(AND(OR(H18&gt;= 65,H20&gt;= 65,H22&gt;= 65,H24&gt;= 65,H26&gt;= 65,H28&gt;= 65),$Q$12=1),Tarifa!$Q$6:$Q$14,Tarifa!$Q$4:$Q$14)</xm:f>
          </x14:formula1>
          <xm:sqref>E40</xm:sqref>
        </x14:dataValidation>
        <x14:dataValidation type="list" allowBlank="1" showInputMessage="1" showErrorMessage="1">
          <x14:formula1>
            <xm:f>IF($J$59=TRUE,Tarifa!$AJ$15:$AJ$18,"")</xm:f>
          </x14:formula1>
          <xm:sqref>H59</xm:sqref>
        </x14:dataValidation>
        <x14:dataValidation type="list" allowBlank="1" showInputMessage="1" showErrorMessage="1">
          <x14:formula1>
            <xm:f>Tarifa!$BL$31:$BL$35</xm:f>
          </x14:formula1>
          <xm:sqref>E63</xm:sqref>
        </x14:dataValidation>
        <x14:dataValidation type="list" allowBlank="1" showInputMessage="1" showErrorMessage="1">
          <x14:formula1>
            <xm:f>IF(AND((OR(H18&gt;= 65,H20&gt;= 65,H22&gt;= 65,H24&gt;= 65,H26&gt;= 65,H28&gt;= 65)),$Q$12=1),Tarifa!N4:N6,Tarifa!N4:N9)</xm:f>
          </x14:formula1>
          <xm:sqref>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JV182"/>
  <sheetViews>
    <sheetView showGridLines="0" zoomScale="90" zoomScaleNormal="90" zoomScaleSheetLayoutView="90" workbookViewId="0">
      <selection activeCell="M11" sqref="M11:O11"/>
    </sheetView>
  </sheetViews>
  <sheetFormatPr baseColWidth="10" defaultColWidth="0" defaultRowHeight="15" customHeight="1" zeroHeight="1" x14ac:dyDescent="0.35"/>
  <cols>
    <col min="1" max="1" width="3" style="9" customWidth="1"/>
    <col min="2" max="2" width="8.453125" style="10" customWidth="1"/>
    <col min="3" max="3" width="17.26953125" style="10" customWidth="1"/>
    <col min="4" max="4" width="20.453125" style="9" customWidth="1"/>
    <col min="5" max="5" width="3.54296875" style="9" customWidth="1"/>
    <col min="6" max="6" width="2" style="9" customWidth="1"/>
    <col min="7" max="7" width="8" style="9" customWidth="1"/>
    <col min="8" max="8" width="3" style="9" customWidth="1"/>
    <col min="9" max="9" width="8.453125" style="9" customWidth="1"/>
    <col min="10" max="10" width="1.81640625" style="9" customWidth="1"/>
    <col min="11" max="11" width="13.26953125" style="9" customWidth="1"/>
    <col min="12" max="12" width="21.1796875" style="9" customWidth="1"/>
    <col min="13" max="13" width="22.453125" style="9" bestFit="1" customWidth="1"/>
    <col min="14" max="14" width="24.81640625" style="9" bestFit="1" customWidth="1"/>
    <col min="15" max="15" width="16.26953125" style="10" customWidth="1"/>
    <col min="16" max="16" width="3" style="10" customWidth="1"/>
    <col min="17" max="21" width="3" style="10" hidden="1" customWidth="1"/>
    <col min="22" max="30" width="3" hidden="1" customWidth="1"/>
    <col min="31" max="31" width="8.26953125" hidden="1" customWidth="1"/>
    <col min="32" max="32" width="3" hidden="1" customWidth="1"/>
    <col min="33" max="33" width="15.453125" hidden="1" customWidth="1"/>
    <col min="34" max="38" width="3" hidden="1" customWidth="1"/>
    <col min="39" max="39" width="16" hidden="1" customWidth="1"/>
    <col min="40" max="43" width="11.26953125" hidden="1" customWidth="1"/>
    <col min="44" max="46" width="13.54296875" hidden="1" customWidth="1"/>
    <col min="47" max="47" width="3.1796875" hidden="1" customWidth="1"/>
    <col min="48" max="50" width="15.26953125" hidden="1" customWidth="1"/>
    <col min="51" max="51" width="12.81640625" hidden="1" customWidth="1"/>
    <col min="52" max="52" width="15.81640625" hidden="1" customWidth="1"/>
    <col min="53" max="53" width="11.26953125" hidden="1" customWidth="1"/>
    <col min="54" max="54" width="17.26953125" hidden="1" customWidth="1"/>
    <col min="55" max="55" width="14.453125" hidden="1" customWidth="1"/>
    <col min="56" max="56" width="15.81640625" hidden="1" customWidth="1"/>
    <col min="57" max="57" width="13.453125" hidden="1" customWidth="1"/>
    <col min="58" max="58" width="17.54296875" hidden="1" customWidth="1"/>
    <col min="59" max="59" width="15.81640625" hidden="1" customWidth="1"/>
    <col min="60" max="60" width="19.7265625" hidden="1" customWidth="1"/>
    <col min="61" max="282" width="11.453125" hidden="1" customWidth="1"/>
    <col min="283" max="16384" width="11.7265625" hidden="1"/>
  </cols>
  <sheetData>
    <row r="1" spans="1:21" ht="14.5" x14ac:dyDescent="0.35">
      <c r="A1" s="9" t="s">
        <v>71</v>
      </c>
    </row>
    <row r="2" spans="1:21" ht="22.5" customHeight="1" x14ac:dyDescent="0.35">
      <c r="I2" s="413" t="s">
        <v>236</v>
      </c>
      <c r="J2" s="413"/>
      <c r="K2" s="413"/>
      <c r="L2" s="413"/>
      <c r="M2" s="413"/>
      <c r="N2" s="413"/>
      <c r="O2" s="413"/>
    </row>
    <row r="3" spans="1:21" ht="15" customHeight="1" x14ac:dyDescent="0.35">
      <c r="I3" s="161"/>
      <c r="J3" s="161"/>
      <c r="K3" s="161"/>
      <c r="L3" s="161"/>
      <c r="M3" s="161"/>
      <c r="N3" s="161"/>
      <c r="O3" s="161"/>
    </row>
    <row r="4" spans="1:21" ht="15" customHeight="1" x14ac:dyDescent="0.35">
      <c r="I4" s="161"/>
      <c r="J4" s="161"/>
      <c r="K4" s="161"/>
      <c r="L4" s="161"/>
      <c r="M4" s="161"/>
      <c r="N4" s="161"/>
      <c r="O4" s="161"/>
    </row>
    <row r="5" spans="1:21" ht="23.5" x14ac:dyDescent="0.35">
      <c r="I5" s="160"/>
      <c r="J5" s="160"/>
      <c r="K5" s="160"/>
      <c r="L5" s="160"/>
      <c r="M5" s="160"/>
      <c r="N5" s="160"/>
      <c r="O5" s="160"/>
    </row>
    <row r="6" spans="1:21" ht="23.5" x14ac:dyDescent="0.35">
      <c r="I6" s="160"/>
      <c r="J6" s="160"/>
      <c r="K6" s="160"/>
      <c r="L6" s="160"/>
      <c r="M6" s="160"/>
      <c r="N6" s="160"/>
      <c r="O6" s="160"/>
    </row>
    <row r="7" spans="1:21" ht="14.5" x14ac:dyDescent="0.35">
      <c r="M7" s="414" t="s">
        <v>195</v>
      </c>
      <c r="N7" s="414"/>
      <c r="O7" s="75">
        <f ca="1">TODAY()</f>
        <v>44394</v>
      </c>
    </row>
    <row r="8" spans="1:21" ht="14.5" x14ac:dyDescent="0.35">
      <c r="M8" s="414" t="s">
        <v>302</v>
      </c>
      <c r="N8" s="414"/>
      <c r="O8" s="75">
        <f ca="1">O7+30</f>
        <v>44424</v>
      </c>
    </row>
    <row r="9" spans="1:21" ht="14.5" x14ac:dyDescent="0.35">
      <c r="M9" s="414" t="s">
        <v>300</v>
      </c>
      <c r="N9" s="414"/>
      <c r="O9" s="75" t="str">
        <f>IF(Cotizador!Q12=1,"Póliza Nueva","Renovación")</f>
        <v>Póliza Nueva</v>
      </c>
    </row>
    <row r="10" spans="1:21" ht="12.75" customHeight="1" x14ac:dyDescent="0.55000000000000004"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11"/>
      <c r="Q10" s="11"/>
      <c r="R10" s="11"/>
      <c r="S10" s="11"/>
      <c r="T10" s="11"/>
      <c r="U10" s="11"/>
    </row>
    <row r="11" spans="1:21" ht="16.5" customHeight="1" x14ac:dyDescent="0.55000000000000004">
      <c r="B11" s="415" t="s">
        <v>196</v>
      </c>
      <c r="C11" s="416"/>
      <c r="D11" s="417">
        <f>Cotizador!M6</f>
        <v>0</v>
      </c>
      <c r="E11" s="418"/>
      <c r="F11" s="76"/>
      <c r="G11" s="76"/>
      <c r="H11" s="76"/>
      <c r="I11" s="419" t="s">
        <v>197</v>
      </c>
      <c r="J11" s="419"/>
      <c r="K11" s="419"/>
      <c r="L11" s="419"/>
      <c r="M11" s="420"/>
      <c r="N11" s="420"/>
      <c r="O11" s="420"/>
      <c r="P11" s="11"/>
      <c r="Q11" s="11"/>
      <c r="R11" s="11"/>
      <c r="S11" s="11"/>
      <c r="T11" s="11"/>
      <c r="U11" s="11"/>
    </row>
    <row r="12" spans="1:21" ht="14.5" x14ac:dyDescent="0.35">
      <c r="B12" s="14"/>
      <c r="C12" s="14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4"/>
    </row>
    <row r="13" spans="1:21" ht="14.5" x14ac:dyDescent="0.35">
      <c r="B13" s="426" t="s">
        <v>72</v>
      </c>
      <c r="C13" s="426"/>
      <c r="D13" s="426"/>
      <c r="E13" s="426"/>
      <c r="F13" s="426"/>
      <c r="G13" s="426"/>
      <c r="H13" s="426"/>
      <c r="I13" s="426"/>
      <c r="J13" s="426"/>
      <c r="K13" s="426"/>
      <c r="L13" s="426"/>
      <c r="M13" s="426"/>
      <c r="N13" s="426"/>
      <c r="O13" s="426"/>
      <c r="P13" s="77"/>
      <c r="Q13" s="77"/>
      <c r="R13" s="77"/>
      <c r="S13" s="77"/>
      <c r="T13" s="77"/>
      <c r="U13" s="77"/>
    </row>
    <row r="14" spans="1:21" ht="5.25" customHeight="1" x14ac:dyDescent="0.35">
      <c r="A14"/>
      <c r="B14" s="78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80"/>
      <c r="P14"/>
      <c r="Q14"/>
      <c r="R14"/>
      <c r="S14"/>
      <c r="T14"/>
      <c r="U14"/>
    </row>
    <row r="15" spans="1:21" ht="14.5" x14ac:dyDescent="0.35">
      <c r="B15" s="81" t="s">
        <v>198</v>
      </c>
      <c r="C15" s="82"/>
      <c r="D15" s="83"/>
      <c r="E15" s="167" t="str">
        <f>+Cotizador!E9</f>
        <v/>
      </c>
      <c r="F15" s="85"/>
      <c r="G15" s="85"/>
      <c r="H15" s="85"/>
      <c r="I15" s="85"/>
      <c r="J15" s="85"/>
      <c r="K15" s="85"/>
      <c r="L15" s="85"/>
      <c r="M15" s="85"/>
      <c r="N15" s="86"/>
      <c r="O15" s="87"/>
    </row>
    <row r="16" spans="1:21" ht="14.5" x14ac:dyDescent="0.35">
      <c r="B16" s="81"/>
      <c r="C16" s="82"/>
      <c r="D16" s="83"/>
      <c r="E16" s="84"/>
      <c r="F16" s="85"/>
      <c r="G16" s="85"/>
      <c r="H16" s="85"/>
      <c r="I16" s="85"/>
      <c r="J16" s="85"/>
      <c r="K16" s="85"/>
      <c r="L16" s="85"/>
      <c r="M16" s="85"/>
      <c r="N16" s="86"/>
      <c r="O16" s="87"/>
    </row>
    <row r="17" spans="1:21" ht="14.5" x14ac:dyDescent="0.35">
      <c r="B17" s="419" t="s">
        <v>224</v>
      </c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19"/>
      <c r="O17" s="419"/>
    </row>
    <row r="18" spans="1:21" ht="14.5" x14ac:dyDescent="0.35">
      <c r="B18" s="427" t="s">
        <v>75</v>
      </c>
      <c r="C18" s="428"/>
      <c r="D18" s="167" t="str">
        <f>+Cotizador!E12</f>
        <v/>
      </c>
      <c r="E18" s="88"/>
      <c r="F18" s="88"/>
      <c r="G18" s="88"/>
      <c r="H18" s="88"/>
      <c r="I18" s="88"/>
      <c r="J18" s="89"/>
      <c r="K18" s="85"/>
      <c r="L18" s="90"/>
      <c r="M18" s="90"/>
      <c r="N18" s="86"/>
      <c r="O18" s="87"/>
    </row>
    <row r="19" spans="1:21" ht="14.5" x14ac:dyDescent="0.35">
      <c r="B19" s="427" t="s">
        <v>76</v>
      </c>
      <c r="C19" s="428"/>
      <c r="D19" s="168" t="str">
        <f>+Cotizador!E13</f>
        <v/>
      </c>
      <c r="E19" s="89"/>
      <c r="F19" s="89"/>
      <c r="G19" s="89"/>
      <c r="H19" s="89"/>
      <c r="I19" s="89"/>
      <c r="J19" s="89"/>
      <c r="K19" s="85"/>
      <c r="L19" s="89"/>
      <c r="M19" s="89"/>
      <c r="N19" s="86"/>
      <c r="O19" s="91"/>
      <c r="P19" s="92"/>
      <c r="Q19" s="92"/>
      <c r="R19" s="92"/>
      <c r="S19" s="92"/>
      <c r="T19" s="92"/>
      <c r="U19" s="92"/>
    </row>
    <row r="20" spans="1:21" ht="14.5" x14ac:dyDescent="0.35">
      <c r="B20" s="93" t="s">
        <v>199</v>
      </c>
      <c r="C20" s="94"/>
      <c r="D20" s="95"/>
      <c r="E20" s="89"/>
      <c r="F20" s="89"/>
      <c r="G20" s="89"/>
      <c r="H20" s="89"/>
      <c r="I20" s="89"/>
      <c r="J20" s="96"/>
      <c r="K20" s="96"/>
      <c r="L20" s="96"/>
      <c r="M20" s="96"/>
      <c r="N20" s="86"/>
      <c r="O20" s="97"/>
    </row>
    <row r="21" spans="1:21" ht="7.5" customHeight="1" x14ac:dyDescent="0.35">
      <c r="B21" s="98"/>
      <c r="C21" s="99"/>
      <c r="D21" s="100"/>
      <c r="E21" s="101"/>
      <c r="F21" s="101"/>
      <c r="G21" s="101"/>
      <c r="H21" s="101"/>
      <c r="I21" s="101"/>
      <c r="J21" s="102"/>
      <c r="K21" s="102"/>
      <c r="L21" s="102"/>
      <c r="M21" s="102"/>
      <c r="N21" s="103"/>
      <c r="O21" s="104"/>
    </row>
    <row r="22" spans="1:21" ht="14.5" x14ac:dyDescent="0.35">
      <c r="B22" s="419" t="s">
        <v>225</v>
      </c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</row>
    <row r="23" spans="1:21" ht="14.5" x14ac:dyDescent="0.35">
      <c r="A23"/>
      <c r="B23" s="78"/>
      <c r="C23" s="79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5"/>
      <c r="P23"/>
      <c r="Q23"/>
      <c r="R23"/>
      <c r="S23"/>
      <c r="T23"/>
      <c r="U23"/>
    </row>
    <row r="24" spans="1:21" ht="14.5" x14ac:dyDescent="0.35">
      <c r="A24"/>
      <c r="B24" s="421" t="s">
        <v>226</v>
      </c>
      <c r="C24" s="422"/>
      <c r="D24" s="106">
        <f>+Cotizador!E37</f>
        <v>0</v>
      </c>
      <c r="E24" s="107"/>
      <c r="F24" s="107"/>
      <c r="G24" s="107"/>
      <c r="H24" s="107"/>
      <c r="I24" s="107"/>
      <c r="J24" s="107"/>
      <c r="K24" s="179" t="s">
        <v>228</v>
      </c>
      <c r="L24" s="159"/>
      <c r="M24" s="319">
        <f>+Cotizador!E39</f>
        <v>0</v>
      </c>
      <c r="N24" s="171"/>
      <c r="O24" s="172"/>
      <c r="P24"/>
      <c r="Q24"/>
      <c r="R24"/>
      <c r="S24"/>
      <c r="T24"/>
      <c r="U24"/>
    </row>
    <row r="25" spans="1:21" ht="14.5" x14ac:dyDescent="0.35">
      <c r="A25"/>
      <c r="B25" s="178" t="s">
        <v>227</v>
      </c>
      <c r="C25" s="179"/>
      <c r="D25" s="106">
        <f>+Cotizador!E38</f>
        <v>0</v>
      </c>
      <c r="E25" s="107"/>
      <c r="F25" s="107"/>
      <c r="G25" s="107"/>
      <c r="H25" s="107"/>
      <c r="I25" s="107"/>
      <c r="J25" s="107"/>
      <c r="K25" s="179" t="s">
        <v>229</v>
      </c>
      <c r="L25" s="108"/>
      <c r="M25" s="319">
        <f>+Cotizador!E40</f>
        <v>0</v>
      </c>
      <c r="N25" s="169"/>
      <c r="O25" s="170"/>
      <c r="P25"/>
      <c r="Q25"/>
      <c r="R25"/>
      <c r="S25"/>
      <c r="T25"/>
      <c r="U25"/>
    </row>
    <row r="26" spans="1:21" ht="14.5" x14ac:dyDescent="0.35">
      <c r="A26"/>
      <c r="B26" s="163"/>
      <c r="C26" s="107"/>
      <c r="D26" s="106"/>
      <c r="E26" s="107"/>
      <c r="F26" s="107"/>
      <c r="G26" s="107"/>
      <c r="H26" s="107"/>
      <c r="I26" s="107"/>
      <c r="J26" s="107"/>
      <c r="K26" s="179" t="s">
        <v>230</v>
      </c>
      <c r="L26" s="108"/>
      <c r="M26" s="173">
        <f>+Cotizador!E41</f>
        <v>0</v>
      </c>
      <c r="O26" s="158"/>
      <c r="P26"/>
      <c r="Q26"/>
      <c r="R26"/>
      <c r="S26"/>
      <c r="T26"/>
      <c r="U26"/>
    </row>
    <row r="27" spans="1:21" ht="14.5" x14ac:dyDescent="0.35">
      <c r="A27"/>
      <c r="B27" s="423"/>
      <c r="C27" s="424"/>
      <c r="D27" s="425"/>
      <c r="E27" s="425"/>
      <c r="F27" s="330"/>
      <c r="G27" s="330"/>
      <c r="H27" s="330"/>
      <c r="I27" s="330"/>
      <c r="J27" s="330"/>
      <c r="K27" s="329" t="s">
        <v>289</v>
      </c>
      <c r="L27" s="330"/>
      <c r="M27" s="319" t="e">
        <f>VLOOKUP(M26,Tarifa!T13:U17,2,FALSE)</f>
        <v>#N/A</v>
      </c>
      <c r="N27" s="330"/>
      <c r="O27" s="331"/>
      <c r="P27"/>
      <c r="Q27"/>
      <c r="R27"/>
      <c r="S27"/>
      <c r="T27"/>
      <c r="U27"/>
    </row>
    <row r="28" spans="1:21" ht="14.5" x14ac:dyDescent="0.35">
      <c r="A28"/>
      <c r="B28" s="326"/>
      <c r="C28" s="327"/>
      <c r="D28" s="328"/>
      <c r="E28" s="328"/>
      <c r="F28" s="109"/>
      <c r="G28" s="109"/>
      <c r="H28" s="109"/>
      <c r="I28" s="109"/>
      <c r="J28" s="109"/>
      <c r="K28" s="329"/>
      <c r="L28" s="109"/>
      <c r="M28" s="109"/>
      <c r="N28" s="109"/>
      <c r="O28" s="110"/>
      <c r="P28"/>
      <c r="Q28"/>
      <c r="R28"/>
      <c r="S28"/>
      <c r="T28"/>
      <c r="U28"/>
    </row>
    <row r="29" spans="1:21" ht="14.5" x14ac:dyDescent="0.35">
      <c r="B29" s="426" t="s">
        <v>200</v>
      </c>
      <c r="C29" s="426"/>
      <c r="D29" s="426"/>
      <c r="E29" s="426"/>
      <c r="F29" s="426"/>
      <c r="G29" s="426"/>
      <c r="H29" s="426"/>
      <c r="I29" s="426"/>
      <c r="J29" s="426"/>
      <c r="K29" s="426"/>
      <c r="L29" s="426"/>
      <c r="M29" s="426"/>
      <c r="N29" s="426"/>
      <c r="O29" s="426"/>
    </row>
    <row r="30" spans="1:21" ht="14.5" x14ac:dyDescent="0.35">
      <c r="B30" s="431" t="s">
        <v>201</v>
      </c>
      <c r="C30" s="431"/>
      <c r="D30" s="431"/>
      <c r="E30" s="431"/>
      <c r="F30" s="431"/>
      <c r="G30" s="431"/>
      <c r="H30" s="431"/>
      <c r="I30" s="431"/>
      <c r="J30" s="431"/>
      <c r="K30" s="431"/>
      <c r="L30" s="432" t="s">
        <v>249</v>
      </c>
      <c r="M30" s="433"/>
      <c r="N30" s="434" t="s">
        <v>7</v>
      </c>
      <c r="O30" s="434"/>
    </row>
    <row r="31" spans="1:21" ht="15.5" x14ac:dyDescent="0.35">
      <c r="B31" s="320" t="s">
        <v>202</v>
      </c>
      <c r="C31" s="112"/>
      <c r="D31" s="112"/>
      <c r="E31" s="112"/>
      <c r="F31" s="112"/>
      <c r="G31" s="112"/>
      <c r="H31" s="112"/>
      <c r="I31" s="112"/>
      <c r="J31" s="112"/>
      <c r="K31" s="113"/>
      <c r="L31" s="435" t="s">
        <v>250</v>
      </c>
      <c r="M31" s="436"/>
      <c r="N31" s="114"/>
      <c r="O31" s="113"/>
    </row>
    <row r="32" spans="1:21" ht="7.5" customHeight="1" x14ac:dyDescent="0.35">
      <c r="B32" s="115"/>
      <c r="D32" s="116"/>
      <c r="E32" s="116"/>
      <c r="F32" s="116"/>
      <c r="G32" s="116"/>
      <c r="H32" s="116"/>
      <c r="I32" s="116"/>
      <c r="J32" s="116"/>
      <c r="K32" s="117"/>
      <c r="L32" s="115"/>
      <c r="M32" s="117"/>
      <c r="N32" s="115"/>
      <c r="O32" s="117"/>
    </row>
    <row r="33" spans="1:21" ht="14.5" x14ac:dyDescent="0.35">
      <c r="B33" s="115"/>
      <c r="C33" s="118" t="s">
        <v>288</v>
      </c>
      <c r="D33" s="116"/>
      <c r="E33" s="116"/>
      <c r="F33" s="116"/>
      <c r="G33" s="116"/>
      <c r="H33" s="116"/>
      <c r="I33" s="116"/>
      <c r="J33" s="116"/>
      <c r="K33" s="117"/>
      <c r="L33" s="429">
        <v>18000</v>
      </c>
      <c r="M33" s="430"/>
      <c r="N33" s="429" t="s">
        <v>180</v>
      </c>
      <c r="O33" s="430"/>
    </row>
    <row r="34" spans="1:21" ht="14.5" x14ac:dyDescent="0.35">
      <c r="B34" s="115"/>
      <c r="C34" s="116"/>
      <c r="D34" s="116"/>
      <c r="E34" s="116"/>
      <c r="F34" s="116"/>
      <c r="G34" s="116"/>
      <c r="H34" s="116"/>
      <c r="I34" s="116"/>
      <c r="J34" s="116"/>
      <c r="K34" s="117"/>
      <c r="L34" s="429"/>
      <c r="M34" s="430"/>
      <c r="N34" s="429"/>
      <c r="O34" s="430"/>
    </row>
    <row r="35" spans="1:21" ht="14.5" x14ac:dyDescent="0.35">
      <c r="B35" s="115"/>
      <c r="C35" s="116"/>
      <c r="D35" s="116"/>
      <c r="E35" s="116"/>
      <c r="F35" s="116"/>
      <c r="G35" s="116"/>
      <c r="H35" s="116"/>
      <c r="I35" s="116"/>
      <c r="J35" s="116"/>
      <c r="K35" s="117"/>
      <c r="L35" s="180"/>
      <c r="M35" s="181"/>
      <c r="N35" s="180"/>
      <c r="O35" s="181"/>
    </row>
    <row r="36" spans="1:21" ht="14.5" x14ac:dyDescent="0.35">
      <c r="B36" s="419" t="s">
        <v>231</v>
      </c>
      <c r="C36" s="419"/>
      <c r="D36" s="419"/>
      <c r="E36" s="419"/>
      <c r="F36" s="419"/>
      <c r="G36" s="419"/>
      <c r="H36" s="419"/>
      <c r="I36" s="419"/>
      <c r="J36" s="419"/>
      <c r="K36" s="419"/>
      <c r="L36" s="419"/>
      <c r="M36" s="419"/>
      <c r="N36" s="419"/>
      <c r="O36" s="419"/>
    </row>
    <row r="37" spans="1:21" ht="14.5" x14ac:dyDescent="0.35">
      <c r="B37" s="111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3"/>
    </row>
    <row r="38" spans="1:21" ht="14.5" x14ac:dyDescent="0.35">
      <c r="B38" s="115"/>
      <c r="C38" s="116" t="s">
        <v>234</v>
      </c>
      <c r="D38" s="116"/>
      <c r="E38" s="116"/>
      <c r="F38" s="116"/>
      <c r="G38" s="116"/>
      <c r="H38" s="116"/>
      <c r="I38" s="116"/>
      <c r="J38" s="116"/>
      <c r="K38" s="116"/>
      <c r="L38" s="176" t="s">
        <v>235</v>
      </c>
      <c r="M38" s="176"/>
      <c r="N38" s="176"/>
      <c r="O38" s="181"/>
    </row>
    <row r="39" spans="1:21" ht="14.5" x14ac:dyDescent="0.35">
      <c r="B39" s="115"/>
      <c r="C39" s="116" t="s">
        <v>232</v>
      </c>
      <c r="D39" s="116"/>
      <c r="E39" s="116"/>
      <c r="F39" s="116"/>
      <c r="G39" s="116"/>
      <c r="H39" s="116"/>
      <c r="I39" s="116"/>
      <c r="J39" s="116"/>
      <c r="K39" s="116"/>
      <c r="L39" s="176" t="s">
        <v>235</v>
      </c>
      <c r="M39" s="176"/>
      <c r="N39" s="176"/>
      <c r="O39" s="181"/>
    </row>
    <row r="40" spans="1:21" ht="14.5" x14ac:dyDescent="0.35">
      <c r="B40" s="115"/>
      <c r="C40" s="116" t="s">
        <v>233</v>
      </c>
      <c r="D40" s="116"/>
      <c r="E40" s="116"/>
      <c r="F40" s="116"/>
      <c r="G40" s="116"/>
      <c r="H40" s="116"/>
      <c r="I40" s="116"/>
      <c r="J40" s="116"/>
      <c r="K40" s="116"/>
      <c r="L40" s="176" t="s">
        <v>235</v>
      </c>
      <c r="M40" s="176"/>
      <c r="N40" s="176"/>
      <c r="O40" s="181"/>
    </row>
    <row r="41" spans="1:21" ht="14.5" x14ac:dyDescent="0.35"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1"/>
    </row>
    <row r="42" spans="1:21" ht="14.5" x14ac:dyDescent="0.35">
      <c r="B42" s="419" t="s">
        <v>181</v>
      </c>
      <c r="C42" s="419"/>
      <c r="D42" s="419"/>
      <c r="E42" s="419"/>
      <c r="F42" s="419"/>
      <c r="G42" s="419"/>
      <c r="H42" s="419"/>
      <c r="I42" s="419"/>
      <c r="J42" s="419"/>
      <c r="K42" s="419"/>
      <c r="L42" s="419"/>
      <c r="M42" s="419"/>
      <c r="N42" s="419"/>
      <c r="O42" s="419"/>
    </row>
    <row r="43" spans="1:21" ht="14.5" x14ac:dyDescent="0.35">
      <c r="B43" s="111"/>
      <c r="C43" s="112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3"/>
    </row>
    <row r="44" spans="1:21" ht="15" customHeight="1" x14ac:dyDescent="0.35">
      <c r="B44" s="115"/>
      <c r="D44" s="116"/>
      <c r="E44" s="116"/>
      <c r="F44" s="116"/>
      <c r="G44" s="116"/>
      <c r="H44" s="116"/>
      <c r="I44" s="116"/>
      <c r="J44" s="116"/>
      <c r="K44" s="116"/>
      <c r="L44" s="116"/>
      <c r="M44" s="116"/>
      <c r="N44" s="116"/>
      <c r="O44" s="117"/>
    </row>
    <row r="45" spans="1:21" ht="14.5" x14ac:dyDescent="0.35">
      <c r="B45" s="115"/>
      <c r="C45" s="116"/>
      <c r="D45" s="116"/>
      <c r="E45" s="116"/>
      <c r="F45" s="116"/>
      <c r="G45" s="116"/>
      <c r="H45" s="116"/>
      <c r="I45" s="116"/>
      <c r="J45" s="116"/>
      <c r="K45" s="116"/>
      <c r="L45" s="174"/>
      <c r="M45" s="174"/>
      <c r="N45" s="174"/>
      <c r="O45" s="177"/>
    </row>
    <row r="46" spans="1:21" ht="14.5" x14ac:dyDescent="0.35">
      <c r="A46" s="122"/>
      <c r="B46" s="115"/>
      <c r="C46" s="118"/>
      <c r="D46" s="116"/>
      <c r="E46" s="116"/>
      <c r="F46" s="116"/>
      <c r="G46" s="116"/>
      <c r="H46" s="116"/>
      <c r="I46" s="116"/>
      <c r="J46" s="116"/>
      <c r="K46" s="116"/>
      <c r="L46" s="174"/>
      <c r="M46" s="174"/>
      <c r="N46" s="174"/>
      <c r="O46" s="177"/>
      <c r="P46" s="123"/>
      <c r="Q46" s="123"/>
      <c r="R46" s="123"/>
      <c r="S46" s="123"/>
      <c r="T46" s="123"/>
      <c r="U46" s="123"/>
    </row>
    <row r="47" spans="1:21" ht="14.5" x14ac:dyDescent="0.35">
      <c r="A47" s="122"/>
      <c r="B47" s="115"/>
      <c r="C47" s="116"/>
      <c r="D47" s="116"/>
      <c r="E47" s="116"/>
      <c r="F47" s="116"/>
      <c r="G47" s="116"/>
      <c r="H47" s="116"/>
      <c r="I47" s="116"/>
      <c r="J47" s="116"/>
      <c r="K47" s="116"/>
      <c r="L47" s="174"/>
      <c r="M47" s="174"/>
      <c r="N47" s="174"/>
      <c r="O47" s="177"/>
      <c r="P47" s="123"/>
      <c r="Q47" s="123"/>
      <c r="R47" s="123"/>
      <c r="S47" s="123"/>
      <c r="T47" s="123"/>
      <c r="U47" s="123"/>
    </row>
    <row r="48" spans="1:21" ht="14.5" x14ac:dyDescent="0.35">
      <c r="A48" s="122"/>
      <c r="B48" s="115"/>
      <c r="C48" s="116"/>
      <c r="D48" s="116"/>
      <c r="E48" s="116"/>
      <c r="F48" s="116"/>
      <c r="G48" s="116"/>
      <c r="H48" s="116"/>
      <c r="I48" s="116"/>
      <c r="J48" s="116"/>
      <c r="K48" s="116"/>
      <c r="L48" s="174"/>
      <c r="M48" s="174"/>
      <c r="N48" s="176"/>
      <c r="O48" s="181"/>
      <c r="P48" s="123"/>
      <c r="Q48" s="123"/>
      <c r="R48" s="123"/>
      <c r="S48" s="123"/>
      <c r="T48" s="123"/>
      <c r="U48" s="123"/>
    </row>
    <row r="49" spans="1:21" ht="14.5" x14ac:dyDescent="0.35">
      <c r="A49" s="122"/>
      <c r="B49" s="115"/>
      <c r="C49" s="116"/>
      <c r="D49" s="116"/>
      <c r="E49" s="116"/>
      <c r="F49" s="116"/>
      <c r="G49" s="116"/>
      <c r="H49" s="116"/>
      <c r="I49" s="116"/>
      <c r="J49" s="116"/>
      <c r="K49" s="116"/>
      <c r="L49" s="174"/>
      <c r="M49" s="174"/>
      <c r="N49" s="174"/>
      <c r="O49" s="177"/>
      <c r="P49" s="123"/>
      <c r="Q49" s="123"/>
      <c r="R49" s="123"/>
      <c r="S49" s="123"/>
      <c r="T49" s="123"/>
      <c r="U49" s="123"/>
    </row>
    <row r="50" spans="1:21" ht="14.5" x14ac:dyDescent="0.35">
      <c r="A50" s="122"/>
      <c r="B50" s="119"/>
      <c r="C50" s="120"/>
      <c r="D50" s="120"/>
      <c r="E50" s="120"/>
      <c r="F50" s="120"/>
      <c r="G50" s="120"/>
      <c r="H50" s="120"/>
      <c r="I50" s="120"/>
      <c r="J50" s="120"/>
      <c r="K50" s="120"/>
      <c r="L50" s="120"/>
      <c r="M50" s="120"/>
      <c r="N50" s="120"/>
      <c r="O50" s="121"/>
      <c r="P50" s="123"/>
      <c r="Q50" s="123"/>
      <c r="R50" s="123"/>
      <c r="S50" s="123"/>
      <c r="T50" s="123"/>
      <c r="U50" s="123"/>
    </row>
    <row r="51" spans="1:21" ht="8.2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ht="14.5" x14ac:dyDescent="0.35">
      <c r="A52" s="122"/>
      <c r="B52" s="426" t="s">
        <v>203</v>
      </c>
      <c r="C52" s="426"/>
      <c r="D52" s="426"/>
      <c r="E52" s="426"/>
      <c r="F52" s="426"/>
      <c r="G52" s="426"/>
      <c r="H52" s="426"/>
      <c r="I52" s="426"/>
      <c r="J52" s="426"/>
      <c r="K52" s="426"/>
      <c r="L52" s="426"/>
      <c r="M52" s="426"/>
      <c r="N52" s="426"/>
      <c r="O52" s="426"/>
      <c r="P52" s="123"/>
      <c r="Q52" s="123"/>
      <c r="R52" s="123"/>
      <c r="S52" s="123"/>
      <c r="T52" s="123"/>
      <c r="U52" s="123"/>
    </row>
    <row r="53" spans="1:21" s="126" customFormat="1" ht="42.75" customHeight="1" x14ac:dyDescent="0.35">
      <c r="A53" s="124"/>
      <c r="B53" s="437" t="s">
        <v>219</v>
      </c>
      <c r="C53" s="438"/>
      <c r="D53" s="438"/>
      <c r="E53" s="439"/>
      <c r="F53" s="437" t="s">
        <v>12</v>
      </c>
      <c r="G53" s="438"/>
      <c r="H53" s="438"/>
      <c r="I53" s="438"/>
      <c r="J53" s="439"/>
      <c r="K53" s="182" t="s">
        <v>220</v>
      </c>
      <c r="L53" s="183" t="s">
        <v>239</v>
      </c>
      <c r="M53" s="182" t="s">
        <v>221</v>
      </c>
      <c r="N53" s="182" t="s">
        <v>222</v>
      </c>
      <c r="O53" s="182" t="s">
        <v>223</v>
      </c>
      <c r="P53" s="125"/>
      <c r="Q53" s="125"/>
      <c r="R53" s="125"/>
      <c r="S53" s="125"/>
      <c r="T53" s="125"/>
      <c r="U53" s="125"/>
    </row>
    <row r="54" spans="1:21" ht="14.5" x14ac:dyDescent="0.35">
      <c r="A54" s="122"/>
      <c r="B54" s="440" t="str">
        <f>IF(+Cotizador!E18&lt;&gt;"",+Cotizador!E18,"")</f>
        <v/>
      </c>
      <c r="C54" s="441"/>
      <c r="D54" s="441"/>
      <c r="E54" s="442"/>
      <c r="F54" s="443" t="str">
        <f>IF(+Cotizador!H18&lt;&gt;"",+Cotizador!H18,"")</f>
        <v/>
      </c>
      <c r="G54" s="441"/>
      <c r="H54" s="441"/>
      <c r="I54" s="441"/>
      <c r="J54" s="442"/>
      <c r="K54" s="164" t="str">
        <f>IF(+Cotizador!J18&lt;&gt;"",+Cotizador!J18,"")</f>
        <v/>
      </c>
      <c r="L54" s="175" t="str">
        <f>IF(AND(+Cotizador!L18&lt;&gt;"dd/mm/aaaa",Cotizador!$J$45=TRUE),+Cotizador!L18,"")</f>
        <v/>
      </c>
      <c r="M54" s="166">
        <f>IF(Cotizador!$J$59=TRUE,Cotizador!U18,Cotizador!Q18)</f>
        <v>0</v>
      </c>
      <c r="N54" s="166">
        <f>IF(Cotizador!$J$59=TRUE,Cotizador!V18,Cotizador!R18)</f>
        <v>0</v>
      </c>
      <c r="O54" s="166">
        <f>M54+N54</f>
        <v>0</v>
      </c>
      <c r="P54" s="123"/>
      <c r="Q54" s="123"/>
      <c r="R54" s="123"/>
      <c r="S54" s="123"/>
      <c r="T54" s="123"/>
      <c r="U54" s="123"/>
    </row>
    <row r="55" spans="1:21" ht="14.5" x14ac:dyDescent="0.35">
      <c r="A55" s="122"/>
      <c r="B55" s="440" t="str">
        <f>IF(+Cotizador!E20&lt;&gt;"",+Cotizador!E20,"")</f>
        <v/>
      </c>
      <c r="C55" s="441"/>
      <c r="D55" s="441"/>
      <c r="E55" s="442"/>
      <c r="F55" s="443" t="str">
        <f>IF(+Cotizador!H20&lt;&gt;"",+Cotizador!H20,"")</f>
        <v/>
      </c>
      <c r="G55" s="441"/>
      <c r="H55" s="441"/>
      <c r="I55" s="441"/>
      <c r="J55" s="442"/>
      <c r="K55" s="164" t="str">
        <f>IF(+Cotizador!J20&lt;&gt;"",+Cotizador!J20,"")</f>
        <v/>
      </c>
      <c r="L55" s="175" t="str">
        <f>IF(AND(+Cotizador!L20&lt;&gt;"dd/mm/aaaa",Cotizador!$J$45=TRUE),+Cotizador!L20,"")</f>
        <v/>
      </c>
      <c r="M55" s="166">
        <f>IF(Cotizador!$J$59=TRUE,Cotizador!U20,Cotizador!Q20)</f>
        <v>0</v>
      </c>
      <c r="N55" s="166">
        <f>IF(Cotizador!$J$59=TRUE,Cotizador!V20,Cotizador!R20)</f>
        <v>0</v>
      </c>
      <c r="O55" s="166">
        <f t="shared" ref="O55:O57" si="0">M55+N55</f>
        <v>0</v>
      </c>
      <c r="P55"/>
      <c r="Q55"/>
      <c r="R55"/>
      <c r="S55"/>
      <c r="T55"/>
      <c r="U55"/>
    </row>
    <row r="56" spans="1:21" ht="14.5" x14ac:dyDescent="0.35">
      <c r="A56" s="122"/>
      <c r="B56" s="440" t="str">
        <f>IF(+Cotizador!E22&lt;&gt;"",+Cotizador!E22,"")</f>
        <v/>
      </c>
      <c r="C56" s="441"/>
      <c r="D56" s="441"/>
      <c r="E56" s="442"/>
      <c r="F56" s="443" t="str">
        <f>IF(+Cotizador!H22&lt;&gt;"",+Cotizador!H22,"")</f>
        <v/>
      </c>
      <c r="G56" s="441"/>
      <c r="H56" s="441"/>
      <c r="I56" s="441"/>
      <c r="J56" s="442"/>
      <c r="K56" s="164" t="str">
        <f>IF(+Cotizador!J22&lt;&gt;"",+Cotizador!J22,"")</f>
        <v/>
      </c>
      <c r="L56" s="175" t="str">
        <f>IF(AND(+Cotizador!L22&lt;&gt;"dd/mm/aaaa",Cotizador!$J$45=TRUE),+Cotizador!L22,"")</f>
        <v/>
      </c>
      <c r="M56" s="166">
        <f>IF(Cotizador!$J$59=TRUE,Cotizador!U22,Cotizador!Q22)</f>
        <v>0</v>
      </c>
      <c r="N56" s="166">
        <f>IF(Cotizador!$J$59=TRUE,Cotizador!V22,Cotizador!R22)</f>
        <v>0</v>
      </c>
      <c r="O56" s="166">
        <f t="shared" si="0"/>
        <v>0</v>
      </c>
      <c r="P56"/>
      <c r="Q56"/>
      <c r="R56"/>
      <c r="S56"/>
      <c r="T56"/>
      <c r="U56"/>
    </row>
    <row r="57" spans="1:21" ht="14.5" x14ac:dyDescent="0.35">
      <c r="A57" s="122"/>
      <c r="B57" s="440" t="str">
        <f>IF(+Cotizador!E24&lt;&gt;"",+Cotizador!E24,"")</f>
        <v/>
      </c>
      <c r="C57" s="441"/>
      <c r="D57" s="441"/>
      <c r="E57" s="442"/>
      <c r="F57" s="443" t="str">
        <f>IF(+Cotizador!H24&lt;&gt;"",+Cotizador!H24,"")</f>
        <v/>
      </c>
      <c r="G57" s="441"/>
      <c r="H57" s="441"/>
      <c r="I57" s="441"/>
      <c r="J57" s="442"/>
      <c r="K57" s="164" t="str">
        <f>IF(+Cotizador!J24&lt;&gt;"",+Cotizador!J24,"")</f>
        <v/>
      </c>
      <c r="L57" s="175" t="str">
        <f>IF(AND(+Cotizador!L24&lt;&gt;"dd/mm/aaaa",Cotizador!$J$45=TRUE),+Cotizador!L24,"")</f>
        <v/>
      </c>
      <c r="M57" s="166">
        <f>IF(Cotizador!$J$59=TRUE,Cotizador!U24,Cotizador!Q24)</f>
        <v>0</v>
      </c>
      <c r="N57" s="166">
        <f>IF(Cotizador!$J$59=TRUE,Cotizador!V24,Cotizador!R24)</f>
        <v>0</v>
      </c>
      <c r="O57" s="166">
        <f t="shared" si="0"/>
        <v>0</v>
      </c>
      <c r="P57"/>
      <c r="Q57"/>
      <c r="R57"/>
      <c r="S57"/>
      <c r="T57"/>
      <c r="U57"/>
    </row>
    <row r="58" spans="1:21" ht="14.5" x14ac:dyDescent="0.35">
      <c r="A58" s="122"/>
      <c r="B58" s="440" t="str">
        <f>IF(+Cotizador!E26&lt;&gt;"",+Cotizador!E26,"")</f>
        <v/>
      </c>
      <c r="C58" s="441"/>
      <c r="D58" s="441"/>
      <c r="E58" s="442"/>
      <c r="F58" s="443" t="str">
        <f>IF(+Cotizador!H26&lt;&gt;"",+Cotizador!H26,"")</f>
        <v/>
      </c>
      <c r="G58" s="441"/>
      <c r="H58" s="441"/>
      <c r="I58" s="441"/>
      <c r="J58" s="442"/>
      <c r="K58" s="164" t="str">
        <f>IF(+Cotizador!J26&lt;&gt;"",+Cotizador!J26,"")</f>
        <v/>
      </c>
      <c r="L58" s="175" t="str">
        <f>IF(AND(+Cotizador!L26&lt;&gt;"dd/mm/aaaa",Cotizador!$J$45=TRUE),+Cotizador!L26,"")</f>
        <v/>
      </c>
      <c r="M58" s="166">
        <f>IF(Cotizador!$J$59=TRUE,Cotizador!U26,Cotizador!Q26)</f>
        <v>0</v>
      </c>
      <c r="N58" s="166">
        <f>IF(Cotizador!$J$59=TRUE,Cotizador!V26,Cotizador!R26)</f>
        <v>0</v>
      </c>
      <c r="O58" s="166">
        <f>M58+N58</f>
        <v>0</v>
      </c>
      <c r="P58"/>
      <c r="Q58"/>
      <c r="R58"/>
      <c r="S58"/>
      <c r="T58"/>
      <c r="U58"/>
    </row>
    <row r="59" spans="1:21" ht="14.5" x14ac:dyDescent="0.35">
      <c r="A59"/>
      <c r="B59" s="440" t="str">
        <f>IF(+Cotizador!E28&lt;&gt;"",+Cotizador!E28,"")</f>
        <v/>
      </c>
      <c r="C59" s="441"/>
      <c r="D59" s="441"/>
      <c r="E59" s="442"/>
      <c r="F59" s="443" t="str">
        <f>IF(+Cotizador!H28&lt;&gt;"",+Cotizador!H28,"")</f>
        <v/>
      </c>
      <c r="G59" s="441"/>
      <c r="H59" s="441"/>
      <c r="I59" s="441"/>
      <c r="J59" s="442"/>
      <c r="K59" s="164" t="str">
        <f>IF(+Cotizador!J28&lt;&gt;"",+Cotizador!J28,"")</f>
        <v/>
      </c>
      <c r="L59" s="175" t="str">
        <f>IF(AND(+Cotizador!L28&lt;&gt;"dd/mm/aaaa",Cotizador!$J$45=TRUE),+Cotizador!L28,"")</f>
        <v/>
      </c>
      <c r="M59" s="166">
        <f>IF(Cotizador!$J$59=TRUE,Cotizador!U28,Cotizador!Q28)</f>
        <v>0</v>
      </c>
      <c r="N59" s="166">
        <f>IF(Cotizador!$J$59=TRUE,Cotizador!V28,Cotizador!R28)</f>
        <v>0</v>
      </c>
      <c r="O59" s="166">
        <f>M59+N59</f>
        <v>0</v>
      </c>
      <c r="P59"/>
      <c r="Q59"/>
      <c r="R59"/>
      <c r="S59"/>
      <c r="T59"/>
      <c r="U59"/>
    </row>
    <row r="60" spans="1:21" ht="14.5" x14ac:dyDescent="0.35">
      <c r="A60"/>
      <c r="B60" s="440" t="str">
        <f>IF(+Cotizador!E30&lt;&gt;"",+Cotizador!E30,"")</f>
        <v/>
      </c>
      <c r="C60" s="441"/>
      <c r="D60" s="441"/>
      <c r="E60" s="442"/>
      <c r="F60" s="443" t="str">
        <f>IF(+Cotizador!H30&lt;&gt;"",+Cotizador!H30,"")</f>
        <v/>
      </c>
      <c r="G60" s="441"/>
      <c r="H60" s="441"/>
      <c r="I60" s="441"/>
      <c r="J60" s="442"/>
      <c r="K60" s="164" t="str">
        <f>IF(+Cotizador!J30&lt;&gt;"",+Cotizador!J30,"")</f>
        <v/>
      </c>
      <c r="L60" s="175" t="str">
        <f>IF(AND(+Cotizador!L30&lt;&gt;"dd/mm/aaaa",Cotizador!$J$45=TRUE),+Cotizador!L30,"")</f>
        <v/>
      </c>
      <c r="M60" s="166">
        <f>IF(Cotizador!$J$59=TRUE,Cotizador!U30,Cotizador!Q30)</f>
        <v>0</v>
      </c>
      <c r="N60" s="166">
        <f>IF(Cotizador!$J$59=TRUE,Cotizador!V30,Cotizador!R30)</f>
        <v>0</v>
      </c>
      <c r="O60" s="166">
        <f>M60+N60</f>
        <v>0</v>
      </c>
      <c r="P60"/>
      <c r="Q60"/>
      <c r="R60"/>
      <c r="S60"/>
      <c r="T60"/>
      <c r="U60"/>
    </row>
    <row r="61" spans="1:21" ht="14.5" x14ac:dyDescent="0.35">
      <c r="A61"/>
      <c r="B61" s="440" t="str">
        <f>IF(+Cotizador!E32&lt;&gt;"",+Cotizador!E32,"")</f>
        <v/>
      </c>
      <c r="C61" s="441"/>
      <c r="D61" s="441"/>
      <c r="E61" s="442"/>
      <c r="F61" s="443" t="str">
        <f>IF(+Cotizador!H32&lt;&gt;"",+Cotizador!H32,"")</f>
        <v/>
      </c>
      <c r="G61" s="441"/>
      <c r="H61" s="441"/>
      <c r="I61" s="441"/>
      <c r="J61" s="442"/>
      <c r="K61" s="164" t="str">
        <f>IF(+Cotizador!J32&lt;&gt;"",+Cotizador!J32,"")</f>
        <v/>
      </c>
      <c r="L61" s="175" t="str">
        <f>IF(AND(+Cotizador!L32&lt;&gt;"dd/mm/aaaa",Cotizador!$J$45=TRUE),+Cotizador!L32,"")</f>
        <v/>
      </c>
      <c r="M61" s="166">
        <f>IF(Cotizador!$J$59=TRUE,Cotizador!U32,Cotizador!Q32)</f>
        <v>0</v>
      </c>
      <c r="N61" s="166">
        <f>IF(Cotizador!$J$59=TRUE,Cotizador!V32,Cotizador!R32)</f>
        <v>0</v>
      </c>
      <c r="O61" s="166">
        <f>M61+N61</f>
        <v>0</v>
      </c>
      <c r="P61"/>
      <c r="Q61"/>
      <c r="R61"/>
      <c r="S61"/>
      <c r="T61"/>
      <c r="U61"/>
    </row>
    <row r="62" spans="1:21" ht="14.5" x14ac:dyDescent="0.35">
      <c r="B62" s="18"/>
      <c r="C62" s="127"/>
      <c r="D62" s="127"/>
      <c r="E62" s="127"/>
      <c r="F62" s="127"/>
      <c r="G62" s="127"/>
      <c r="H62" s="127"/>
      <c r="I62" s="127"/>
      <c r="J62" s="127"/>
      <c r="K62" s="127"/>
      <c r="L62" s="127"/>
      <c r="M62" s="127"/>
      <c r="N62" s="127"/>
      <c r="O62" s="128"/>
      <c r="P62"/>
      <c r="Q62"/>
      <c r="R62"/>
      <c r="S62"/>
      <c r="T62"/>
      <c r="U62"/>
    </row>
    <row r="63" spans="1:21" ht="14.5" x14ac:dyDescent="0.35">
      <c r="B63" s="18"/>
      <c r="C63" s="129"/>
      <c r="D63" s="129"/>
      <c r="E63" s="129"/>
      <c r="F63" s="130"/>
      <c r="G63" s="131"/>
      <c r="H63" s="131"/>
      <c r="I63" s="132"/>
      <c r="J63" s="127"/>
      <c r="K63" s="131"/>
      <c r="L63" s="127"/>
      <c r="M63" s="133"/>
      <c r="N63" s="133"/>
      <c r="O63" s="134"/>
      <c r="P63" s="135"/>
      <c r="Q63" s="135"/>
      <c r="R63" s="135"/>
      <c r="S63" s="135"/>
      <c r="T63" s="135"/>
      <c r="U63" s="135"/>
    </row>
    <row r="64" spans="1:21" ht="14.5" x14ac:dyDescent="0.35">
      <c r="B64" s="445" t="s">
        <v>204</v>
      </c>
      <c r="C64" s="445"/>
      <c r="D64" s="136" t="s">
        <v>205</v>
      </c>
      <c r="E64" s="17"/>
      <c r="F64" s="127"/>
      <c r="G64" s="127"/>
      <c r="H64" s="127"/>
      <c r="I64" s="127"/>
      <c r="J64" s="127"/>
      <c r="K64" s="127"/>
      <c r="L64" s="137" t="s">
        <v>206</v>
      </c>
      <c r="N64" s="134"/>
      <c r="O64" s="138">
        <f>+SUM(O54:O61)</f>
        <v>0</v>
      </c>
      <c r="P64" s="135"/>
      <c r="Q64" s="135"/>
      <c r="R64" s="135"/>
      <c r="S64" s="135"/>
      <c r="T64" s="135"/>
      <c r="U64" s="135"/>
    </row>
    <row r="65" spans="1:21" ht="14.5" x14ac:dyDescent="0.35">
      <c r="B65" s="445" t="s">
        <v>207</v>
      </c>
      <c r="C65" s="445"/>
      <c r="D65" s="165" t="str">
        <f>IF(Cotizador!E63&lt;&gt;"",Cotizador!E63,"")</f>
        <v/>
      </c>
      <c r="E65"/>
      <c r="F65" s="2"/>
      <c r="G65" s="139"/>
      <c r="H65" s="139"/>
      <c r="I65" s="140"/>
      <c r="J65" s="127"/>
      <c r="K65" s="127"/>
      <c r="L65" s="137" t="s">
        <v>208</v>
      </c>
      <c r="N65" s="134"/>
      <c r="O65" s="138">
        <v>0</v>
      </c>
      <c r="P65" s="135"/>
      <c r="Q65" s="135"/>
      <c r="R65" s="135"/>
      <c r="S65" s="135"/>
      <c r="T65" s="135"/>
      <c r="U65" s="135"/>
    </row>
    <row r="66" spans="1:21" ht="14.5" x14ac:dyDescent="0.35">
      <c r="B66" s="445" t="s">
        <v>242</v>
      </c>
      <c r="C66" s="445"/>
      <c r="D66" s="165" t="e">
        <f>VLOOKUP(D65,Tarifa!$BL$31:$BN$35,3,0)</f>
        <v>#N/A</v>
      </c>
      <c r="E66"/>
      <c r="F66" s="2"/>
      <c r="G66" s="139"/>
      <c r="H66" s="139"/>
      <c r="I66" s="140"/>
      <c r="J66" s="127"/>
      <c r="K66" s="127"/>
      <c r="L66" s="137" t="s">
        <v>209</v>
      </c>
      <c r="N66" s="134"/>
      <c r="O66" s="138" t="e">
        <f>O64*VLOOKUP(D65,Tarifa!$BL$31:$BM$35,2,0)</f>
        <v>#N/A</v>
      </c>
      <c r="P66" s="135"/>
      <c r="Q66" s="135"/>
      <c r="R66" s="135"/>
      <c r="S66" s="135"/>
      <c r="T66" s="135"/>
      <c r="U66" s="135"/>
    </row>
    <row r="67" spans="1:21" thickBot="1" x14ac:dyDescent="0.4">
      <c r="B67" s="18"/>
      <c r="C67" s="141"/>
      <c r="D67" s="15"/>
      <c r="E67" s="127"/>
      <c r="F67" s="127"/>
      <c r="G67" s="127"/>
      <c r="H67" s="127"/>
      <c r="I67" s="127"/>
      <c r="J67" s="127"/>
      <c r="K67" s="127"/>
      <c r="L67" s="137" t="s">
        <v>210</v>
      </c>
      <c r="N67" s="127"/>
      <c r="O67" s="138">
        <v>700</v>
      </c>
      <c r="P67" s="135"/>
      <c r="Q67" s="135"/>
      <c r="R67" s="135"/>
      <c r="S67" s="135"/>
      <c r="T67" s="135"/>
      <c r="U67" s="135"/>
    </row>
    <row r="68" spans="1:21" ht="14.5" x14ac:dyDescent="0.35">
      <c r="B68" s="184"/>
      <c r="C68" s="185"/>
      <c r="D68" s="186"/>
      <c r="E68" s="187"/>
      <c r="F68" s="188"/>
      <c r="G68" s="188"/>
      <c r="H68" s="188"/>
      <c r="I68" s="189"/>
      <c r="J68" s="190"/>
      <c r="K68" s="127"/>
      <c r="L68" s="137" t="s">
        <v>211</v>
      </c>
      <c r="N68" s="127"/>
      <c r="O68" s="138" t="e">
        <f>+O64-O65+O66+O67</f>
        <v>#N/A</v>
      </c>
      <c r="P68" s="135"/>
      <c r="Q68" s="135"/>
      <c r="R68" s="135"/>
      <c r="S68" s="135"/>
      <c r="T68" s="135"/>
      <c r="U68" s="135"/>
    </row>
    <row r="69" spans="1:21" ht="14.5" x14ac:dyDescent="0.35">
      <c r="B69" s="191"/>
      <c r="C69" s="142"/>
      <c r="D69" s="192"/>
      <c r="E69" s="143"/>
      <c r="F69" s="128"/>
      <c r="G69" s="128"/>
      <c r="H69" s="128"/>
      <c r="I69" s="128"/>
      <c r="J69" s="193"/>
      <c r="K69" s="16"/>
      <c r="L69" s="137" t="s">
        <v>81</v>
      </c>
      <c r="N69"/>
      <c r="O69" s="144" t="e">
        <f>0.16*O68</f>
        <v>#N/A</v>
      </c>
      <c r="P69" s="135"/>
      <c r="Q69" s="135"/>
      <c r="R69" s="135"/>
      <c r="S69" s="135"/>
      <c r="T69" s="135"/>
      <c r="U69" s="135"/>
    </row>
    <row r="70" spans="1:21" ht="14.5" x14ac:dyDescent="0.35">
      <c r="B70" s="191"/>
      <c r="C70" s="142"/>
      <c r="D70" s="194"/>
      <c r="E70" s="145"/>
      <c r="F70" s="195"/>
      <c r="G70" s="195"/>
      <c r="H70" s="195"/>
      <c r="I70" s="128"/>
      <c r="J70" s="196"/>
      <c r="K70" s="367"/>
      <c r="L70" s="137" t="s">
        <v>212</v>
      </c>
      <c r="N70" s="127"/>
      <c r="O70" s="138" t="e">
        <f>+O69+O68</f>
        <v>#N/A</v>
      </c>
      <c r="P70" s="135"/>
      <c r="Q70" s="135"/>
      <c r="R70" s="135"/>
      <c r="S70" s="135"/>
      <c r="T70" s="135"/>
      <c r="U70" s="135"/>
    </row>
    <row r="71" spans="1:21" ht="14.5" x14ac:dyDescent="0.35">
      <c r="B71" s="191"/>
      <c r="C71" s="142"/>
      <c r="D71" s="194"/>
      <c r="E71" s="145"/>
      <c r="F71" s="195"/>
      <c r="G71" s="195"/>
      <c r="H71" s="195"/>
      <c r="I71" s="128"/>
      <c r="J71" s="196"/>
      <c r="K71" s="367"/>
      <c r="L71" s="137"/>
      <c r="N71" s="127"/>
      <c r="O71" s="146"/>
      <c r="P71" s="135"/>
      <c r="Q71" s="135"/>
      <c r="R71" s="135"/>
      <c r="S71" s="135"/>
      <c r="T71" s="135"/>
      <c r="U71" s="135"/>
    </row>
    <row r="72" spans="1:21" ht="14.5" x14ac:dyDescent="0.35">
      <c r="B72" s="191"/>
      <c r="C72" s="142"/>
      <c r="D72" s="194"/>
      <c r="E72" s="145"/>
      <c r="F72" s="195"/>
      <c r="G72" s="195"/>
      <c r="H72" s="195"/>
      <c r="I72" s="128"/>
      <c r="J72" s="196"/>
      <c r="K72" s="127"/>
      <c r="L72" s="447" t="s">
        <v>213</v>
      </c>
      <c r="M72" s="447"/>
      <c r="N72" s="447"/>
      <c r="O72" s="447"/>
      <c r="P72" s="135"/>
      <c r="Q72" s="135"/>
      <c r="R72" s="135"/>
      <c r="S72" s="135"/>
      <c r="T72" s="135"/>
      <c r="U72" s="135"/>
    </row>
    <row r="73" spans="1:21" ht="6.75" customHeight="1" x14ac:dyDescent="0.35">
      <c r="A73"/>
      <c r="B73" s="197"/>
      <c r="C73" s="79"/>
      <c r="D73" s="79"/>
      <c r="E73" s="79"/>
      <c r="F73" s="79"/>
      <c r="G73" s="79"/>
      <c r="H73" s="79"/>
      <c r="I73" s="79"/>
      <c r="J73" s="198"/>
      <c r="K73"/>
      <c r="L73"/>
      <c r="M73"/>
      <c r="N73"/>
      <c r="O73"/>
      <c r="P73"/>
      <c r="Q73"/>
      <c r="R73"/>
      <c r="S73"/>
      <c r="T73"/>
      <c r="U73"/>
    </row>
    <row r="74" spans="1:21" ht="14.5" x14ac:dyDescent="0.35">
      <c r="B74" s="191"/>
      <c r="C74" s="142"/>
      <c r="D74" s="194"/>
      <c r="E74" s="145"/>
      <c r="F74" s="195"/>
      <c r="G74" s="195"/>
      <c r="H74" s="195"/>
      <c r="I74" s="128"/>
      <c r="J74" s="196"/>
      <c r="K74" s="127"/>
      <c r="L74" s="448" t="s">
        <v>214</v>
      </c>
      <c r="M74" s="448"/>
      <c r="O74" s="147" t="e">
        <f>IF(D66=1,O70,ROUND(((O68-O67)/D66+O67)*1.16,2))</f>
        <v>#N/A</v>
      </c>
      <c r="P74" s="135"/>
      <c r="Q74" s="135"/>
      <c r="R74" s="135"/>
      <c r="S74" s="135"/>
      <c r="T74" s="135"/>
      <c r="U74" s="135"/>
    </row>
    <row r="75" spans="1:21" thickBot="1" x14ac:dyDescent="0.4">
      <c r="B75" s="205" t="s">
        <v>240</v>
      </c>
      <c r="C75" s="204"/>
      <c r="D75" s="199"/>
      <c r="E75" s="200"/>
      <c r="F75" s="201"/>
      <c r="G75" s="201"/>
      <c r="H75" s="201"/>
      <c r="I75" s="202"/>
      <c r="J75" s="203"/>
      <c r="K75" s="127"/>
      <c r="L75" s="448" t="e">
        <f>"Recibos subsecuentes("&amp;D66-1&amp;")"</f>
        <v>#N/A</v>
      </c>
      <c r="M75" s="448"/>
      <c r="N75" s="211"/>
      <c r="O75" s="147" t="e">
        <f>IF(D66=4,(O70-O74)/3,IF(D66=12,(O70-O74)/11,IF(D66=6,(O70-O74)/5,ROUND(O70-O74,2))))</f>
        <v>#N/A</v>
      </c>
      <c r="P75" s="135"/>
      <c r="Q75" s="135"/>
      <c r="R75" s="135"/>
      <c r="S75" s="135"/>
      <c r="T75" s="135"/>
      <c r="U75" s="135"/>
    </row>
    <row r="76" spans="1:21" ht="11.25" customHeight="1" x14ac:dyDescent="0.35">
      <c r="B76" s="148"/>
      <c r="C76" s="149"/>
      <c r="D76" s="148"/>
      <c r="E76" s="148"/>
      <c r="F76" s="149"/>
      <c r="G76" s="149"/>
      <c r="H76" s="149"/>
      <c r="I76" s="148"/>
      <c r="J76" s="148"/>
      <c r="K76" s="148"/>
      <c r="L76" s="148"/>
      <c r="M76" s="149"/>
      <c r="N76" s="148"/>
      <c r="O76" s="148"/>
      <c r="P76" s="135"/>
      <c r="Q76" s="135"/>
      <c r="R76" s="135"/>
      <c r="S76" s="135"/>
      <c r="T76" s="135"/>
      <c r="U76" s="135"/>
    </row>
    <row r="77" spans="1:21" ht="14.5" x14ac:dyDescent="0.35">
      <c r="A77" s="10"/>
      <c r="B77" s="449" t="s">
        <v>82</v>
      </c>
      <c r="C77" s="450"/>
      <c r="D77" s="450"/>
      <c r="E77" s="450"/>
      <c r="F77" s="450"/>
      <c r="G77" s="450"/>
      <c r="H77" s="450"/>
      <c r="I77" s="450"/>
      <c r="J77" s="450"/>
      <c r="K77" s="450"/>
      <c r="L77" s="450"/>
      <c r="M77" s="450"/>
      <c r="N77" s="450"/>
      <c r="O77" s="451"/>
      <c r="P77" s="135"/>
      <c r="Q77" s="135"/>
      <c r="R77" s="135"/>
      <c r="S77" s="135"/>
      <c r="T77" s="135"/>
      <c r="U77" s="135"/>
    </row>
    <row r="78" spans="1:21" ht="9" customHeight="1" x14ac:dyDescent="0.35">
      <c r="A78" s="10"/>
      <c r="B78" s="452"/>
      <c r="C78" s="452"/>
      <c r="D78" s="452"/>
      <c r="E78" s="452"/>
      <c r="F78" s="452"/>
      <c r="G78" s="452"/>
      <c r="H78" s="452"/>
      <c r="I78" s="452"/>
      <c r="J78" s="452"/>
      <c r="K78" s="452"/>
      <c r="L78" s="452"/>
      <c r="M78" s="452"/>
      <c r="N78" s="452"/>
      <c r="O78" s="452"/>
      <c r="P78" s="135"/>
      <c r="Q78" s="135"/>
      <c r="R78" s="135"/>
      <c r="S78" s="135"/>
      <c r="T78" s="135"/>
      <c r="U78" s="135"/>
    </row>
    <row r="79" spans="1:21" ht="14.5" x14ac:dyDescent="0.35">
      <c r="B79" s="444" t="s">
        <v>215</v>
      </c>
      <c r="C79" s="444"/>
      <c r="D79" s="444"/>
      <c r="E79" s="444"/>
      <c r="F79" s="444"/>
      <c r="G79" s="444"/>
      <c r="H79" s="444"/>
      <c r="I79" s="444"/>
      <c r="J79" s="444"/>
      <c r="K79" s="444"/>
      <c r="L79" s="444"/>
      <c r="M79" s="444"/>
      <c r="N79" s="444"/>
      <c r="O79" s="444"/>
      <c r="P79" s="135"/>
      <c r="Q79" s="135"/>
      <c r="R79" s="135"/>
      <c r="S79" s="135"/>
      <c r="T79" s="135"/>
      <c r="U79" s="135"/>
    </row>
    <row r="80" spans="1:21" ht="14.5" x14ac:dyDescent="0.35">
      <c r="B80" s="444" t="s">
        <v>216</v>
      </c>
      <c r="C80" s="444"/>
      <c r="D80" s="444"/>
      <c r="E80" s="444"/>
      <c r="F80" s="444"/>
      <c r="G80" s="444"/>
      <c r="H80" s="444"/>
      <c r="I80" s="444"/>
      <c r="J80" s="444"/>
      <c r="K80" s="444"/>
      <c r="L80" s="444"/>
      <c r="M80" s="444"/>
      <c r="N80" s="444"/>
      <c r="O80" s="444"/>
      <c r="P80" s="135"/>
      <c r="Q80" s="135"/>
      <c r="R80" s="135"/>
      <c r="S80" s="135"/>
      <c r="T80" s="135"/>
      <c r="U80" s="135"/>
    </row>
    <row r="81" spans="1:21" ht="14.5" x14ac:dyDescent="0.35">
      <c r="B81" s="444" t="s">
        <v>217</v>
      </c>
      <c r="C81" s="444"/>
      <c r="D81" s="444"/>
      <c r="E81" s="444"/>
      <c r="F81" s="444"/>
      <c r="G81" s="444"/>
      <c r="H81" s="444"/>
      <c r="I81" s="444"/>
      <c r="J81" s="444"/>
      <c r="K81" s="444"/>
      <c r="L81" s="444"/>
      <c r="M81" s="444"/>
      <c r="N81" s="444"/>
      <c r="O81" s="444"/>
      <c r="P81" s="135"/>
      <c r="Q81" s="135"/>
      <c r="R81" s="135"/>
      <c r="S81" s="135"/>
      <c r="T81" s="135"/>
      <c r="U81" s="135"/>
    </row>
    <row r="82" spans="1:21" ht="29.25" customHeight="1" x14ac:dyDescent="0.35">
      <c r="B82" s="444" t="s">
        <v>218</v>
      </c>
      <c r="C82" s="444"/>
      <c r="D82" s="444"/>
      <c r="E82" s="444"/>
      <c r="F82" s="444"/>
      <c r="G82" s="444"/>
      <c r="H82" s="444"/>
      <c r="I82" s="444"/>
      <c r="J82" s="444"/>
      <c r="K82" s="444"/>
      <c r="L82" s="444"/>
      <c r="M82" s="444"/>
      <c r="N82" s="444"/>
      <c r="O82" s="444"/>
      <c r="P82" s="135"/>
      <c r="Q82" s="135"/>
      <c r="R82" s="135"/>
      <c r="S82" s="135"/>
      <c r="T82" s="135"/>
      <c r="U82" s="135"/>
    </row>
    <row r="83" spans="1:21" ht="9" customHeight="1" x14ac:dyDescent="0.35">
      <c r="A83" s="10"/>
      <c r="B83" s="446"/>
      <c r="C83" s="446"/>
      <c r="D83" s="446"/>
      <c r="E83" s="446"/>
      <c r="F83" s="446"/>
      <c r="G83" s="446"/>
      <c r="H83" s="446"/>
      <c r="I83" s="446"/>
      <c r="J83" s="446"/>
      <c r="K83" s="446"/>
      <c r="L83" s="446"/>
      <c r="M83" s="446"/>
      <c r="N83" s="446"/>
      <c r="O83" s="446"/>
      <c r="P83" s="150"/>
      <c r="Q83" s="150"/>
      <c r="R83" s="150"/>
      <c r="S83" s="150"/>
      <c r="T83" s="150"/>
      <c r="U83" s="150"/>
    </row>
    <row r="84" spans="1:21" ht="14.5" x14ac:dyDescent="0.35">
      <c r="B84" s="135"/>
      <c r="C84" s="151"/>
      <c r="D84" s="152"/>
      <c r="E84" s="152"/>
      <c r="F84" s="152"/>
      <c r="G84" s="152"/>
      <c r="H84" s="152"/>
      <c r="I84" s="152"/>
      <c r="J84" s="152"/>
      <c r="K84" s="152"/>
      <c r="L84" s="152"/>
      <c r="M84" s="152"/>
      <c r="N84" s="152"/>
      <c r="O84" s="153"/>
      <c r="P84" s="150"/>
      <c r="Q84" s="150"/>
      <c r="R84" s="150"/>
      <c r="S84" s="150"/>
      <c r="T84" s="150"/>
      <c r="U84" s="150"/>
    </row>
    <row r="85" spans="1:21" ht="14.5" x14ac:dyDescent="0.35">
      <c r="A85" s="10"/>
      <c r="B85" s="135"/>
      <c r="C85" s="135"/>
      <c r="D85" s="154"/>
      <c r="E85" s="150"/>
      <c r="F85" s="150"/>
      <c r="G85" s="150"/>
      <c r="H85" s="150"/>
      <c r="I85" s="150"/>
      <c r="J85" s="155"/>
      <c r="K85" s="155"/>
      <c r="L85" s="155"/>
      <c r="M85" s="150"/>
      <c r="N85" s="150"/>
      <c r="O85" s="156"/>
      <c r="P85" s="150"/>
      <c r="Q85" s="150"/>
      <c r="R85" s="150"/>
      <c r="S85" s="150"/>
      <c r="T85" s="150"/>
      <c r="U85" s="150"/>
    </row>
    <row r="86" spans="1:21" ht="14.5" x14ac:dyDescent="0.35">
      <c r="A86" s="10"/>
      <c r="B86" s="135"/>
      <c r="C86" s="135"/>
      <c r="D86" s="154"/>
      <c r="E86" s="150"/>
      <c r="F86" s="150"/>
      <c r="G86" s="150"/>
      <c r="H86" s="150"/>
      <c r="I86" s="150"/>
      <c r="J86" s="155"/>
      <c r="K86" s="155"/>
      <c r="L86" s="155"/>
      <c r="M86" s="150"/>
      <c r="N86" s="150"/>
      <c r="O86" s="156"/>
      <c r="P86" s="150"/>
      <c r="Q86" s="150"/>
      <c r="R86" s="150"/>
      <c r="S86" s="150"/>
      <c r="T86" s="150"/>
      <c r="U86" s="150"/>
    </row>
    <row r="87" spans="1:21" ht="14.5" x14ac:dyDescent="0.35">
      <c r="A87" s="10"/>
      <c r="B87" s="135"/>
      <c r="C87" s="135"/>
      <c r="D87" s="154"/>
      <c r="E87" s="150"/>
      <c r="F87" s="150"/>
      <c r="G87" s="150"/>
      <c r="H87" s="150"/>
      <c r="I87" s="150"/>
      <c r="J87" s="155"/>
      <c r="K87" s="155"/>
      <c r="L87" s="155"/>
      <c r="M87" s="150"/>
      <c r="N87" s="150"/>
      <c r="O87" s="156"/>
      <c r="P87" s="150"/>
      <c r="Q87" s="150"/>
      <c r="R87" s="150"/>
      <c r="S87" s="150"/>
      <c r="T87" s="150"/>
      <c r="U87" s="150"/>
    </row>
    <row r="88" spans="1:21" ht="14.5" hidden="1" x14ac:dyDescent="0.35">
      <c r="A88" s="10"/>
      <c r="B88" s="135"/>
      <c r="C88" s="135"/>
      <c r="D88" s="154"/>
      <c r="E88" s="150"/>
      <c r="F88" s="150"/>
      <c r="G88" s="150"/>
      <c r="H88" s="150"/>
      <c r="I88" s="150"/>
      <c r="J88" s="155"/>
      <c r="K88" s="155"/>
      <c r="L88" s="155"/>
      <c r="M88" s="150"/>
      <c r="N88" s="150"/>
      <c r="O88" s="156"/>
      <c r="P88" s="150"/>
      <c r="Q88" s="150"/>
      <c r="R88" s="150"/>
      <c r="S88" s="150"/>
      <c r="T88" s="150"/>
      <c r="U88" s="150"/>
    </row>
    <row r="89" spans="1:21" ht="14.5" hidden="1" x14ac:dyDescent="0.35">
      <c r="A89" s="10"/>
      <c r="B89" s="135"/>
      <c r="C89" s="135"/>
      <c r="D89" s="154"/>
      <c r="E89" s="150"/>
      <c r="F89" s="150"/>
      <c r="G89" s="150"/>
      <c r="H89" s="150"/>
      <c r="I89" s="150"/>
      <c r="J89" s="155"/>
      <c r="K89" s="155"/>
      <c r="L89" s="155"/>
      <c r="M89" s="150"/>
      <c r="N89" s="150"/>
      <c r="O89" s="156"/>
      <c r="P89" s="150"/>
      <c r="Q89" s="150"/>
      <c r="R89" s="150"/>
      <c r="S89" s="150"/>
      <c r="T89" s="150"/>
      <c r="U89" s="150"/>
    </row>
    <row r="90" spans="1:21" ht="14.5" hidden="1" x14ac:dyDescent="0.35">
      <c r="A90" s="10"/>
      <c r="B90" s="135"/>
      <c r="C90" s="135"/>
      <c r="D90" s="154"/>
      <c r="E90" s="150"/>
      <c r="F90" s="150"/>
      <c r="G90" s="150"/>
      <c r="H90" s="150"/>
      <c r="I90" s="150"/>
      <c r="J90" s="155"/>
      <c r="K90" s="155"/>
      <c r="L90" s="155"/>
      <c r="M90" s="150"/>
      <c r="N90" s="150"/>
      <c r="O90" s="157"/>
      <c r="P90" s="150"/>
      <c r="Q90" s="150"/>
      <c r="R90" s="150"/>
      <c r="S90" s="150"/>
      <c r="T90" s="150"/>
      <c r="U90" s="150"/>
    </row>
    <row r="91" spans="1:21" ht="14.5" hidden="1" x14ac:dyDescent="0.35"/>
    <row r="92" spans="1:21" ht="14.5" hidden="1" x14ac:dyDescent="0.35"/>
    <row r="93" spans="1:21" ht="14.5" hidden="1" x14ac:dyDescent="0.35"/>
    <row r="94" spans="1:21" ht="14.5" hidden="1" x14ac:dyDescent="0.35"/>
    <row r="95" spans="1:21" ht="14.5" hidden="1" x14ac:dyDescent="0.35"/>
    <row r="96" spans="1:21" ht="14.5" hidden="1" x14ac:dyDescent="0.35"/>
    <row r="97" spans="2:282" ht="14.5" hidden="1" x14ac:dyDescent="0.35"/>
    <row r="98" spans="2:282" ht="14.5" hidden="1" x14ac:dyDescent="0.35"/>
    <row r="99" spans="2:282" ht="14.5" hidden="1" x14ac:dyDescent="0.35"/>
    <row r="100" spans="2:282" ht="14.5" hidden="1" x14ac:dyDescent="0.35"/>
    <row r="101" spans="2:282" ht="14.5" hidden="1" x14ac:dyDescent="0.35"/>
    <row r="102" spans="2:282" ht="14.5" hidden="1" x14ac:dyDescent="0.35"/>
    <row r="103" spans="2:282" ht="14.5" hidden="1" x14ac:dyDescent="0.35"/>
    <row r="104" spans="2:282" ht="14.5" hidden="1" x14ac:dyDescent="0.35"/>
    <row r="105" spans="2:282" ht="14.5" hidden="1" x14ac:dyDescent="0.35"/>
    <row r="106" spans="2:282" s="9" customFormat="1" ht="14.5" hidden="1" x14ac:dyDescent="0.35">
      <c r="B106" s="10"/>
      <c r="C106" s="10"/>
      <c r="O106" s="10"/>
      <c r="P106" s="10"/>
      <c r="Q106" s="10"/>
      <c r="R106" s="10"/>
      <c r="S106" s="10"/>
      <c r="T106" s="10"/>
      <c r="U106" s="10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</row>
    <row r="107" spans="2:282" s="9" customFormat="1" ht="14.5" hidden="1" x14ac:dyDescent="0.35">
      <c r="B107" s="10"/>
      <c r="C107" s="10"/>
      <c r="O107" s="10"/>
      <c r="P107" s="10"/>
      <c r="Q107" s="10"/>
      <c r="R107" s="10"/>
      <c r="S107" s="10"/>
      <c r="T107" s="10"/>
      <c r="U107" s="10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</row>
    <row r="108" spans="2:282" s="9" customFormat="1" ht="14.5" hidden="1" x14ac:dyDescent="0.35">
      <c r="B108" s="10"/>
      <c r="C108" s="10"/>
      <c r="O108" s="10"/>
      <c r="P108" s="10"/>
      <c r="Q108" s="10"/>
      <c r="R108" s="10"/>
      <c r="S108" s="10"/>
      <c r="T108" s="10"/>
      <c r="U108" s="10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</row>
    <row r="109" spans="2:282" s="9" customFormat="1" ht="14.5" hidden="1" x14ac:dyDescent="0.35">
      <c r="B109" s="10"/>
      <c r="C109" s="10"/>
      <c r="O109" s="10"/>
      <c r="P109" s="10"/>
      <c r="Q109" s="10"/>
      <c r="R109" s="10"/>
      <c r="S109" s="10"/>
      <c r="T109" s="10"/>
      <c r="U109" s="10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</row>
    <row r="110" spans="2:282" s="9" customFormat="1" ht="14.5" hidden="1" x14ac:dyDescent="0.35">
      <c r="B110" s="10"/>
      <c r="C110" s="10"/>
      <c r="O110" s="10"/>
      <c r="P110" s="10"/>
      <c r="Q110" s="10"/>
      <c r="R110" s="10"/>
      <c r="S110" s="10"/>
      <c r="T110" s="10"/>
      <c r="U110" s="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</row>
    <row r="111" spans="2:282" s="9" customFormat="1" ht="14.5" hidden="1" x14ac:dyDescent="0.35">
      <c r="B111" s="10"/>
      <c r="C111" s="10"/>
      <c r="O111" s="10"/>
      <c r="P111" s="10"/>
      <c r="Q111" s="10"/>
      <c r="R111" s="10"/>
      <c r="S111" s="10"/>
      <c r="T111" s="10"/>
      <c r="U111" s="10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</row>
    <row r="112" spans="2:282" s="9" customFormat="1" ht="14.5" hidden="1" x14ac:dyDescent="0.35">
      <c r="B112" s="10"/>
      <c r="C112" s="10"/>
      <c r="O112" s="10"/>
      <c r="P112" s="10"/>
      <c r="Q112" s="10"/>
      <c r="R112" s="10"/>
      <c r="S112" s="10"/>
      <c r="T112" s="10"/>
      <c r="U112" s="10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</row>
    <row r="113" spans="2:282" s="9" customFormat="1" ht="14.5" hidden="1" x14ac:dyDescent="0.35">
      <c r="B113" s="10"/>
      <c r="C113" s="10"/>
      <c r="O113" s="10"/>
      <c r="P113" s="10"/>
      <c r="Q113" s="10"/>
      <c r="R113" s="10"/>
      <c r="S113" s="10"/>
      <c r="T113" s="10"/>
      <c r="U113" s="10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</row>
    <row r="114" spans="2:282" s="9" customFormat="1" ht="14.5" hidden="1" x14ac:dyDescent="0.35">
      <c r="B114" s="10"/>
      <c r="C114" s="10"/>
      <c r="O114" s="10"/>
      <c r="P114" s="10"/>
      <c r="Q114" s="10"/>
      <c r="R114" s="10"/>
      <c r="S114" s="10"/>
      <c r="T114" s="10"/>
      <c r="U114" s="10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</row>
    <row r="115" spans="2:282" s="9" customFormat="1" ht="14.5" hidden="1" x14ac:dyDescent="0.35">
      <c r="B115" s="10"/>
      <c r="C115" s="10"/>
      <c r="O115" s="10"/>
      <c r="P115" s="10"/>
      <c r="Q115" s="10"/>
      <c r="R115" s="10"/>
      <c r="S115" s="10"/>
      <c r="T115" s="10"/>
      <c r="U115" s="10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</row>
    <row r="116" spans="2:282" s="9" customFormat="1" ht="14.5" hidden="1" x14ac:dyDescent="0.35">
      <c r="B116" s="10"/>
      <c r="C116" s="10"/>
      <c r="O116" s="10"/>
      <c r="P116" s="10"/>
      <c r="Q116" s="10"/>
      <c r="R116" s="10"/>
      <c r="S116" s="10"/>
      <c r="T116" s="10"/>
      <c r="U116" s="10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</row>
    <row r="117" spans="2:282" s="9" customFormat="1" ht="14.5" hidden="1" x14ac:dyDescent="0.35">
      <c r="B117" s="10"/>
      <c r="C117" s="10"/>
      <c r="O117" s="10"/>
      <c r="P117" s="10"/>
      <c r="Q117" s="10"/>
      <c r="R117" s="10"/>
      <c r="S117" s="10"/>
      <c r="T117" s="10"/>
      <c r="U117" s="10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</row>
    <row r="118" spans="2:282" s="9" customFormat="1" ht="14.5" hidden="1" x14ac:dyDescent="0.35">
      <c r="B118" s="10"/>
      <c r="C118" s="10"/>
      <c r="O118" s="10"/>
      <c r="P118" s="10"/>
      <c r="Q118" s="10"/>
      <c r="R118" s="10"/>
      <c r="S118" s="10"/>
      <c r="T118" s="10"/>
      <c r="U118" s="10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</row>
    <row r="119" spans="2:282" s="9" customFormat="1" ht="14.5" hidden="1" x14ac:dyDescent="0.35">
      <c r="B119" s="10"/>
      <c r="C119" s="10"/>
      <c r="O119" s="10"/>
      <c r="P119" s="10"/>
      <c r="Q119" s="10"/>
      <c r="R119" s="10"/>
      <c r="S119" s="10"/>
      <c r="T119" s="10"/>
      <c r="U119" s="10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</row>
    <row r="120" spans="2:282" s="9" customFormat="1" ht="14.5" hidden="1" x14ac:dyDescent="0.35">
      <c r="B120" s="10"/>
      <c r="C120" s="10"/>
      <c r="O120" s="10"/>
      <c r="P120" s="10"/>
      <c r="Q120" s="10"/>
      <c r="R120" s="10"/>
      <c r="S120" s="10"/>
      <c r="T120" s="10"/>
      <c r="U120" s="1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</row>
    <row r="121" spans="2:282" s="9" customFormat="1" ht="14.5" hidden="1" x14ac:dyDescent="0.35">
      <c r="B121" s="10"/>
      <c r="C121" s="10"/>
      <c r="O121" s="10"/>
      <c r="P121" s="10"/>
      <c r="Q121" s="10"/>
      <c r="R121" s="10"/>
      <c r="S121" s="10"/>
      <c r="T121" s="10"/>
      <c r="U121" s="10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</row>
    <row r="122" spans="2:282" s="9" customFormat="1" ht="14.5" hidden="1" x14ac:dyDescent="0.35">
      <c r="B122" s="10"/>
      <c r="C122" s="10"/>
      <c r="O122" s="10"/>
      <c r="P122" s="10"/>
      <c r="Q122" s="10"/>
      <c r="R122" s="10"/>
      <c r="S122" s="10"/>
      <c r="T122" s="10"/>
      <c r="U122" s="10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</row>
    <row r="123" spans="2:282" s="9" customFormat="1" ht="14.5" hidden="1" x14ac:dyDescent="0.35">
      <c r="B123" s="10"/>
      <c r="C123" s="10"/>
      <c r="O123" s="10"/>
      <c r="P123" s="10"/>
      <c r="Q123" s="10"/>
      <c r="R123" s="10"/>
      <c r="S123" s="10"/>
      <c r="T123" s="10"/>
      <c r="U123" s="10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</row>
    <row r="124" spans="2:282" s="9" customFormat="1" ht="14.5" hidden="1" x14ac:dyDescent="0.35">
      <c r="B124" s="10"/>
      <c r="C124" s="10"/>
      <c r="O124" s="10"/>
      <c r="P124" s="10"/>
      <c r="Q124" s="10"/>
      <c r="R124" s="10"/>
      <c r="S124" s="10"/>
      <c r="T124" s="10"/>
      <c r="U124" s="10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</row>
    <row r="125" spans="2:282" s="9" customFormat="1" ht="14.5" hidden="1" x14ac:dyDescent="0.35">
      <c r="B125" s="10"/>
      <c r="C125" s="10"/>
      <c r="O125" s="10"/>
      <c r="P125" s="10"/>
      <c r="Q125" s="10"/>
      <c r="R125" s="10"/>
      <c r="S125" s="10"/>
      <c r="T125" s="10"/>
      <c r="U125" s="10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</row>
    <row r="126" spans="2:282" s="9" customFormat="1" ht="14.5" hidden="1" x14ac:dyDescent="0.35">
      <c r="B126" s="10"/>
      <c r="C126" s="10"/>
      <c r="O126" s="10"/>
      <c r="P126" s="10"/>
      <c r="Q126" s="10"/>
      <c r="R126" s="10"/>
      <c r="S126" s="10"/>
      <c r="T126" s="10"/>
      <c r="U126" s="10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</row>
    <row r="127" spans="2:282" s="9" customFormat="1" ht="14.5" hidden="1" x14ac:dyDescent="0.35">
      <c r="B127" s="10"/>
      <c r="C127" s="10"/>
      <c r="O127" s="10"/>
      <c r="P127" s="10"/>
      <c r="Q127" s="10"/>
      <c r="R127" s="10"/>
      <c r="S127" s="10"/>
      <c r="T127" s="10"/>
      <c r="U127" s="10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</row>
    <row r="128" spans="2:282" s="9" customFormat="1" ht="14.5" hidden="1" x14ac:dyDescent="0.35">
      <c r="B128" s="10"/>
      <c r="C128" s="10"/>
      <c r="O128" s="10"/>
      <c r="P128" s="10"/>
      <c r="Q128" s="10"/>
      <c r="R128" s="10"/>
      <c r="S128" s="10"/>
      <c r="T128" s="10"/>
      <c r="U128" s="10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</row>
    <row r="129" spans="2:282" s="9" customFormat="1" ht="14.5" hidden="1" x14ac:dyDescent="0.35">
      <c r="B129" s="10"/>
      <c r="C129" s="10"/>
      <c r="O129" s="10"/>
      <c r="P129" s="10"/>
      <c r="Q129" s="10"/>
      <c r="R129" s="10"/>
      <c r="S129" s="10"/>
      <c r="T129" s="10"/>
      <c r="U129" s="10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</row>
    <row r="130" spans="2:282" s="9" customFormat="1" ht="14.5" hidden="1" x14ac:dyDescent="0.35">
      <c r="B130" s="10"/>
      <c r="C130" s="10"/>
      <c r="O130" s="10"/>
      <c r="P130" s="10"/>
      <c r="Q130" s="10"/>
      <c r="R130" s="10"/>
      <c r="S130" s="10"/>
      <c r="T130" s="10"/>
      <c r="U130" s="1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</row>
    <row r="131" spans="2:282" s="9" customFormat="1" ht="14.5" hidden="1" x14ac:dyDescent="0.35">
      <c r="B131" s="10"/>
      <c r="C131" s="10"/>
      <c r="O131" s="10"/>
      <c r="P131" s="10"/>
      <c r="Q131" s="10"/>
      <c r="R131" s="10"/>
      <c r="S131" s="10"/>
      <c r="T131" s="10"/>
      <c r="U131" s="10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</row>
    <row r="132" spans="2:282" s="9" customFormat="1" ht="14.5" hidden="1" x14ac:dyDescent="0.35">
      <c r="B132" s="10"/>
      <c r="C132" s="10"/>
      <c r="O132" s="10"/>
      <c r="P132" s="10"/>
      <c r="Q132" s="10"/>
      <c r="R132" s="10"/>
      <c r="S132" s="10"/>
      <c r="T132" s="10"/>
      <c r="U132" s="10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</row>
    <row r="133" spans="2:282" s="9" customFormat="1" ht="14.5" hidden="1" x14ac:dyDescent="0.35">
      <c r="B133" s="10"/>
      <c r="C133" s="10"/>
      <c r="O133" s="10"/>
      <c r="P133" s="10"/>
      <c r="Q133" s="10"/>
      <c r="R133" s="10"/>
      <c r="S133" s="10"/>
      <c r="T133" s="10"/>
      <c r="U133" s="10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</row>
    <row r="134" spans="2:282" s="9" customFormat="1" ht="14.5" hidden="1" x14ac:dyDescent="0.35">
      <c r="B134" s="10"/>
      <c r="C134" s="10"/>
      <c r="O134" s="10"/>
      <c r="P134" s="10"/>
      <c r="Q134" s="10"/>
      <c r="R134" s="10"/>
      <c r="S134" s="10"/>
      <c r="T134" s="10"/>
      <c r="U134" s="10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</row>
    <row r="135" spans="2:282" s="9" customFormat="1" ht="14.5" hidden="1" x14ac:dyDescent="0.35">
      <c r="B135" s="10"/>
      <c r="C135" s="10"/>
      <c r="O135" s="10"/>
      <c r="P135" s="10"/>
      <c r="Q135" s="10"/>
      <c r="R135" s="10"/>
      <c r="S135" s="10"/>
      <c r="T135" s="10"/>
      <c r="U135" s="10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</row>
    <row r="136" spans="2:282" s="9" customFormat="1" ht="14.5" hidden="1" x14ac:dyDescent="0.35">
      <c r="B136" s="10"/>
      <c r="C136" s="10"/>
      <c r="O136" s="10"/>
      <c r="P136" s="10"/>
      <c r="Q136" s="10"/>
      <c r="R136" s="10"/>
      <c r="S136" s="10"/>
      <c r="T136" s="10"/>
      <c r="U136" s="10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</row>
    <row r="137" spans="2:282" s="9" customFormat="1" ht="14.5" hidden="1" x14ac:dyDescent="0.35">
      <c r="B137" s="10"/>
      <c r="C137" s="10"/>
      <c r="O137" s="10"/>
      <c r="P137" s="10"/>
      <c r="Q137" s="10"/>
      <c r="R137" s="10"/>
      <c r="S137" s="10"/>
      <c r="T137" s="10"/>
      <c r="U137" s="10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</row>
    <row r="138" spans="2:282" s="9" customFormat="1" ht="14.5" hidden="1" x14ac:dyDescent="0.35">
      <c r="B138" s="10"/>
      <c r="C138" s="10"/>
      <c r="O138" s="10"/>
      <c r="P138" s="10"/>
      <c r="Q138" s="10"/>
      <c r="R138" s="10"/>
      <c r="S138" s="10"/>
      <c r="T138" s="10"/>
      <c r="U138" s="10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</row>
    <row r="139" spans="2:282" s="9" customFormat="1" ht="14.5" hidden="1" x14ac:dyDescent="0.35">
      <c r="B139" s="10"/>
      <c r="C139" s="10"/>
      <c r="O139" s="10"/>
      <c r="P139" s="10"/>
      <c r="Q139" s="10"/>
      <c r="R139" s="10"/>
      <c r="S139" s="10"/>
      <c r="T139" s="10"/>
      <c r="U139" s="10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</row>
    <row r="140" spans="2:282" s="9" customFormat="1" ht="14.5" hidden="1" x14ac:dyDescent="0.35">
      <c r="B140" s="10"/>
      <c r="C140" s="10"/>
      <c r="O140" s="10"/>
      <c r="P140" s="10"/>
      <c r="Q140" s="10"/>
      <c r="R140" s="10"/>
      <c r="S140" s="10"/>
      <c r="T140" s="10"/>
      <c r="U140" s="1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</row>
    <row r="141" spans="2:282" s="9" customFormat="1" ht="14.5" hidden="1" x14ac:dyDescent="0.35">
      <c r="B141" s="10"/>
      <c r="C141" s="10"/>
      <c r="O141" s="10"/>
      <c r="P141" s="10"/>
      <c r="Q141" s="10"/>
      <c r="R141" s="10"/>
      <c r="S141" s="10"/>
      <c r="T141" s="10"/>
      <c r="U141" s="10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</row>
    <row r="142" spans="2:282" s="9" customFormat="1" ht="14.5" hidden="1" x14ac:dyDescent="0.35">
      <c r="B142" s="10"/>
      <c r="C142" s="10"/>
      <c r="O142" s="10"/>
      <c r="P142" s="10"/>
      <c r="Q142" s="10"/>
      <c r="R142" s="10"/>
      <c r="S142" s="10"/>
      <c r="T142" s="10"/>
      <c r="U142" s="10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</row>
    <row r="143" spans="2:282" s="9" customFormat="1" ht="14.5" hidden="1" x14ac:dyDescent="0.35">
      <c r="B143" s="10"/>
      <c r="C143" s="10"/>
      <c r="O143" s="10"/>
      <c r="P143" s="10"/>
      <c r="Q143" s="10"/>
      <c r="R143" s="10"/>
      <c r="S143" s="10"/>
      <c r="T143" s="10"/>
      <c r="U143" s="10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</row>
    <row r="144" spans="2:282" s="9" customFormat="1" ht="14.5" hidden="1" x14ac:dyDescent="0.35">
      <c r="B144" s="10"/>
      <c r="C144" s="10"/>
      <c r="O144" s="10"/>
      <c r="P144" s="10"/>
      <c r="Q144" s="10"/>
      <c r="R144" s="10"/>
      <c r="S144" s="10"/>
      <c r="T144" s="10"/>
      <c r="U144" s="10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</row>
    <row r="145" spans="2:282" s="9" customFormat="1" ht="14.5" hidden="1" x14ac:dyDescent="0.35">
      <c r="B145" s="10"/>
      <c r="C145" s="10"/>
      <c r="O145" s="10"/>
      <c r="P145" s="10"/>
      <c r="Q145" s="10"/>
      <c r="R145" s="10"/>
      <c r="S145" s="10"/>
      <c r="T145" s="10"/>
      <c r="U145" s="10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</row>
    <row r="146" spans="2:282" s="9" customFormat="1" ht="14.5" hidden="1" x14ac:dyDescent="0.35">
      <c r="B146" s="10"/>
      <c r="C146" s="10"/>
      <c r="O146" s="10"/>
      <c r="P146" s="10"/>
      <c r="Q146" s="10"/>
      <c r="R146" s="10"/>
      <c r="S146" s="10"/>
      <c r="T146" s="10"/>
      <c r="U146" s="10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</row>
    <row r="147" spans="2:282" s="9" customFormat="1" ht="14.5" hidden="1" x14ac:dyDescent="0.35">
      <c r="B147" s="10"/>
      <c r="C147" s="10"/>
      <c r="O147" s="10"/>
      <c r="P147" s="10"/>
      <c r="Q147" s="10"/>
      <c r="R147" s="10"/>
      <c r="S147" s="10"/>
      <c r="T147" s="10"/>
      <c r="U147" s="10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</row>
    <row r="148" spans="2:282" s="9" customFormat="1" ht="14.5" hidden="1" x14ac:dyDescent="0.35">
      <c r="B148" s="10"/>
      <c r="C148" s="10"/>
      <c r="O148" s="10"/>
      <c r="P148" s="10"/>
      <c r="Q148" s="10"/>
      <c r="R148" s="10"/>
      <c r="S148" s="10"/>
      <c r="T148" s="10"/>
      <c r="U148" s="10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</row>
    <row r="149" spans="2:282" s="9" customFormat="1" ht="14.5" hidden="1" x14ac:dyDescent="0.35">
      <c r="B149" s="10"/>
      <c r="C149" s="10"/>
      <c r="O149" s="10"/>
      <c r="P149" s="10"/>
      <c r="Q149" s="10"/>
      <c r="R149" s="10"/>
      <c r="S149" s="10"/>
      <c r="T149" s="10"/>
      <c r="U149" s="10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</row>
    <row r="150" spans="2:282" s="9" customFormat="1" ht="14.5" hidden="1" x14ac:dyDescent="0.35">
      <c r="B150" s="10"/>
      <c r="C150" s="10"/>
      <c r="O150" s="10"/>
      <c r="P150" s="10"/>
      <c r="Q150" s="10"/>
      <c r="R150" s="10"/>
      <c r="S150" s="10"/>
      <c r="T150" s="10"/>
      <c r="U150" s="1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</row>
    <row r="151" spans="2:282" s="9" customFormat="1" ht="14.5" hidden="1" x14ac:dyDescent="0.35">
      <c r="B151" s="10"/>
      <c r="C151" s="10"/>
      <c r="O151" s="10"/>
      <c r="P151" s="10"/>
      <c r="Q151" s="10"/>
      <c r="R151" s="10"/>
      <c r="S151" s="10"/>
      <c r="T151" s="10"/>
      <c r="U151" s="10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</row>
    <row r="152" spans="2:282" s="9" customFormat="1" ht="14.5" hidden="1" x14ac:dyDescent="0.35">
      <c r="B152" s="10"/>
      <c r="C152" s="10"/>
      <c r="O152" s="10"/>
      <c r="P152" s="10"/>
      <c r="Q152" s="10"/>
      <c r="R152" s="10"/>
      <c r="S152" s="10"/>
      <c r="T152" s="10"/>
      <c r="U152" s="10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</row>
    <row r="153" spans="2:282" s="9" customFormat="1" ht="14.5" hidden="1" x14ac:dyDescent="0.35">
      <c r="B153" s="10"/>
      <c r="C153" s="10"/>
      <c r="O153" s="10"/>
      <c r="P153" s="10"/>
      <c r="Q153" s="10"/>
      <c r="R153" s="10"/>
      <c r="S153" s="10"/>
      <c r="T153" s="10"/>
      <c r="U153" s="10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</row>
    <row r="154" spans="2:282" s="9" customFormat="1" ht="14.5" hidden="1" x14ac:dyDescent="0.35">
      <c r="B154" s="10"/>
      <c r="C154" s="10"/>
      <c r="O154" s="10"/>
      <c r="P154" s="10"/>
      <c r="Q154" s="10"/>
      <c r="R154" s="10"/>
      <c r="S154" s="10"/>
      <c r="T154" s="10"/>
      <c r="U154" s="10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</row>
    <row r="155" spans="2:282" s="9" customFormat="1" ht="14.5" hidden="1" x14ac:dyDescent="0.35">
      <c r="B155" s="10"/>
      <c r="C155" s="10"/>
      <c r="O155" s="10"/>
      <c r="P155" s="10"/>
      <c r="Q155" s="10"/>
      <c r="R155" s="10"/>
      <c r="S155" s="10"/>
      <c r="T155" s="10"/>
      <c r="U155" s="10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</row>
    <row r="156" spans="2:282" s="9" customFormat="1" ht="14.5" hidden="1" x14ac:dyDescent="0.35">
      <c r="B156" s="10"/>
      <c r="C156" s="10"/>
      <c r="O156" s="10"/>
      <c r="P156" s="10"/>
      <c r="Q156" s="10"/>
      <c r="R156" s="10"/>
      <c r="S156" s="10"/>
      <c r="T156" s="10"/>
      <c r="U156" s="10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</row>
    <row r="157" spans="2:282" s="9" customFormat="1" ht="14.5" hidden="1" x14ac:dyDescent="0.35">
      <c r="B157" s="10"/>
      <c r="C157" s="10"/>
      <c r="O157" s="10"/>
      <c r="P157" s="10"/>
      <c r="Q157" s="10"/>
      <c r="R157" s="10"/>
      <c r="S157" s="10"/>
      <c r="T157" s="10"/>
      <c r="U157" s="10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</row>
    <row r="158" spans="2:282" s="9" customFormat="1" ht="14.5" hidden="1" x14ac:dyDescent="0.35">
      <c r="B158" s="10"/>
      <c r="C158" s="10"/>
      <c r="O158" s="10"/>
      <c r="P158" s="10"/>
      <c r="Q158" s="10"/>
      <c r="R158" s="10"/>
      <c r="S158" s="10"/>
      <c r="T158" s="10"/>
      <c r="U158" s="10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</row>
    <row r="159" spans="2:282" s="9" customFormat="1" ht="14.5" hidden="1" x14ac:dyDescent="0.35">
      <c r="B159" s="10"/>
      <c r="C159" s="10"/>
      <c r="O159" s="10"/>
      <c r="P159" s="10"/>
      <c r="Q159" s="10"/>
      <c r="R159" s="10"/>
      <c r="S159" s="10"/>
      <c r="T159" s="10"/>
      <c r="U159" s="10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</row>
    <row r="160" spans="2:282" s="9" customFormat="1" ht="14.5" hidden="1" x14ac:dyDescent="0.35">
      <c r="B160" s="10"/>
      <c r="C160" s="10"/>
      <c r="O160" s="10"/>
      <c r="P160" s="10"/>
      <c r="Q160" s="10"/>
      <c r="R160" s="10"/>
      <c r="S160" s="10"/>
      <c r="T160" s="10"/>
      <c r="U160" s="1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</row>
    <row r="161" spans="2:282" s="9" customFormat="1" ht="14.5" hidden="1" x14ac:dyDescent="0.35">
      <c r="B161" s="10"/>
      <c r="C161" s="10"/>
      <c r="O161" s="10"/>
      <c r="P161" s="10"/>
      <c r="Q161" s="10"/>
      <c r="R161" s="10"/>
      <c r="S161" s="10"/>
      <c r="T161" s="10"/>
      <c r="U161" s="10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</row>
    <row r="162" spans="2:282" s="9" customFormat="1" ht="14.5" hidden="1" x14ac:dyDescent="0.35">
      <c r="B162" s="10"/>
      <c r="C162" s="10"/>
      <c r="O162" s="10"/>
      <c r="P162" s="10"/>
      <c r="Q162" s="10"/>
      <c r="R162" s="10"/>
      <c r="S162" s="10"/>
      <c r="T162" s="10"/>
      <c r="U162" s="10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</row>
    <row r="163" spans="2:282" s="9" customFormat="1" ht="14.5" hidden="1" x14ac:dyDescent="0.35">
      <c r="B163" s="10"/>
      <c r="C163" s="10"/>
      <c r="O163" s="10"/>
      <c r="P163" s="10"/>
      <c r="Q163" s="10"/>
      <c r="R163" s="10"/>
      <c r="S163" s="10"/>
      <c r="T163" s="10"/>
      <c r="U163" s="10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</row>
    <row r="164" spans="2:282" s="9" customFormat="1" ht="14.5" hidden="1" x14ac:dyDescent="0.35">
      <c r="B164" s="10"/>
      <c r="C164" s="10"/>
      <c r="O164" s="10"/>
      <c r="P164" s="10"/>
      <c r="Q164" s="10"/>
      <c r="R164" s="10"/>
      <c r="S164" s="10"/>
      <c r="T164" s="10"/>
      <c r="U164" s="10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</row>
    <row r="165" spans="2:282" s="9" customFormat="1" ht="14.5" hidden="1" x14ac:dyDescent="0.35">
      <c r="B165" s="10"/>
      <c r="C165" s="10"/>
      <c r="O165" s="10"/>
      <c r="P165" s="10"/>
      <c r="Q165" s="10"/>
      <c r="R165" s="10"/>
      <c r="S165" s="10"/>
      <c r="T165" s="10"/>
      <c r="U165" s="10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</row>
    <row r="166" spans="2:282" s="9" customFormat="1" ht="14.5" x14ac:dyDescent="0.35">
      <c r="B166" s="10"/>
      <c r="C166" s="10"/>
      <c r="N166" s="162" t="str">
        <f>Cotizador!B66</f>
        <v>Únikuz Bx+  2021. Versión: 30/09/2021 v5.7</v>
      </c>
      <c r="O166" s="10"/>
      <c r="P166" s="10"/>
      <c r="Q166" s="10"/>
      <c r="R166" s="10"/>
      <c r="S166" s="10"/>
      <c r="T166" s="10"/>
      <c r="U166" s="10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</row>
    <row r="167" spans="2:282" s="9" customFormat="1" ht="14.5" x14ac:dyDescent="0.35">
      <c r="B167" s="10"/>
      <c r="C167" s="10"/>
      <c r="O167" s="10"/>
      <c r="P167" s="10"/>
      <c r="Q167" s="10"/>
      <c r="R167" s="10"/>
      <c r="S167" s="10"/>
      <c r="T167" s="10"/>
      <c r="U167" s="10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</row>
    <row r="168" spans="2:282" s="9" customFormat="1" ht="14.5" x14ac:dyDescent="0.35">
      <c r="B168" s="10"/>
      <c r="C168" s="10"/>
      <c r="O168" s="10"/>
      <c r="P168" s="10"/>
      <c r="Q168" s="10"/>
      <c r="R168" s="10"/>
      <c r="S168" s="10"/>
      <c r="T168" s="10"/>
      <c r="U168" s="10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</row>
    <row r="169" spans="2:282" s="9" customFormat="1" ht="14.5" x14ac:dyDescent="0.35">
      <c r="B169" s="10"/>
      <c r="C169" s="10"/>
      <c r="O169" s="10"/>
      <c r="P169" s="10"/>
      <c r="Q169" s="10"/>
      <c r="R169" s="10"/>
      <c r="S169" s="10"/>
      <c r="T169" s="10"/>
      <c r="U169" s="10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</row>
    <row r="170" spans="2:282" s="9" customFormat="1" ht="14.5" x14ac:dyDescent="0.35">
      <c r="B170" s="10"/>
      <c r="C170" s="10"/>
      <c r="O170" s="10"/>
      <c r="P170" s="10"/>
      <c r="Q170" s="10"/>
      <c r="R170" s="10"/>
      <c r="S170" s="10"/>
      <c r="T170" s="10"/>
      <c r="U170" s="1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</row>
    <row r="171" spans="2:282" s="9" customFormat="1" ht="14.5" hidden="1" x14ac:dyDescent="0.35">
      <c r="B171" s="10"/>
      <c r="C171" s="10"/>
      <c r="O171" s="10"/>
      <c r="P171" s="10"/>
      <c r="Q171" s="10"/>
      <c r="R171" s="10"/>
      <c r="S171" s="10"/>
      <c r="T171" s="10"/>
      <c r="U171" s="10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</row>
    <row r="172" spans="2:282" ht="15" hidden="1" customHeight="1" x14ac:dyDescent="0.35"/>
    <row r="173" spans="2:282" ht="15" hidden="1" customHeight="1" x14ac:dyDescent="0.35"/>
    <row r="174" spans="2:282" ht="15" hidden="1" customHeight="1" x14ac:dyDescent="0.35"/>
    <row r="175" spans="2:282" ht="15" hidden="1" customHeight="1" x14ac:dyDescent="0.35"/>
    <row r="176" spans="2:282" ht="15" hidden="1" customHeight="1" x14ac:dyDescent="0.35"/>
    <row r="177" ht="15" hidden="1" customHeight="1" x14ac:dyDescent="0.35"/>
    <row r="178" ht="15" hidden="1" customHeight="1" x14ac:dyDescent="0.35"/>
    <row r="179" ht="15" hidden="1" customHeight="1" x14ac:dyDescent="0.35"/>
    <row r="180" ht="15" hidden="1" customHeight="1" x14ac:dyDescent="0.35"/>
    <row r="181" ht="15" hidden="1" customHeight="1" x14ac:dyDescent="0.35"/>
    <row r="182" ht="15" hidden="1" customHeight="1" x14ac:dyDescent="0.35"/>
  </sheetData>
  <sheetProtection algorithmName="SHA-512" hashValue="R7BPNoJxbS01LeRpRWSUdNANg+mllXk3oqBqRIlc9b+gM0bS9yXc6Rk2IWfKqCsYmH/6gAsACPa7Onw+jbbkwA==" saltValue="PEGucP/BeflhMVI5lXWN3g==" spinCount="100000" sheet="1" objects="1" scenarios="1" selectLockedCells="1"/>
  <mergeCells count="59">
    <mergeCell ref="B82:O82"/>
    <mergeCell ref="B83:O83"/>
    <mergeCell ref="B17:O17"/>
    <mergeCell ref="B42:O42"/>
    <mergeCell ref="B36:O36"/>
    <mergeCell ref="B58:E58"/>
    <mergeCell ref="L72:O72"/>
    <mergeCell ref="L74:M74"/>
    <mergeCell ref="L75:M75"/>
    <mergeCell ref="B77:O77"/>
    <mergeCell ref="B78:O78"/>
    <mergeCell ref="B79:O79"/>
    <mergeCell ref="B57:E57"/>
    <mergeCell ref="F57:J57"/>
    <mergeCell ref="B64:C64"/>
    <mergeCell ref="B65:C65"/>
    <mergeCell ref="F58:J58"/>
    <mergeCell ref="B80:O80"/>
    <mergeCell ref="B81:O81"/>
    <mergeCell ref="B55:E55"/>
    <mergeCell ref="F55:J55"/>
    <mergeCell ref="B56:E56"/>
    <mergeCell ref="F56:J56"/>
    <mergeCell ref="B59:E59"/>
    <mergeCell ref="F59:J59"/>
    <mergeCell ref="B66:C66"/>
    <mergeCell ref="B60:E60"/>
    <mergeCell ref="F60:J60"/>
    <mergeCell ref="B61:E61"/>
    <mergeCell ref="F61:J61"/>
    <mergeCell ref="B52:O52"/>
    <mergeCell ref="B53:E53"/>
    <mergeCell ref="F53:J53"/>
    <mergeCell ref="B54:E54"/>
    <mergeCell ref="F54:J54"/>
    <mergeCell ref="L34:M34"/>
    <mergeCell ref="N34:O34"/>
    <mergeCell ref="B29:O29"/>
    <mergeCell ref="B30:K30"/>
    <mergeCell ref="L30:M30"/>
    <mergeCell ref="N30:O30"/>
    <mergeCell ref="L33:M33"/>
    <mergeCell ref="N33:O33"/>
    <mergeCell ref="L31:M31"/>
    <mergeCell ref="B22:O22"/>
    <mergeCell ref="B24:C24"/>
    <mergeCell ref="B27:C27"/>
    <mergeCell ref="D27:E27"/>
    <mergeCell ref="B13:O13"/>
    <mergeCell ref="B18:C18"/>
    <mergeCell ref="B19:C19"/>
    <mergeCell ref="I2:O2"/>
    <mergeCell ref="M8:N8"/>
    <mergeCell ref="M9:N9"/>
    <mergeCell ref="B11:C11"/>
    <mergeCell ref="D11:E11"/>
    <mergeCell ref="I11:L11"/>
    <mergeCell ref="M11:O11"/>
    <mergeCell ref="M7:N7"/>
  </mergeCells>
  <conditionalFormatting sqref="O85:O89">
    <cfRule type="cellIs" dxfId="1" priority="2" stopIfTrue="1" operator="equal">
      <formula>0</formula>
    </cfRule>
  </conditionalFormatting>
  <conditionalFormatting sqref="E70:E72 E74:E75">
    <cfRule type="cellIs" dxfId="0" priority="1" stopIfTrue="1" operator="equal">
      <formula>0</formula>
    </cfRule>
  </conditionalFormatting>
  <dataValidations disablePrompts="1" count="1">
    <dataValidation allowBlank="1" showInputMessage="1" showErrorMessage="1" sqref="J85:L90"/>
  </dataValidations>
  <pageMargins left="0.23622047244094491" right="0.23622047244094491" top="0.74803149606299213" bottom="0.74803149606299213" header="0.31496062992125984" footer="0.31496062992125984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10</xdr:col>
                    <xdr:colOff>76200</xdr:colOff>
                    <xdr:row>62</xdr:row>
                    <xdr:rowOff>0</xdr:rowOff>
                  </from>
                  <to>
                    <xdr:col>11</xdr:col>
                    <xdr:colOff>1193800</xdr:colOff>
                    <xdr:row>63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Group Box 2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Group Box 4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Group Box 6">
              <controlPr defaultSize="0" autoFill="0" autoPict="0">
                <anchor moveWithCells="1">
                  <from>
                    <xdr:col>11</xdr:col>
                    <xdr:colOff>0</xdr:colOff>
                    <xdr:row>62</xdr:row>
                    <xdr:rowOff>0</xdr:rowOff>
                  </from>
                  <to>
                    <xdr:col>11</xdr:col>
                    <xdr:colOff>1295400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uardar">
                <anchor moveWithCells="1" sizeWithCells="1">
                  <from>
                    <xdr:col>13</xdr:col>
                    <xdr:colOff>946150</xdr:colOff>
                    <xdr:row>167</xdr:row>
                    <xdr:rowOff>76200</xdr:rowOff>
                  </from>
                  <to>
                    <xdr:col>14</xdr:col>
                    <xdr:colOff>1028700</xdr:colOff>
                    <xdr:row>169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D19"/>
  <sheetViews>
    <sheetView showGridLines="0" workbookViewId="0">
      <selection activeCell="B16" sqref="B16"/>
    </sheetView>
  </sheetViews>
  <sheetFormatPr baseColWidth="10" defaultColWidth="0" defaultRowHeight="14.5" zeroHeight="1" x14ac:dyDescent="0.35"/>
  <cols>
    <col min="1" max="1" width="11.453125" customWidth="1"/>
    <col min="2" max="2" width="32.453125" bestFit="1" customWidth="1"/>
    <col min="3" max="3" width="11.453125" customWidth="1"/>
    <col min="4" max="4" width="30.7265625" bestFit="1" customWidth="1"/>
    <col min="5" max="16384" width="11.453125" hidden="1"/>
  </cols>
  <sheetData>
    <row r="1" spans="1:4" x14ac:dyDescent="0.35">
      <c r="A1" s="453" t="s">
        <v>284</v>
      </c>
      <c r="B1" s="453"/>
      <c r="C1" s="453"/>
      <c r="D1" s="453"/>
    </row>
    <row r="2" spans="1:4" x14ac:dyDescent="0.35">
      <c r="A2" s="322" t="s">
        <v>255</v>
      </c>
      <c r="B2" s="322" t="s">
        <v>256</v>
      </c>
      <c r="C2" s="322" t="s">
        <v>255</v>
      </c>
      <c r="D2" s="322" t="s">
        <v>256</v>
      </c>
    </row>
    <row r="3" spans="1:4" x14ac:dyDescent="0.35">
      <c r="A3" s="323">
        <v>2</v>
      </c>
      <c r="B3" s="323" t="s">
        <v>257</v>
      </c>
      <c r="C3" s="323">
        <v>66</v>
      </c>
      <c r="D3" s="323" t="s">
        <v>258</v>
      </c>
    </row>
    <row r="4" spans="1:4" x14ac:dyDescent="0.35">
      <c r="A4" s="323">
        <v>5</v>
      </c>
      <c r="B4" s="323" t="s">
        <v>259</v>
      </c>
      <c r="C4" s="323">
        <v>69</v>
      </c>
      <c r="D4" s="323" t="s">
        <v>260</v>
      </c>
    </row>
    <row r="5" spans="1:4" x14ac:dyDescent="0.35">
      <c r="A5" s="323">
        <v>20</v>
      </c>
      <c r="B5" s="323" t="s">
        <v>261</v>
      </c>
      <c r="C5" s="323">
        <v>83</v>
      </c>
      <c r="D5" s="323" t="s">
        <v>262</v>
      </c>
    </row>
    <row r="6" spans="1:4" x14ac:dyDescent="0.35">
      <c r="A6" s="323">
        <v>24</v>
      </c>
      <c r="B6" s="323" t="s">
        <v>263</v>
      </c>
      <c r="C6" s="323">
        <v>94</v>
      </c>
      <c r="D6" s="323" t="s">
        <v>264</v>
      </c>
    </row>
    <row r="7" spans="1:4" x14ac:dyDescent="0.35">
      <c r="A7" s="323">
        <v>29</v>
      </c>
      <c r="B7" s="323" t="s">
        <v>265</v>
      </c>
      <c r="C7" s="323">
        <v>96</v>
      </c>
      <c r="D7" s="323" t="s">
        <v>266</v>
      </c>
    </row>
    <row r="8" spans="1:4" x14ac:dyDescent="0.35">
      <c r="A8" s="323">
        <v>32</v>
      </c>
      <c r="B8" s="323" t="s">
        <v>267</v>
      </c>
      <c r="C8" s="323">
        <v>97</v>
      </c>
      <c r="D8" s="323" t="s">
        <v>268</v>
      </c>
    </row>
    <row r="9" spans="1:4" x14ac:dyDescent="0.35">
      <c r="A9" s="323">
        <v>35</v>
      </c>
      <c r="B9" s="323" t="s">
        <v>269</v>
      </c>
      <c r="C9" s="323">
        <v>98</v>
      </c>
      <c r="D9" s="323" t="s">
        <v>270</v>
      </c>
    </row>
    <row r="10" spans="1:4" x14ac:dyDescent="0.35">
      <c r="A10" s="323">
        <v>40</v>
      </c>
      <c r="B10" s="323" t="s">
        <v>45</v>
      </c>
      <c r="C10" s="323">
        <v>101</v>
      </c>
      <c r="D10" s="323" t="s">
        <v>271</v>
      </c>
    </row>
    <row r="11" spans="1:4" x14ac:dyDescent="0.35">
      <c r="A11" s="323">
        <v>41</v>
      </c>
      <c r="B11" s="323" t="s">
        <v>272</v>
      </c>
      <c r="C11" s="323">
        <v>107</v>
      </c>
      <c r="D11" s="323" t="s">
        <v>273</v>
      </c>
    </row>
    <row r="12" spans="1:4" x14ac:dyDescent="0.35">
      <c r="A12" s="323">
        <v>44</v>
      </c>
      <c r="B12" s="323" t="s">
        <v>274</v>
      </c>
      <c r="C12" s="323">
        <v>113</v>
      </c>
      <c r="D12" s="323" t="s">
        <v>275</v>
      </c>
    </row>
    <row r="13" spans="1:4" x14ac:dyDescent="0.35">
      <c r="A13" s="323">
        <v>45</v>
      </c>
      <c r="B13" s="323" t="s">
        <v>276</v>
      </c>
      <c r="C13" s="323">
        <v>119</v>
      </c>
      <c r="D13" s="323" t="s">
        <v>277</v>
      </c>
    </row>
    <row r="14" spans="1:4" x14ac:dyDescent="0.35">
      <c r="A14" s="323">
        <v>50</v>
      </c>
      <c r="B14" s="323" t="s">
        <v>278</v>
      </c>
      <c r="C14" s="323">
        <v>122</v>
      </c>
      <c r="D14" s="323" t="s">
        <v>279</v>
      </c>
    </row>
    <row r="15" spans="1:4" x14ac:dyDescent="0.35">
      <c r="A15" s="323">
        <v>51</v>
      </c>
      <c r="B15" s="323" t="s">
        <v>280</v>
      </c>
      <c r="C15" s="323">
        <v>124</v>
      </c>
      <c r="D15" s="323" t="s">
        <v>281</v>
      </c>
    </row>
    <row r="16" spans="1:4" x14ac:dyDescent="0.35">
      <c r="A16" s="323">
        <v>55</v>
      </c>
      <c r="B16" s="323" t="s">
        <v>285</v>
      </c>
      <c r="C16" s="323"/>
      <c r="D16" s="323"/>
    </row>
    <row r="17" spans="1:4" x14ac:dyDescent="0.35">
      <c r="A17" s="323"/>
      <c r="B17" s="323"/>
      <c r="C17" s="323"/>
      <c r="D17" s="323"/>
    </row>
    <row r="18" spans="1:4" x14ac:dyDescent="0.35">
      <c r="A18" s="323"/>
      <c r="B18" s="323"/>
      <c r="C18" s="323"/>
      <c r="D18" s="323"/>
    </row>
    <row r="19" spans="1:4" x14ac:dyDescent="0.35">
      <c r="A19" s="323"/>
      <c r="B19" s="323"/>
      <c r="C19" s="323"/>
      <c r="D19" s="323"/>
    </row>
  </sheetData>
  <mergeCells count="1"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ocultar_mun">
                <anchor moveWithCells="1" sizeWithCells="1">
                  <from>
                    <xdr:col>1</xdr:col>
                    <xdr:colOff>1009650</xdr:colOff>
                    <xdr:row>16</xdr:row>
                    <xdr:rowOff>127000</xdr:rowOff>
                  </from>
                  <to>
                    <xdr:col>3</xdr:col>
                    <xdr:colOff>12700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Cotizador</vt:lpstr>
      <vt:lpstr>MunicipiosJalisco</vt:lpstr>
      <vt:lpstr>Cotizador!Área_de_impresión</vt:lpstr>
      <vt:lpstr>q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 Marron Langarica</dc:creator>
  <cp:lastModifiedBy>JESSICA FARIAS</cp:lastModifiedBy>
  <cp:lastPrinted>2021-05-05T18:44:05Z</cp:lastPrinted>
  <dcterms:created xsi:type="dcterms:W3CDTF">2019-04-29T22:22:53Z</dcterms:created>
  <dcterms:modified xsi:type="dcterms:W3CDTF">2021-07-17T23:21:04Z</dcterms:modified>
</cp:coreProperties>
</file>