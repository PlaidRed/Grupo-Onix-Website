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drawings/drawing2.xml" ContentType="application/vnd.openxmlformats-officedocument.drawing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drawings/drawing3.xml" ContentType="application/vnd.openxmlformats-officedocument.drawing+xml"/>
  <Override PartName="/xl/ctrlProps/ctrlProp5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Camelia\Desktop\GONIX\2020\GASTOS MEDICOS\"/>
    </mc:Choice>
  </mc:AlternateContent>
  <bookViews>
    <workbookView xWindow="0" yWindow="0" windowWidth="19200" windowHeight="6470" tabRatio="671" firstSheet="2" activeTab="2"/>
  </bookViews>
  <sheets>
    <sheet name="Tarifa" sheetId="38" state="veryHidden" r:id="rId1"/>
    <sheet name="Algoritmo Calculo FADH" sheetId="40" state="veryHidden" r:id="rId2"/>
    <sheet name="Cotizador" sheetId="37" r:id="rId3"/>
    <sheet name="Cotizacion" sheetId="44" state="veryHidden" r:id="rId4"/>
    <sheet name="MunicipiosJalisco" sheetId="45" state="hidden" r:id="rId5"/>
  </sheets>
  <externalReferences>
    <externalReference r:id="rId6"/>
    <externalReference r:id="rId7"/>
    <externalReference r:id="rId8"/>
  </externalReferences>
  <definedNames>
    <definedName name="Alto" localSheetId="1">#REF!</definedName>
    <definedName name="Alto" localSheetId="2">#REF!</definedName>
    <definedName name="Alto">#REF!</definedName>
    <definedName name="_xlnm.Print_Area" localSheetId="2">Cotizador!$B$2:$N$39</definedName>
    <definedName name="COASEGURO" localSheetId="1">#REF!</definedName>
    <definedName name="COASEGURO" localSheetId="2">#REF!</definedName>
    <definedName name="COASEGURO">#REF!</definedName>
    <definedName name="DEDUCIBLE" localSheetId="1">#REF!</definedName>
    <definedName name="DEDUCIBLE" localSheetId="2">#REF!</definedName>
    <definedName name="DEDUCIBLE">#REF!</definedName>
    <definedName name="EDAD" localSheetId="1">#REF!</definedName>
    <definedName name="EDAD" localSheetId="2">Cotizador!#REF!</definedName>
    <definedName name="EDAD">#REF!</definedName>
    <definedName name="ESTADO" localSheetId="1">[1]Tablas!$Q$5:$Q$36</definedName>
    <definedName name="ESTADO" localSheetId="2">#REF!</definedName>
    <definedName name="ESTADO">[2]Tablas!$Q$5:$Q$36</definedName>
    <definedName name="Estandar" localSheetId="1">#REF!</definedName>
    <definedName name="Estandar" localSheetId="2">#REF!</definedName>
    <definedName name="Estandar">#REF!</definedName>
    <definedName name="FAYUDADIARIA" localSheetId="1">#REF!</definedName>
    <definedName name="FAYUDADIARIA" localSheetId="2">#REF!</definedName>
    <definedName name="FAYUDADIARIA">#REF!</definedName>
    <definedName name="FCOBEXT" localSheetId="1">#REF!</definedName>
    <definedName name="FCOBEXT" localSheetId="2">#REF!</definedName>
    <definedName name="FCOBEXT">#REF!</definedName>
    <definedName name="FCONTINUIDAD" localSheetId="1">#REF!</definedName>
    <definedName name="FCONTINUIDAD" localSheetId="2">#REF!</definedName>
    <definedName name="FCONTINUIDAD">#REF!</definedName>
    <definedName name="FCS" localSheetId="1">#REF!</definedName>
    <definedName name="FCS" localSheetId="2">#REF!</definedName>
    <definedName name="FCS">#REF!</definedName>
    <definedName name="FDCE" localSheetId="1">#REF!</definedName>
    <definedName name="FDCE" localSheetId="2">#REF!</definedName>
    <definedName name="FDCE">#REF!</definedName>
    <definedName name="FDED" localSheetId="1">#REF!</definedName>
    <definedName name="FDED" localSheetId="2">#REF!</definedName>
    <definedName name="FDED">#REF!</definedName>
    <definedName name="FELIMINADEDYCS" localSheetId="1">#REF!</definedName>
    <definedName name="FELIMINADEDYCS" localSheetId="2">#REF!</definedName>
    <definedName name="FELIMINADEDYCS">#REF!</definedName>
    <definedName name="FEME" localSheetId="1">#REF!</definedName>
    <definedName name="FEME" localSheetId="2">#REF!</definedName>
    <definedName name="FEME">#REF!</definedName>
    <definedName name="FENFGVESEXT" localSheetId="1">#REF!</definedName>
    <definedName name="FENFGVESEXT" localSheetId="2">#REF!</definedName>
    <definedName name="FENFGVESEXT">#REF!</definedName>
    <definedName name="FGASTOEXT" localSheetId="1">#REF!</definedName>
    <definedName name="FGASTOEXT" localSheetId="2">#REF!</definedName>
    <definedName name="FGASTOEXT">#REF!</definedName>
    <definedName name="FGFD1" localSheetId="1">#REF!</definedName>
    <definedName name="FGFD1" localSheetId="2">Cotizador!#REF!</definedName>
    <definedName name="FGFD1">#REF!</definedName>
    <definedName name="FGFD2" localSheetId="1">#REF!</definedName>
    <definedName name="FGFD2" localSheetId="2">Cotizador!#REF!</definedName>
    <definedName name="FGFD2">#REF!</definedName>
    <definedName name="FGFD3" localSheetId="1">#REF!</definedName>
    <definedName name="FGFD3" localSheetId="2">Cotizador!#REF!</definedName>
    <definedName name="FGFD3">#REF!</definedName>
    <definedName name="FGFD4" localSheetId="1">#REF!</definedName>
    <definedName name="FGFD4" localSheetId="2">Cotizador!#REF!</definedName>
    <definedName name="FGFD4">#REF!</definedName>
    <definedName name="FGFD5" localSheetId="1">#REF!</definedName>
    <definedName name="FGFD5" localSheetId="2">Cotizador!#REF!</definedName>
    <definedName name="FGFD5">#REF!</definedName>
    <definedName name="FGFTITULAR" localSheetId="1">#REF!</definedName>
    <definedName name="FGFTITULAR" localSheetId="2">Cotizador!#REF!</definedName>
    <definedName name="FGFTITULAR">#REF!</definedName>
    <definedName name="FNH" localSheetId="1">#REF!</definedName>
    <definedName name="FNH" localSheetId="2">#REF!</definedName>
    <definedName name="FNH">#REF!</definedName>
    <definedName name="FR" localSheetId="1">#REF!</definedName>
    <definedName name="FR" localSheetId="2">#REF!</definedName>
    <definedName name="FR">#REF!</definedName>
    <definedName name="FRC" localSheetId="1">#REF!</definedName>
    <definedName name="FRC" localSheetId="2">#REF!</definedName>
    <definedName name="FRC">#REF!</definedName>
    <definedName name="FROD1" localSheetId="1">#REF!</definedName>
    <definedName name="FROD1" localSheetId="2">Cotizador!#REF!</definedName>
    <definedName name="FROD1">#REF!</definedName>
    <definedName name="FROD2" localSheetId="1">#REF!</definedName>
    <definedName name="FROD2" localSheetId="2">Cotizador!#REF!</definedName>
    <definedName name="FROD2">#REF!</definedName>
    <definedName name="FROD3" localSheetId="1">#REF!</definedName>
    <definedName name="FROD3" localSheetId="2">Cotizador!#REF!</definedName>
    <definedName name="FROD3">#REF!</definedName>
    <definedName name="FROD4" localSheetId="1">#REF!</definedName>
    <definedName name="FROD4" localSheetId="2">Cotizador!#REF!</definedName>
    <definedName name="FROD4">#REF!</definedName>
    <definedName name="FROD5" localSheetId="1">#REF!</definedName>
    <definedName name="FROD5" localSheetId="2">Cotizador!#REF!</definedName>
    <definedName name="FROD5">#REF!</definedName>
    <definedName name="FROTITULAR" localSheetId="1">#REF!</definedName>
    <definedName name="FROTITULAR" localSheetId="2">Cotizador!#REF!</definedName>
    <definedName name="FROTITULAR">#REF!</definedName>
    <definedName name="FSA" localSheetId="1">#REF!</definedName>
    <definedName name="FSA" localSheetId="2">#REF!</definedName>
    <definedName name="FSA">#REF!</definedName>
    <definedName name="FTABHM" localSheetId="1">#REF!</definedName>
    <definedName name="FTABHM" localSheetId="2">#REF!</definedName>
    <definedName name="FTABHM">#REF!</definedName>
    <definedName name="GASADMON" localSheetId="1">#REF!</definedName>
    <definedName name="GASADMON" localSheetId="2">#REF!</definedName>
    <definedName name="GASADMON">#REF!</definedName>
    <definedName name="GASADQUI" localSheetId="1">#REF!</definedName>
    <definedName name="GASADQUI" localSheetId="2">#REF!</definedName>
    <definedName name="GASADQUI">#REF!</definedName>
    <definedName name="HM" localSheetId="1">#REF!</definedName>
    <definedName name="HM" localSheetId="2">#REF!</definedName>
    <definedName name="HM">#REF!</definedName>
    <definedName name="HONMED" localSheetId="1">#REF!</definedName>
    <definedName name="HONMED" localSheetId="2">#REF!</definedName>
    <definedName name="HONMED">#REF!</definedName>
    <definedName name="INFLACION2008" localSheetId="1">#REF!</definedName>
    <definedName name="INFLACION2008" localSheetId="2">#REF!</definedName>
    <definedName name="INFLACION2008">#REF!</definedName>
    <definedName name="INFLACION2009" localSheetId="1">#REF!</definedName>
    <definedName name="INFLACION2009" localSheetId="2">#REF!</definedName>
    <definedName name="INFLACION2009">#REF!</definedName>
    <definedName name="INFLACION2010" localSheetId="1">#REF!</definedName>
    <definedName name="INFLACION2010" localSheetId="2">#REF!</definedName>
    <definedName name="INFLACION2010">#REF!</definedName>
    <definedName name="INFLACION2011" localSheetId="1">#REF!</definedName>
    <definedName name="INFLACION2011" localSheetId="2">#REF!</definedName>
    <definedName name="INFLACION2011">#REF!</definedName>
    <definedName name="MARGENDESVIACION" localSheetId="1">#REF!</definedName>
    <definedName name="MARGENDESVIACION" localSheetId="2">#REF!</definedName>
    <definedName name="MARGENDESVIACION">#REF!</definedName>
    <definedName name="Medio" localSheetId="1">#REF!</definedName>
    <definedName name="Medio" localSheetId="2">#REF!</definedName>
    <definedName name="Medio">#REF!</definedName>
    <definedName name="Mr" localSheetId="1">#REF!</definedName>
    <definedName name="Mr" localSheetId="2">#REF!</definedName>
    <definedName name="Mr">#REF!</definedName>
    <definedName name="NH" localSheetId="1">#REF!</definedName>
    <definedName name="NH" localSheetId="2">#REF!</definedName>
    <definedName name="NH">#REF!</definedName>
    <definedName name="PCATD1" localSheetId="1">#REF!</definedName>
    <definedName name="PCATD1" localSheetId="2">Cotizador!#REF!</definedName>
    <definedName name="PCATD1">#REF!</definedName>
    <definedName name="PCATD2" localSheetId="1">#REF!</definedName>
    <definedName name="PCATD2" localSheetId="2">Cotizador!#REF!</definedName>
    <definedName name="PCATD2">#REF!</definedName>
    <definedName name="PCATD3" localSheetId="1">#REF!</definedName>
    <definedName name="PCATD3" localSheetId="2">Cotizador!#REF!</definedName>
    <definedName name="PCATD3">#REF!</definedName>
    <definedName name="PCATD4" localSheetId="1">#REF!</definedName>
    <definedName name="PCATD4" localSheetId="2">Cotizador!#REF!</definedName>
    <definedName name="PCATD4">#REF!</definedName>
    <definedName name="PCATD5" localSheetId="1">#REF!</definedName>
    <definedName name="PCATD5" localSheetId="2">Cotizador!#REF!</definedName>
    <definedName name="PCATD5">#REF!</definedName>
    <definedName name="PCATTITULAR" localSheetId="1">#REF!</definedName>
    <definedName name="PCATTITULAR" localSheetId="2">Cotizador!#REF!</definedName>
    <definedName name="PCATTITULAR">#REF!</definedName>
    <definedName name="PP" localSheetId="1">#REF!</definedName>
    <definedName name="PP" localSheetId="2">#REF!</definedName>
    <definedName name="PP">#REF!</definedName>
    <definedName name="q">Cotizador!$1:$1048576</definedName>
    <definedName name="Recargo">[3]Tablas!$I$4</definedName>
    <definedName name="recargo_cesión">[3]Tablas!$L$5</definedName>
    <definedName name="RO" localSheetId="1">#REF!</definedName>
    <definedName name="RO" localSheetId="2">#REF!</definedName>
    <definedName name="RO">#REF!</definedName>
    <definedName name="SA" localSheetId="1">#REF!</definedName>
    <definedName name="SA" localSheetId="2">#REF!</definedName>
    <definedName name="SA">#REF!</definedName>
    <definedName name="TC" localSheetId="1">#REF!</definedName>
    <definedName name="TC" localSheetId="2">#REF!</definedName>
    <definedName name="TC">#REF!</definedName>
    <definedName name="UTILIDAD" localSheetId="1">#REF!</definedName>
    <definedName name="UTILIDAD" localSheetId="2">#REF!</definedName>
    <definedName name="UTILIDAD">#REF!</definedName>
    <definedName name="ZONA_COBEXT" localSheetId="1">#REF!</definedName>
    <definedName name="ZONA_COBEXT" localSheetId="2">#REF!</definedName>
    <definedName name="ZONA_COBEXT">#REF!</definedName>
    <definedName name="ZONA_EME" localSheetId="1">#REF!</definedName>
    <definedName name="ZONA_EME" localSheetId="2">#REF!</definedName>
    <definedName name="ZONA_EME">#REF!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AS5" i="38" l="1"/>
  <c r="AS6" i="38"/>
  <c r="AS7" i="38"/>
  <c r="AS8" i="38"/>
  <c r="AS9" i="38"/>
  <c r="AS10" i="38"/>
  <c r="AS11" i="38"/>
  <c r="AS12" i="38"/>
  <c r="AS13" i="38"/>
  <c r="AS14" i="38"/>
  <c r="AS15" i="38"/>
  <c r="AS16" i="38"/>
  <c r="AS17" i="38"/>
  <c r="AS18" i="38"/>
  <c r="AS19" i="38"/>
  <c r="AS20" i="38"/>
  <c r="AS21" i="38"/>
  <c r="AS22" i="38"/>
  <c r="AS23" i="38"/>
  <c r="AS24" i="38"/>
  <c r="AS25" i="38"/>
  <c r="AS26" i="38"/>
  <c r="AS27" i="38"/>
  <c r="AS28" i="38"/>
  <c r="AS29" i="38"/>
  <c r="AS30" i="38"/>
  <c r="AS31" i="38"/>
  <c r="AS32" i="38"/>
  <c r="AS33" i="38"/>
  <c r="AS34" i="38"/>
  <c r="AS35" i="38"/>
  <c r="AS36" i="38"/>
  <c r="AS4" i="38"/>
  <c r="AV38" i="38"/>
  <c r="AV37" i="38"/>
  <c r="AV50" i="38"/>
  <c r="AV49" i="38"/>
  <c r="AV54" i="38"/>
  <c r="AV48" i="38"/>
  <c r="AV59" i="38" s="1"/>
  <c r="AV47" i="38"/>
  <c r="AV58" i="38" s="1"/>
  <c r="AV46" i="38"/>
  <c r="AV57" i="38" s="1"/>
  <c r="AV45" i="38"/>
  <c r="AV44" i="38"/>
  <c r="AV56" i="38" s="1"/>
  <c r="AV43" i="38"/>
  <c r="AS68" i="38" s="1"/>
  <c r="AV42" i="38"/>
  <c r="AS56" i="38"/>
  <c r="AS66" i="38"/>
  <c r="AV24" i="38"/>
  <c r="AV23" i="38"/>
  <c r="AV22" i="38"/>
  <c r="AV21" i="38"/>
  <c r="AV20" i="38"/>
  <c r="AV19" i="38"/>
  <c r="AV18" i="38"/>
  <c r="AV17" i="38"/>
  <c r="AV16" i="38"/>
  <c r="AV15" i="38"/>
  <c r="AS44" i="38"/>
  <c r="AS49" i="38"/>
  <c r="AS50" i="38"/>
  <c r="AS52" i="38"/>
  <c r="AS53" i="38"/>
  <c r="AS54" i="38"/>
  <c r="AS55" i="38"/>
  <c r="AS59" i="38"/>
  <c r="AS60" i="38"/>
  <c r="AS61" i="38"/>
  <c r="AS63" i="38"/>
  <c r="AS71" i="38"/>
  <c r="AS73" i="38"/>
  <c r="AS74" i="38"/>
  <c r="AV55" i="38" l="1"/>
  <c r="AS67" i="38"/>
  <c r="AS64" i="38"/>
  <c r="AS42" i="38"/>
  <c r="AS58" i="38"/>
  <c r="AS57" i="38"/>
  <c r="AS48" i="38"/>
  <c r="AS51" i="38"/>
  <c r="AS65" i="38"/>
  <c r="AS72" i="38"/>
  <c r="AS47" i="38"/>
  <c r="AS70" i="38"/>
  <c r="AS62" i="38"/>
  <c r="AS46" i="38"/>
  <c r="AS69" i="38"/>
  <c r="AS45" i="38"/>
  <c r="AS43" i="38"/>
  <c r="Y5" i="38"/>
  <c r="Y6" i="38"/>
  <c r="Y7" i="38"/>
  <c r="Y8" i="38"/>
  <c r="Y9" i="38"/>
  <c r="Y10" i="38"/>
  <c r="Y11" i="38"/>
  <c r="Y12" i="38"/>
  <c r="Y13" i="38"/>
  <c r="Y14" i="38"/>
  <c r="Y15" i="38"/>
  <c r="Y16" i="38"/>
  <c r="Y17" i="38"/>
  <c r="Y18" i="38"/>
  <c r="Y19" i="38"/>
  <c r="Y20" i="38"/>
  <c r="Y21" i="38"/>
  <c r="Y22" i="38"/>
  <c r="Y23" i="38"/>
  <c r="Y24" i="38"/>
  <c r="Y25" i="38"/>
  <c r="Y26" i="38"/>
  <c r="Y27" i="38"/>
  <c r="Y28" i="38"/>
  <c r="Y29" i="38"/>
  <c r="Y30" i="38"/>
  <c r="Y31" i="38"/>
  <c r="Y32" i="38"/>
  <c r="Y33" i="38"/>
  <c r="Y34" i="38"/>
  <c r="Y35" i="38"/>
  <c r="Y36" i="38"/>
  <c r="Y4" i="38"/>
  <c r="O7" i="44"/>
  <c r="O8" i="44" s="1"/>
  <c r="O9" i="44" l="1"/>
  <c r="K50" i="37" l="1"/>
  <c r="K59" i="37"/>
  <c r="D11" i="44" l="1"/>
  <c r="BM26" i="38" l="1"/>
  <c r="CA1" i="38" s="1"/>
  <c r="CA2" i="38" s="1"/>
  <c r="BM17" i="38"/>
  <c r="CU1" i="38" s="1"/>
  <c r="L61" i="44" l="1"/>
  <c r="L60" i="44"/>
  <c r="K61" i="44" l="1"/>
  <c r="K60" i="44"/>
  <c r="F61" i="44"/>
  <c r="F60" i="44"/>
  <c r="B61" i="44"/>
  <c r="B60" i="44"/>
  <c r="M5" i="37" l="1"/>
  <c r="L59" i="44" l="1"/>
  <c r="L58" i="44"/>
  <c r="L57" i="44"/>
  <c r="L56" i="44"/>
  <c r="L55" i="44"/>
  <c r="L54" i="44"/>
  <c r="CU2" i="38" l="1"/>
  <c r="D65" i="44" l="1"/>
  <c r="D66" i="44" s="1"/>
  <c r="M26" i="44"/>
  <c r="M27" i="44" s="1"/>
  <c r="M25" i="44"/>
  <c r="M24" i="44"/>
  <c r="D25" i="44"/>
  <c r="D24" i="44"/>
  <c r="D19" i="44"/>
  <c r="D18" i="44"/>
  <c r="E15" i="44"/>
  <c r="K54" i="44"/>
  <c r="K59" i="44"/>
  <c r="K58" i="44"/>
  <c r="K57" i="44"/>
  <c r="K56" i="44"/>
  <c r="K55" i="44"/>
  <c r="B54" i="44"/>
  <c r="F59" i="44"/>
  <c r="F58" i="44"/>
  <c r="F57" i="44"/>
  <c r="F56" i="44"/>
  <c r="F55" i="44"/>
  <c r="F54" i="44"/>
  <c r="B59" i="44"/>
  <c r="B58" i="44"/>
  <c r="B57" i="44"/>
  <c r="B56" i="44"/>
  <c r="B55" i="44"/>
  <c r="N166" i="44"/>
  <c r="L75" i="44" l="1"/>
  <c r="BM4" i="38"/>
  <c r="DY2" i="38" l="1"/>
  <c r="DE2" i="38"/>
  <c r="G69" i="38"/>
  <c r="G70" i="38" s="1"/>
  <c r="G71" i="38" s="1"/>
  <c r="G72" i="38" s="1"/>
  <c r="G73" i="38" s="1"/>
  <c r="G74" i="38" s="1"/>
  <c r="G75" i="38" s="1"/>
  <c r="G76" i="38" s="1"/>
  <c r="G77" i="38" s="1"/>
  <c r="G78" i="38" s="1"/>
  <c r="G79" i="38" s="1"/>
  <c r="G80" i="38" s="1"/>
  <c r="G81" i="38" s="1"/>
  <c r="G82" i="38" s="1"/>
  <c r="G83" i="38" s="1"/>
  <c r="G84" i="38" s="1"/>
  <c r="G85" i="38" s="1"/>
  <c r="G86" i="38" s="1"/>
  <c r="G87" i="38" s="1"/>
  <c r="G88" i="38" s="1"/>
  <c r="G89" i="38" s="1"/>
  <c r="G90" i="38" s="1"/>
  <c r="G91" i="38" s="1"/>
  <c r="G92" i="38" s="1"/>
  <c r="G93" i="38" s="1"/>
  <c r="G94" i="38" s="1"/>
  <c r="G95" i="38" s="1"/>
  <c r="G96" i="38" s="1"/>
  <c r="G97" i="38" s="1"/>
  <c r="G98" i="38" s="1"/>
  <c r="G99" i="38" s="1"/>
  <c r="G100" i="38" s="1"/>
  <c r="G101" i="38" s="1"/>
  <c r="G102" i="38" s="1"/>
  <c r="G103" i="38" s="1"/>
  <c r="G104" i="38" s="1"/>
  <c r="BM19" i="38"/>
  <c r="CY1" i="38" s="1"/>
  <c r="BM20" i="38"/>
  <c r="DA1" i="38" s="1"/>
  <c r="BM21" i="38"/>
  <c r="BM22" i="38"/>
  <c r="BM23" i="38"/>
  <c r="DG1" i="38" s="1"/>
  <c r="BM24" i="38"/>
  <c r="BM25" i="38"/>
  <c r="BM18" i="38"/>
  <c r="DS1" i="38" s="1"/>
  <c r="BM16" i="38"/>
  <c r="CW1" i="38" l="1"/>
  <c r="DC1" i="38"/>
  <c r="DI1" i="38"/>
  <c r="DK1" i="38"/>
  <c r="BM13" i="38"/>
  <c r="CM1" i="38" s="1"/>
  <c r="BM14" i="38"/>
  <c r="CO1" i="38" s="1"/>
  <c r="BM15" i="38"/>
  <c r="CQ1" i="38" s="1"/>
  <c r="CS1" i="38"/>
  <c r="BM12" i="38"/>
  <c r="CK1" i="38" s="1"/>
  <c r="DE1" i="38" l="1"/>
  <c r="DY1" i="38"/>
  <c r="E35" i="40"/>
  <c r="D32" i="40"/>
  <c r="D33" i="40" s="1"/>
  <c r="E31" i="40"/>
  <c r="E32" i="40" s="1"/>
  <c r="E33" i="40" s="1"/>
  <c r="E34" i="40" s="1"/>
  <c r="D28" i="40"/>
  <c r="D29" i="40" s="1"/>
  <c r="D30" i="40" s="1"/>
  <c r="E27" i="40"/>
  <c r="D25" i="40"/>
  <c r="D26" i="40" s="1"/>
  <c r="E24" i="40"/>
  <c r="D23" i="40"/>
  <c r="E22" i="40"/>
  <c r="E21" i="40"/>
  <c r="E20" i="40"/>
  <c r="E19" i="40"/>
  <c r="E18" i="40"/>
  <c r="E17" i="40"/>
  <c r="E16" i="40"/>
  <c r="E15" i="40"/>
  <c r="E14" i="40"/>
  <c r="E13" i="40"/>
  <c r="E12" i="40"/>
  <c r="E11" i="40"/>
  <c r="E10" i="40"/>
  <c r="E9" i="40"/>
  <c r="E8" i="40"/>
  <c r="E7" i="40"/>
  <c r="E23" i="40" l="1"/>
  <c r="E28" i="40"/>
  <c r="E29" i="40" s="1"/>
  <c r="E30" i="40" s="1"/>
  <c r="D34" i="40"/>
  <c r="D36" i="40"/>
  <c r="J4" i="40" s="1"/>
  <c r="L4" i="40" s="1"/>
  <c r="N4" i="40" s="1"/>
  <c r="E25" i="40"/>
  <c r="E26" i="40" s="1"/>
  <c r="E36" i="40" l="1"/>
  <c r="C69" i="38" l="1"/>
  <c r="C70" i="38" s="1"/>
  <c r="C71" i="38" s="1"/>
  <c r="C72" i="38" s="1"/>
  <c r="C73" i="38" s="1"/>
  <c r="C74" i="38" s="1"/>
  <c r="C75" i="38" s="1"/>
  <c r="C76" i="38" s="1"/>
  <c r="C77" i="38" s="1"/>
  <c r="C78" i="38" s="1"/>
  <c r="C79" i="38" s="1"/>
  <c r="C80" i="38" s="1"/>
  <c r="C81" i="38" s="1"/>
  <c r="C82" i="38" s="1"/>
  <c r="C83" i="38" s="1"/>
  <c r="C84" i="38" s="1"/>
  <c r="C85" i="38" s="1"/>
  <c r="C86" i="38" s="1"/>
  <c r="C87" i="38" s="1"/>
  <c r="C88" i="38" s="1"/>
  <c r="C89" i="38" s="1"/>
  <c r="C90" i="38" s="1"/>
  <c r="C91" i="38" s="1"/>
  <c r="C92" i="38" s="1"/>
  <c r="C93" i="38" s="1"/>
  <c r="C94" i="38" s="1"/>
  <c r="C95" i="38" s="1"/>
  <c r="C96" i="38" s="1"/>
  <c r="C97" i="38" s="1"/>
  <c r="C98" i="38" s="1"/>
  <c r="C99" i="38" s="1"/>
  <c r="C100" i="38" s="1"/>
  <c r="C101" i="38" s="1"/>
  <c r="C102" i="38" s="1"/>
  <c r="C103" i="38" s="1"/>
  <c r="C104" i="38" s="1"/>
  <c r="DS2" i="38" l="1"/>
  <c r="CW2" i="38"/>
  <c r="BM9" i="38"/>
  <c r="BN9" i="38" s="1"/>
  <c r="BM8" i="38"/>
  <c r="BM7" i="38"/>
  <c r="BN7" i="38" s="1"/>
  <c r="BM6" i="38"/>
  <c r="BN6" i="38" s="1"/>
  <c r="BM5" i="38"/>
  <c r="BN5" i="38" s="1"/>
  <c r="BN8" i="38" l="1"/>
  <c r="CS2" i="38"/>
  <c r="L7" i="38"/>
  <c r="BN4" i="38" l="1"/>
  <c r="CL6" i="38" s="1"/>
  <c r="DY66" i="38"/>
  <c r="DY71" i="38"/>
  <c r="DY28" i="38"/>
  <c r="DX7" i="38"/>
  <c r="DY37" i="38"/>
  <c r="DX15" i="38"/>
  <c r="DX20" i="38"/>
  <c r="DY51" i="38"/>
  <c r="DX26" i="38"/>
  <c r="DX72" i="38"/>
  <c r="DX55" i="38"/>
  <c r="DX37" i="38"/>
  <c r="DX66" i="38"/>
  <c r="DY65" i="38"/>
  <c r="DX53" i="38"/>
  <c r="DY47" i="38"/>
  <c r="DX25" i="38"/>
  <c r="DY68" i="38"/>
  <c r="DX24" i="38"/>
  <c r="DY38" i="38"/>
  <c r="DA78" i="38"/>
  <c r="DY8" i="38"/>
  <c r="DY23" i="38"/>
  <c r="DX48" i="38"/>
  <c r="DX47" i="38"/>
  <c r="DY62" i="38"/>
  <c r="DX12" i="38"/>
  <c r="DX29" i="38"/>
  <c r="DY10" i="38"/>
  <c r="DY43" i="38"/>
  <c r="DY75" i="38"/>
  <c r="DI78" i="38"/>
  <c r="DY33" i="38"/>
  <c r="DY56" i="38"/>
  <c r="DX39" i="38"/>
  <c r="DY30" i="38"/>
  <c r="DY41" i="38"/>
  <c r="DX51" i="38"/>
  <c r="DY77" i="38"/>
  <c r="DX77" i="38"/>
  <c r="CZ78" i="38"/>
  <c r="DX27" i="38"/>
  <c r="DY57" i="38"/>
  <c r="DX8" i="38"/>
  <c r="DX61" i="38"/>
  <c r="DY22" i="38"/>
  <c r="DY40" i="38"/>
  <c r="DY29" i="38"/>
  <c r="DX50" i="38"/>
  <c r="DY48" i="38"/>
  <c r="DY9" i="38"/>
  <c r="DX76" i="38"/>
  <c r="DY14" i="38"/>
  <c r="DY32" i="38"/>
  <c r="DY27" i="38"/>
  <c r="DY17" i="38"/>
  <c r="DX74" i="38"/>
  <c r="DY60" i="38"/>
  <c r="DY69" i="38"/>
  <c r="DY15" i="38"/>
  <c r="DX31" i="38"/>
  <c r="DX45" i="38"/>
  <c r="DX64" i="38"/>
  <c r="DX42" i="38"/>
  <c r="DY20" i="38"/>
  <c r="DY45" i="38"/>
  <c r="DY70" i="38"/>
  <c r="DY79" i="38"/>
  <c r="DX28" i="38"/>
  <c r="DX78" i="38"/>
  <c r="DY35" i="38"/>
  <c r="DX49" i="38"/>
  <c r="DY26" i="38"/>
  <c r="DY44" i="38"/>
  <c r="DX19" i="38"/>
  <c r="DY74" i="38"/>
  <c r="DX14" i="38"/>
  <c r="DX36" i="38"/>
  <c r="CZ71" i="38"/>
  <c r="DA71" i="38"/>
  <c r="CZ72" i="38"/>
  <c r="DA74" i="38"/>
  <c r="CZ73" i="38"/>
  <c r="DA75" i="38"/>
  <c r="CZ74" i="38"/>
  <c r="DA76" i="38"/>
  <c r="CZ75" i="38"/>
  <c r="CZ76" i="38"/>
  <c r="DA73" i="38"/>
  <c r="DA72" i="38"/>
  <c r="DH6" i="38"/>
  <c r="DK80" i="38"/>
  <c r="DK98" i="38"/>
  <c r="DJ77" i="38"/>
  <c r="DJ89" i="38"/>
  <c r="DJ101" i="38"/>
  <c r="DK101" i="38"/>
  <c r="DJ81" i="38"/>
  <c r="DJ93" i="38"/>
  <c r="DJ105" i="38"/>
  <c r="DK81" i="38"/>
  <c r="DK93" i="38"/>
  <c r="DK105" i="38"/>
  <c r="DJ88" i="38"/>
  <c r="DJ82" i="38"/>
  <c r="DJ103" i="38"/>
  <c r="DK82" i="38"/>
  <c r="DK94" i="38"/>
  <c r="DK106" i="38"/>
  <c r="DH75" i="38"/>
  <c r="DI73" i="38"/>
  <c r="DH74" i="38"/>
  <c r="CU88" i="38"/>
  <c r="CU98" i="38"/>
  <c r="CU73" i="38"/>
  <c r="CU84" i="38"/>
  <c r="CU95" i="38"/>
  <c r="CU82" i="38"/>
  <c r="CU101" i="38"/>
  <c r="CU79" i="38"/>
  <c r="CU102" i="38"/>
  <c r="DJ98" i="38"/>
  <c r="DK102" i="38"/>
  <c r="DK91" i="38"/>
  <c r="DI72" i="38"/>
  <c r="CU86" i="38"/>
  <c r="CU83" i="38"/>
  <c r="CU104" i="38"/>
  <c r="DK71" i="38"/>
  <c r="DK86" i="38"/>
  <c r="DK104" i="38"/>
  <c r="DJ80" i="38"/>
  <c r="DJ92" i="38"/>
  <c r="DJ104" i="38"/>
  <c r="DJ72" i="38"/>
  <c r="DJ84" i="38"/>
  <c r="DJ96" i="38"/>
  <c r="DK72" i="38"/>
  <c r="DK84" i="38"/>
  <c r="DK96" i="38"/>
  <c r="DJ76" i="38"/>
  <c r="DJ97" i="38"/>
  <c r="DJ91" i="38"/>
  <c r="DK73" i="38"/>
  <c r="DK85" i="38"/>
  <c r="DK97" i="38"/>
  <c r="DI71" i="38"/>
  <c r="DH73" i="38"/>
  <c r="DI76" i="38"/>
  <c r="CU100" i="38"/>
  <c r="CU75" i="38"/>
  <c r="CU85" i="38"/>
  <c r="CU96" i="38"/>
  <c r="CU106" i="38"/>
  <c r="CU94" i="38"/>
  <c r="CU80" i="38"/>
  <c r="CU103" i="38"/>
  <c r="CU77" i="38"/>
  <c r="DK95" i="38"/>
  <c r="DJ74" i="38"/>
  <c r="DK92" i="38"/>
  <c r="DJ90" i="38"/>
  <c r="DK78" i="38"/>
  <c r="DJ85" i="38"/>
  <c r="DJ100" i="38"/>
  <c r="DK103" i="38"/>
  <c r="DH71" i="38"/>
  <c r="CU99" i="38"/>
  <c r="CU91" i="38"/>
  <c r="CU90" i="38"/>
  <c r="DK74" i="38"/>
  <c r="DK89" i="38"/>
  <c r="DJ71" i="38"/>
  <c r="DJ83" i="38"/>
  <c r="DJ95" i="38"/>
  <c r="DK83" i="38"/>
  <c r="DJ75" i="38"/>
  <c r="DJ87" i="38"/>
  <c r="DJ99" i="38"/>
  <c r="DK75" i="38"/>
  <c r="DK87" i="38"/>
  <c r="DK99" i="38"/>
  <c r="DJ79" i="38"/>
  <c r="DJ106" i="38"/>
  <c r="DJ94" i="38"/>
  <c r="DK76" i="38"/>
  <c r="DK88" i="38"/>
  <c r="DK100" i="38"/>
  <c r="DI74" i="38"/>
  <c r="DH76" i="38"/>
  <c r="DI75" i="38"/>
  <c r="DH72" i="38"/>
  <c r="CU74" i="38"/>
  <c r="CU87" i="38"/>
  <c r="CU97" i="38"/>
  <c r="CU71" i="38"/>
  <c r="CU105" i="38"/>
  <c r="CU81" i="38"/>
  <c r="CU92" i="38"/>
  <c r="CU78" i="38"/>
  <c r="CU89" i="38"/>
  <c r="DK77" i="38"/>
  <c r="DJ86" i="38"/>
  <c r="DJ78" i="38"/>
  <c r="DJ102" i="38"/>
  <c r="DK90" i="38"/>
  <c r="DJ73" i="38"/>
  <c r="DK79" i="38"/>
  <c r="CU76" i="38"/>
  <c r="CU72" i="38"/>
  <c r="CU93" i="38"/>
  <c r="DY25" i="38"/>
  <c r="DX63" i="38"/>
  <c r="DX9" i="38"/>
  <c r="DY19" i="38"/>
  <c r="DX75" i="38"/>
  <c r="DX73" i="38"/>
  <c r="DY72" i="38"/>
  <c r="DY34" i="38"/>
  <c r="DX10" i="38"/>
  <c r="DY49" i="38"/>
  <c r="DX32" i="38"/>
  <c r="DX35" i="38"/>
  <c r="DX62" i="38"/>
  <c r="DX60" i="38"/>
  <c r="DY54" i="38"/>
  <c r="DX38" i="38"/>
  <c r="DY63" i="38"/>
  <c r="DY16" i="38"/>
  <c r="DY31" i="38"/>
  <c r="DY13" i="38"/>
  <c r="DY7" i="38"/>
  <c r="DX11" i="38"/>
  <c r="DY21" i="38"/>
  <c r="DX58" i="38"/>
  <c r="DX56" i="38"/>
  <c r="DY52" i="38"/>
  <c r="DX34" i="38"/>
  <c r="DY61" i="38"/>
  <c r="DY12" i="38"/>
  <c r="DX23" i="38"/>
  <c r="DX6" i="38"/>
  <c r="DX68" i="38"/>
  <c r="DY58" i="38"/>
  <c r="DX46" i="38"/>
  <c r="DY67" i="38"/>
  <c r="DY24" i="38"/>
  <c r="DY6" i="38"/>
  <c r="DH78" i="38"/>
  <c r="DH77" i="38"/>
  <c r="DY11" i="38"/>
  <c r="DX70" i="38"/>
  <c r="DX41" i="38"/>
  <c r="DX13" i="38"/>
  <c r="DX59" i="38"/>
  <c r="DX57" i="38"/>
  <c r="DY64" i="38"/>
  <c r="DY18" i="38"/>
  <c r="DY73" i="38"/>
  <c r="DY36" i="38"/>
  <c r="DX16" i="38"/>
  <c r="DX21" i="38"/>
  <c r="DX69" i="38"/>
  <c r="DY78" i="38"/>
  <c r="DY46" i="38"/>
  <c r="DX22" i="38"/>
  <c r="DY55" i="38"/>
  <c r="DX44" i="38"/>
  <c r="DX17" i="38"/>
  <c r="DX71" i="38"/>
  <c r="DY39" i="38"/>
  <c r="DX43" i="38"/>
  <c r="DX67" i="38"/>
  <c r="DX65" i="38"/>
  <c r="DY76" i="38"/>
  <c r="DY42" i="38"/>
  <c r="DX18" i="38"/>
  <c r="DY53" i="38"/>
  <c r="DX40" i="38"/>
  <c r="DX33" i="38"/>
  <c r="DX54" i="38"/>
  <c r="DX52" i="38"/>
  <c r="DY50" i="38"/>
  <c r="DX30" i="38"/>
  <c r="DY59" i="38"/>
  <c r="DI77" i="38"/>
  <c r="CZ77" i="38"/>
  <c r="DA77" i="38"/>
  <c r="CZ79" i="38"/>
  <c r="DH79" i="38"/>
  <c r="DA79" i="38"/>
  <c r="DI79" i="38"/>
  <c r="DX79" i="38"/>
  <c r="DF43" i="38"/>
  <c r="DF52" i="38"/>
  <c r="DG13" i="38"/>
  <c r="DG38" i="38"/>
  <c r="DF61" i="38"/>
  <c r="DG55" i="38"/>
  <c r="DF64" i="38"/>
  <c r="DF79" i="38"/>
  <c r="DG26" i="38"/>
  <c r="DG60" i="38"/>
  <c r="DG56" i="38"/>
  <c r="DG18" i="38"/>
  <c r="DF55" i="38"/>
  <c r="DG64" i="38"/>
  <c r="DF27" i="38"/>
  <c r="DG32" i="38"/>
  <c r="DG53" i="38"/>
  <c r="DG73" i="38"/>
  <c r="DG62" i="38"/>
  <c r="DF28" i="38"/>
  <c r="DG34" i="38"/>
  <c r="DF62" i="38"/>
  <c r="DF32" i="38"/>
  <c r="DF15" i="38"/>
  <c r="DF45" i="38"/>
  <c r="DG24" i="38"/>
  <c r="DG77" i="38"/>
  <c r="DG20" i="38"/>
  <c r="DG33" i="38"/>
  <c r="DG40" i="38"/>
  <c r="DG49" i="38"/>
  <c r="DF51" i="38"/>
  <c r="DG37" i="38"/>
  <c r="DG19" i="38"/>
  <c r="DG22" i="38"/>
  <c r="DG10" i="38"/>
  <c r="DF59" i="38"/>
  <c r="DF54" i="38"/>
  <c r="DF47" i="38"/>
  <c r="DF35" i="38"/>
  <c r="DF58" i="38"/>
  <c r="DF11" i="38"/>
  <c r="DG43" i="38"/>
  <c r="DG54" i="38"/>
  <c r="DF10" i="38"/>
  <c r="DG59" i="38"/>
  <c r="DF41" i="38"/>
  <c r="DF18" i="38"/>
  <c r="DG23" i="38"/>
  <c r="DF22" i="38"/>
  <c r="DG46" i="38"/>
  <c r="DG74" i="38"/>
  <c r="DG72" i="38"/>
  <c r="DF73" i="38"/>
  <c r="DF71" i="38"/>
  <c r="DG27" i="38"/>
  <c r="DF16" i="38"/>
  <c r="DG21" i="38"/>
  <c r="DF31" i="38"/>
  <c r="DG42" i="38"/>
  <c r="DF8" i="38"/>
  <c r="DG45" i="38"/>
  <c r="DG8" i="38"/>
  <c r="DF50" i="38"/>
  <c r="DG14" i="38"/>
  <c r="DF65" i="38"/>
  <c r="DG66" i="38"/>
  <c r="DG36" i="38"/>
  <c r="DF38" i="38"/>
  <c r="DF57" i="38"/>
  <c r="DG63" i="38"/>
  <c r="DG11" i="38"/>
  <c r="DF26" i="38"/>
  <c r="DF37" i="38"/>
  <c r="DG67" i="38"/>
  <c r="DG68" i="38"/>
  <c r="DG44" i="38"/>
  <c r="DF33" i="38"/>
  <c r="DG57" i="38"/>
  <c r="DG78" i="38"/>
  <c r="DF78" i="38"/>
  <c r="DF56" i="38"/>
  <c r="DF9" i="38"/>
  <c r="DG15" i="38"/>
  <c r="DF14" i="38"/>
  <c r="DG28" i="38"/>
  <c r="DF36" i="38"/>
  <c r="DF66" i="38"/>
  <c r="DG7" i="38"/>
  <c r="DG17" i="38"/>
  <c r="DF39" i="38"/>
  <c r="DG25" i="38"/>
  <c r="DG41" i="38"/>
  <c r="DF42" i="38"/>
  <c r="DF30" i="38"/>
  <c r="DG35" i="38"/>
  <c r="DG70" i="38"/>
  <c r="DF34" i="38"/>
  <c r="DG58" i="38"/>
  <c r="DG16" i="38"/>
  <c r="DF70" i="38"/>
  <c r="DF23" i="38"/>
  <c r="DF46" i="38"/>
  <c r="DG31" i="38"/>
  <c r="DF68" i="38"/>
  <c r="DF6" i="38"/>
  <c r="DG76" i="38"/>
  <c r="DF74" i="38"/>
  <c r="DF75" i="38"/>
  <c r="DF77" i="38"/>
  <c r="DG39" i="38"/>
  <c r="DG29" i="38"/>
  <c r="DF24" i="38"/>
  <c r="DG61" i="38"/>
  <c r="DF63" i="38"/>
  <c r="DF20" i="38"/>
  <c r="DG9" i="38"/>
  <c r="DG30" i="38"/>
  <c r="DF19" i="38"/>
  <c r="DF21" i="38"/>
  <c r="DF44" i="38"/>
  <c r="DG50" i="38"/>
  <c r="DF40" i="38"/>
  <c r="DF60" i="38"/>
  <c r="DF7" i="38"/>
  <c r="DF67" i="38"/>
  <c r="DG48" i="38"/>
  <c r="DF48" i="38"/>
  <c r="DF25" i="38"/>
  <c r="DF29" i="38"/>
  <c r="DG12" i="38"/>
  <c r="DG65" i="38"/>
  <c r="DF12" i="38"/>
  <c r="DG69" i="38"/>
  <c r="DF49" i="38"/>
  <c r="DF53" i="38"/>
  <c r="DG47" i="38"/>
  <c r="DF69" i="38"/>
  <c r="DF13" i="38"/>
  <c r="DF17" i="38"/>
  <c r="DG51" i="38"/>
  <c r="DG52" i="38"/>
  <c r="DG6" i="38"/>
  <c r="DG75" i="38"/>
  <c r="DF76" i="38"/>
  <c r="DG71" i="38"/>
  <c r="DG79" i="38"/>
  <c r="DF72" i="38"/>
  <c r="DE12" i="38"/>
  <c r="EA12" i="38" s="1"/>
  <c r="DE20" i="38"/>
  <c r="EA20" i="38" s="1"/>
  <c r="DE28" i="38"/>
  <c r="EA28" i="38" s="1"/>
  <c r="DD9" i="38"/>
  <c r="DZ9" i="38" s="1"/>
  <c r="DD17" i="38"/>
  <c r="DZ17" i="38" s="1"/>
  <c r="DD25" i="38"/>
  <c r="DZ25" i="38" s="1"/>
  <c r="DD33" i="38"/>
  <c r="DZ33" i="38" s="1"/>
  <c r="DD41" i="38"/>
  <c r="DZ41" i="38" s="1"/>
  <c r="DD49" i="38"/>
  <c r="DZ49" i="38" s="1"/>
  <c r="DD57" i="38"/>
  <c r="DZ57" i="38" s="1"/>
  <c r="DD65" i="38"/>
  <c r="DZ65" i="38" s="1"/>
  <c r="DD73" i="38"/>
  <c r="DZ73" i="38" s="1"/>
  <c r="DE11" i="38"/>
  <c r="EA11" i="38" s="1"/>
  <c r="DE19" i="38"/>
  <c r="EA19" i="38" s="1"/>
  <c r="DE27" i="38"/>
  <c r="EA27" i="38" s="1"/>
  <c r="DE35" i="38"/>
  <c r="EA35" i="38" s="1"/>
  <c r="DE43" i="38"/>
  <c r="EA43" i="38" s="1"/>
  <c r="DE51" i="38"/>
  <c r="EA51" i="38" s="1"/>
  <c r="DE59" i="38"/>
  <c r="EA59" i="38" s="1"/>
  <c r="DE67" i="38"/>
  <c r="EA67" i="38" s="1"/>
  <c r="DD14" i="38"/>
  <c r="DZ14" i="38" s="1"/>
  <c r="DD60" i="38"/>
  <c r="DZ60" i="38" s="1"/>
  <c r="DD6" i="38"/>
  <c r="DZ6" i="38" s="1"/>
  <c r="DD32" i="38"/>
  <c r="DZ32" i="38" s="1"/>
  <c r="DE48" i="38"/>
  <c r="EA48" i="38" s="1"/>
  <c r="DE64" i="38"/>
  <c r="EA64" i="38" s="1"/>
  <c r="DE78" i="38"/>
  <c r="EA78" i="38" s="1"/>
  <c r="DD18" i="38"/>
  <c r="DZ18" i="38" s="1"/>
  <c r="DD42" i="38"/>
  <c r="DZ42" i="38" s="1"/>
  <c r="DD58" i="38"/>
  <c r="DZ58" i="38" s="1"/>
  <c r="DD74" i="38"/>
  <c r="DZ74" i="38" s="1"/>
  <c r="DD36" i="38"/>
  <c r="DZ36" i="38" s="1"/>
  <c r="DE75" i="38"/>
  <c r="EA75" i="38" s="1"/>
  <c r="DD28" i="38"/>
  <c r="DZ28" i="38" s="1"/>
  <c r="DE46" i="38"/>
  <c r="EA46" i="38" s="1"/>
  <c r="DE62" i="38"/>
  <c r="EA62" i="38" s="1"/>
  <c r="DE77" i="38"/>
  <c r="EA77" i="38" s="1"/>
  <c r="DD30" i="38"/>
  <c r="DZ30" i="38" s="1"/>
  <c r="DD62" i="38"/>
  <c r="DZ62" i="38" s="1"/>
  <c r="DD44" i="38"/>
  <c r="DZ44" i="38" s="1"/>
  <c r="DE50" i="38"/>
  <c r="EA50" i="38" s="1"/>
  <c r="DD15" i="38"/>
  <c r="DZ15" i="38" s="1"/>
  <c r="DD47" i="38"/>
  <c r="DZ47" i="38" s="1"/>
  <c r="DD63" i="38"/>
  <c r="DZ63" i="38" s="1"/>
  <c r="DE9" i="38"/>
  <c r="EA9" i="38" s="1"/>
  <c r="DE33" i="38"/>
  <c r="EA33" i="38" s="1"/>
  <c r="DE49" i="38"/>
  <c r="EA49" i="38" s="1"/>
  <c r="DE73" i="38"/>
  <c r="EA73" i="38" s="1"/>
  <c r="DD24" i="38"/>
  <c r="DZ24" i="38" s="1"/>
  <c r="DE60" i="38"/>
  <c r="EA60" i="38" s="1"/>
  <c r="DD54" i="38"/>
  <c r="DZ54" i="38" s="1"/>
  <c r="DD70" i="38"/>
  <c r="DZ70" i="38" s="1"/>
  <c r="DD20" i="38"/>
  <c r="DZ20" i="38" s="1"/>
  <c r="DE74" i="38"/>
  <c r="EA74" i="38" s="1"/>
  <c r="DE14" i="38"/>
  <c r="EA14" i="38" s="1"/>
  <c r="DE22" i="38"/>
  <c r="EA22" i="38" s="1"/>
  <c r="DE30" i="38"/>
  <c r="EA30" i="38" s="1"/>
  <c r="DD11" i="38"/>
  <c r="DZ11" i="38" s="1"/>
  <c r="DD19" i="38"/>
  <c r="DZ19" i="38" s="1"/>
  <c r="DD27" i="38"/>
  <c r="DZ27" i="38" s="1"/>
  <c r="DD35" i="38"/>
  <c r="DZ35" i="38" s="1"/>
  <c r="DD43" i="38"/>
  <c r="DZ43" i="38" s="1"/>
  <c r="DD51" i="38"/>
  <c r="DZ51" i="38" s="1"/>
  <c r="DD59" i="38"/>
  <c r="DZ59" i="38" s="1"/>
  <c r="DD67" i="38"/>
  <c r="DZ67" i="38" s="1"/>
  <c r="DD75" i="38"/>
  <c r="DZ75" i="38" s="1"/>
  <c r="DE6" i="38"/>
  <c r="EA6" i="38" s="1"/>
  <c r="DE13" i="38"/>
  <c r="EA13" i="38" s="1"/>
  <c r="DE21" i="38"/>
  <c r="EA21" i="38" s="1"/>
  <c r="DE29" i="38"/>
  <c r="EA29" i="38" s="1"/>
  <c r="DE37" i="38"/>
  <c r="EA37" i="38" s="1"/>
  <c r="DE45" i="38"/>
  <c r="EA45" i="38" s="1"/>
  <c r="DE53" i="38"/>
  <c r="EA53" i="38" s="1"/>
  <c r="DE61" i="38"/>
  <c r="EA61" i="38" s="1"/>
  <c r="DE69" i="38"/>
  <c r="EA69" i="38" s="1"/>
  <c r="DD22" i="38"/>
  <c r="DZ22" i="38" s="1"/>
  <c r="DD78" i="38"/>
  <c r="DZ78" i="38" s="1"/>
  <c r="DD8" i="38"/>
  <c r="DZ8" i="38" s="1"/>
  <c r="DE36" i="38"/>
  <c r="EA36" i="38" s="1"/>
  <c r="DE52" i="38"/>
  <c r="EA52" i="38" s="1"/>
  <c r="DE68" i="38"/>
  <c r="EA68" i="38" s="1"/>
  <c r="DD26" i="38"/>
  <c r="DZ26" i="38" s="1"/>
  <c r="DD46" i="38"/>
  <c r="DZ46" i="38" s="1"/>
  <c r="DE76" i="38"/>
  <c r="EA76" i="38" s="1"/>
  <c r="DE34" i="38"/>
  <c r="EA34" i="38" s="1"/>
  <c r="DE66" i="38"/>
  <c r="EA66" i="38" s="1"/>
  <c r="DD52" i="38"/>
  <c r="DZ52" i="38" s="1"/>
  <c r="DD7" i="38"/>
  <c r="DZ7" i="38" s="1"/>
  <c r="DD31" i="38"/>
  <c r="DZ31" i="38" s="1"/>
  <c r="DD71" i="38"/>
  <c r="DZ71" i="38" s="1"/>
  <c r="DE25" i="38"/>
  <c r="EA25" i="38" s="1"/>
  <c r="DE57" i="38"/>
  <c r="EA57" i="38" s="1"/>
  <c r="DD48" i="38"/>
  <c r="DZ48" i="38" s="1"/>
  <c r="DE44" i="38"/>
  <c r="EA44" i="38" s="1"/>
  <c r="DD38" i="38"/>
  <c r="DZ38" i="38" s="1"/>
  <c r="DD68" i="38"/>
  <c r="DZ68" i="38" s="1"/>
  <c r="DE42" i="38"/>
  <c r="EA42" i="38" s="1"/>
  <c r="DD72" i="38"/>
  <c r="DZ72" i="38" s="1"/>
  <c r="DE8" i="38"/>
  <c r="EA8" i="38" s="1"/>
  <c r="DE16" i="38"/>
  <c r="EA16" i="38" s="1"/>
  <c r="DE24" i="38"/>
  <c r="EA24" i="38" s="1"/>
  <c r="DE32" i="38"/>
  <c r="EA32" i="38" s="1"/>
  <c r="DD13" i="38"/>
  <c r="DZ13" i="38" s="1"/>
  <c r="DD21" i="38"/>
  <c r="DZ21" i="38" s="1"/>
  <c r="DD29" i="38"/>
  <c r="DZ29" i="38" s="1"/>
  <c r="DD37" i="38"/>
  <c r="DZ37" i="38" s="1"/>
  <c r="DD45" i="38"/>
  <c r="DZ45" i="38" s="1"/>
  <c r="DD53" i="38"/>
  <c r="DZ53" i="38" s="1"/>
  <c r="DD61" i="38"/>
  <c r="DZ61" i="38" s="1"/>
  <c r="DD69" i="38"/>
  <c r="DZ69" i="38" s="1"/>
  <c r="DD77" i="38"/>
  <c r="DZ77" i="38" s="1"/>
  <c r="DE7" i="38"/>
  <c r="EA7" i="38" s="1"/>
  <c r="DE15" i="38"/>
  <c r="EA15" i="38" s="1"/>
  <c r="DE23" i="38"/>
  <c r="EA23" i="38" s="1"/>
  <c r="DE31" i="38"/>
  <c r="EA31" i="38" s="1"/>
  <c r="DE39" i="38"/>
  <c r="EA39" i="38" s="1"/>
  <c r="DE47" i="38"/>
  <c r="EA47" i="38" s="1"/>
  <c r="DE55" i="38"/>
  <c r="EA55" i="38" s="1"/>
  <c r="DE63" i="38"/>
  <c r="EA63" i="38" s="1"/>
  <c r="DE71" i="38"/>
  <c r="EA71" i="38" s="1"/>
  <c r="DD40" i="38"/>
  <c r="DZ40" i="38" s="1"/>
  <c r="DD16" i="38"/>
  <c r="DZ16" i="38" s="1"/>
  <c r="DE40" i="38"/>
  <c r="EA40" i="38" s="1"/>
  <c r="DE56" i="38"/>
  <c r="EA56" i="38" s="1"/>
  <c r="DE72" i="38"/>
  <c r="EA72" i="38" s="1"/>
  <c r="DD34" i="38"/>
  <c r="DZ34" i="38" s="1"/>
  <c r="DD50" i="38"/>
  <c r="DZ50" i="38" s="1"/>
  <c r="DD66" i="38"/>
  <c r="DZ66" i="38" s="1"/>
  <c r="DE79" i="38"/>
  <c r="EA79" i="38" s="1"/>
  <c r="DD56" i="38"/>
  <c r="DZ56" i="38" s="1"/>
  <c r="DD12" i="38"/>
  <c r="DZ12" i="38" s="1"/>
  <c r="DE38" i="38"/>
  <c r="EA38" i="38" s="1"/>
  <c r="DE54" i="38"/>
  <c r="EA54" i="38" s="1"/>
  <c r="DE70" i="38"/>
  <c r="EA70" i="38" s="1"/>
  <c r="DD64" i="38"/>
  <c r="DZ64" i="38" s="1"/>
  <c r="DE10" i="38"/>
  <c r="EA10" i="38" s="1"/>
  <c r="DE18" i="38"/>
  <c r="EA18" i="38" s="1"/>
  <c r="DE26" i="38"/>
  <c r="EA26" i="38" s="1"/>
  <c r="DD23" i="38"/>
  <c r="DZ23" i="38" s="1"/>
  <c r="DD39" i="38"/>
  <c r="DZ39" i="38" s="1"/>
  <c r="DD55" i="38"/>
  <c r="DZ55" i="38" s="1"/>
  <c r="DD79" i="38"/>
  <c r="DZ79" i="38" s="1"/>
  <c r="DE17" i="38"/>
  <c r="EA17" i="38" s="1"/>
  <c r="DE41" i="38"/>
  <c r="EA41" i="38" s="1"/>
  <c r="DE65" i="38"/>
  <c r="EA65" i="38" s="1"/>
  <c r="DD76" i="38"/>
  <c r="DZ76" i="38" s="1"/>
  <c r="DD10" i="38"/>
  <c r="DZ10" i="38" s="1"/>
  <c r="DE58" i="38"/>
  <c r="EA58" i="38" s="1"/>
  <c r="CY79" i="38"/>
  <c r="CX78" i="38"/>
  <c r="CY77" i="38"/>
  <c r="CX77" i="38"/>
  <c r="CY72" i="38"/>
  <c r="CX76" i="38"/>
  <c r="CX73" i="38"/>
  <c r="CV6" i="38"/>
  <c r="DR6" i="38" s="1"/>
  <c r="CS19" i="38"/>
  <c r="CS31" i="38"/>
  <c r="CS35" i="38"/>
  <c r="CS39" i="38"/>
  <c r="CS43" i="38"/>
  <c r="CS47" i="38"/>
  <c r="CS51" i="38"/>
  <c r="CS55" i="38"/>
  <c r="CS59" i="38"/>
  <c r="CS63" i="38"/>
  <c r="CS67" i="38"/>
  <c r="CS71" i="38"/>
  <c r="CS75" i="38"/>
  <c r="CS79" i="38"/>
  <c r="CS6" i="38"/>
  <c r="CR10" i="38"/>
  <c r="CR14" i="38"/>
  <c r="CR18" i="38"/>
  <c r="CR22" i="38"/>
  <c r="CR26" i="38"/>
  <c r="CR30" i="38"/>
  <c r="CR34" i="38"/>
  <c r="CR38" i="38"/>
  <c r="CR42" i="38"/>
  <c r="CR46" i="38"/>
  <c r="CR50" i="38"/>
  <c r="CR54" i="38"/>
  <c r="CR58" i="38"/>
  <c r="CR62" i="38"/>
  <c r="CR66" i="38"/>
  <c r="CR70" i="38"/>
  <c r="CR74" i="38"/>
  <c r="CS10" i="38"/>
  <c r="CS14" i="38"/>
  <c r="CS18" i="38"/>
  <c r="CS22" i="38"/>
  <c r="CS26" i="38"/>
  <c r="CS30" i="38"/>
  <c r="CS34" i="38"/>
  <c r="CS38" i="38"/>
  <c r="CS42" i="38"/>
  <c r="CS46" i="38"/>
  <c r="CS50" i="38"/>
  <c r="CS54" i="38"/>
  <c r="CS58" i="38"/>
  <c r="CS62" i="38"/>
  <c r="CS66" i="38"/>
  <c r="CS70" i="38"/>
  <c r="CS74" i="38"/>
  <c r="CS78" i="38"/>
  <c r="CR9" i="38"/>
  <c r="CR13" i="38"/>
  <c r="CR17" i="38"/>
  <c r="CR21" i="38"/>
  <c r="CR25" i="38"/>
  <c r="CR33" i="38"/>
  <c r="CR41" i="38"/>
  <c r="CR49" i="38"/>
  <c r="CR57" i="38"/>
  <c r="CR65" i="38"/>
  <c r="CR73" i="38"/>
  <c r="CR78" i="38"/>
  <c r="CS9" i="38"/>
  <c r="CS13" i="38"/>
  <c r="CS17" i="38"/>
  <c r="CS21" i="38"/>
  <c r="CS25" i="38"/>
  <c r="CS29" i="38"/>
  <c r="CS33" i="38"/>
  <c r="CS37" i="38"/>
  <c r="CS41" i="38"/>
  <c r="CS45" i="38"/>
  <c r="CS49" i="38"/>
  <c r="CS53" i="38"/>
  <c r="CS57" i="38"/>
  <c r="CS61" i="38"/>
  <c r="CS65" i="38"/>
  <c r="CS69" i="38"/>
  <c r="CS73" i="38"/>
  <c r="CS77" i="38"/>
  <c r="CR8" i="38"/>
  <c r="CR12" i="38"/>
  <c r="CR16" i="38"/>
  <c r="CR20" i="38"/>
  <c r="CR24" i="38"/>
  <c r="CR28" i="38"/>
  <c r="CR32" i="38"/>
  <c r="CR36" i="38"/>
  <c r="CR40" i="38"/>
  <c r="CR44" i="38"/>
  <c r="CR48" i="38"/>
  <c r="CR52" i="38"/>
  <c r="CR56" i="38"/>
  <c r="CR60" i="38"/>
  <c r="CR64" i="38"/>
  <c r="CR68" i="38"/>
  <c r="CR72" i="38"/>
  <c r="CS8" i="38"/>
  <c r="CS12" i="38"/>
  <c r="CS16" i="38"/>
  <c r="CS20" i="38"/>
  <c r="CS24" i="38"/>
  <c r="CS28" i="38"/>
  <c r="CS32" i="38"/>
  <c r="CS36" i="38"/>
  <c r="CS40" i="38"/>
  <c r="CS44" i="38"/>
  <c r="CS48" i="38"/>
  <c r="CS52" i="38"/>
  <c r="CS56" i="38"/>
  <c r="CS60" i="38"/>
  <c r="CS64" i="38"/>
  <c r="CS68" i="38"/>
  <c r="CS72" i="38"/>
  <c r="CS76" i="38"/>
  <c r="CS80" i="38"/>
  <c r="CR7" i="38"/>
  <c r="CR11" i="38"/>
  <c r="CR15" i="38"/>
  <c r="CR19" i="38"/>
  <c r="CR23" i="38"/>
  <c r="CR29" i="38"/>
  <c r="CR37" i="38"/>
  <c r="CR45" i="38"/>
  <c r="CR53" i="38"/>
  <c r="CR61" i="38"/>
  <c r="CR69" i="38"/>
  <c r="CR76" i="38"/>
  <c r="CR27" i="38"/>
  <c r="CR35" i="38"/>
  <c r="CR43" i="38"/>
  <c r="CR51" i="38"/>
  <c r="CR59" i="38"/>
  <c r="CR67" i="38"/>
  <c r="CR75" i="38"/>
  <c r="CR79" i="38"/>
  <c r="CR31" i="38"/>
  <c r="CR39" i="38"/>
  <c r="CR47" i="38"/>
  <c r="CR55" i="38"/>
  <c r="CR63" i="38"/>
  <c r="CR71" i="38"/>
  <c r="CR77" i="38"/>
  <c r="CR6" i="38"/>
  <c r="CW12" i="38"/>
  <c r="DS12" i="38" s="1"/>
  <c r="CW20" i="38"/>
  <c r="DS20" i="38" s="1"/>
  <c r="CW28" i="38"/>
  <c r="DS28" i="38" s="1"/>
  <c r="CW36" i="38"/>
  <c r="DS36" i="38" s="1"/>
  <c r="CW44" i="38"/>
  <c r="DS44" i="38" s="1"/>
  <c r="CW52" i="38"/>
  <c r="DS52" i="38" s="1"/>
  <c r="CW60" i="38"/>
  <c r="DS60" i="38" s="1"/>
  <c r="CW68" i="38"/>
  <c r="DS68" i="38" s="1"/>
  <c r="CW76" i="38"/>
  <c r="DS76" i="38" s="1"/>
  <c r="CV8" i="38"/>
  <c r="DR8" i="38" s="1"/>
  <c r="CV16" i="38"/>
  <c r="DR16" i="38" s="1"/>
  <c r="CV24" i="38"/>
  <c r="DR24" i="38" s="1"/>
  <c r="CV32" i="38"/>
  <c r="DR32" i="38" s="1"/>
  <c r="CV40" i="38"/>
  <c r="DR40" i="38" s="1"/>
  <c r="CV48" i="38"/>
  <c r="DR48" i="38" s="1"/>
  <c r="CV56" i="38"/>
  <c r="DR56" i="38" s="1"/>
  <c r="CV64" i="38"/>
  <c r="DR64" i="38" s="1"/>
  <c r="CV72" i="38"/>
  <c r="DR72" i="38" s="1"/>
  <c r="CW9" i="38"/>
  <c r="DS9" i="38" s="1"/>
  <c r="CW17" i="38"/>
  <c r="DS17" i="38" s="1"/>
  <c r="CW25" i="38"/>
  <c r="DS25" i="38" s="1"/>
  <c r="CW33" i="38"/>
  <c r="DS33" i="38" s="1"/>
  <c r="CW41" i="38"/>
  <c r="DS41" i="38" s="1"/>
  <c r="CW49" i="38"/>
  <c r="DS49" i="38" s="1"/>
  <c r="CW57" i="38"/>
  <c r="DS57" i="38" s="1"/>
  <c r="CW65" i="38"/>
  <c r="DS65" i="38" s="1"/>
  <c r="CW73" i="38"/>
  <c r="DS73" i="38" s="1"/>
  <c r="CV13" i="38"/>
  <c r="DR13" i="38" s="1"/>
  <c r="CV21" i="38"/>
  <c r="DR21" i="38" s="1"/>
  <c r="CV29" i="38"/>
  <c r="DR29" i="38" s="1"/>
  <c r="CV37" i="38"/>
  <c r="DR37" i="38" s="1"/>
  <c r="CV51" i="38"/>
  <c r="DR51" i="38" s="1"/>
  <c r="CV67" i="38"/>
  <c r="DR67" i="38" s="1"/>
  <c r="CW10" i="38"/>
  <c r="DS10" i="38" s="1"/>
  <c r="CW18" i="38"/>
  <c r="DS18" i="38" s="1"/>
  <c r="CW26" i="38"/>
  <c r="DS26" i="38" s="1"/>
  <c r="CW34" i="38"/>
  <c r="DS34" i="38" s="1"/>
  <c r="CW42" i="38"/>
  <c r="DS42" i="38" s="1"/>
  <c r="CW50" i="38"/>
  <c r="DS50" i="38" s="1"/>
  <c r="CW58" i="38"/>
  <c r="DS58" i="38" s="1"/>
  <c r="CW66" i="38"/>
  <c r="DS66" i="38" s="1"/>
  <c r="CW74" i="38"/>
  <c r="DS74" i="38" s="1"/>
  <c r="CV14" i="38"/>
  <c r="DR14" i="38" s="1"/>
  <c r="CV22" i="38"/>
  <c r="DR22" i="38" s="1"/>
  <c r="CV30" i="38"/>
  <c r="DR30" i="38" s="1"/>
  <c r="CV38" i="38"/>
  <c r="DR38" i="38" s="1"/>
  <c r="CV46" i="38"/>
  <c r="DR46" i="38" s="1"/>
  <c r="CV54" i="38"/>
  <c r="DR54" i="38" s="1"/>
  <c r="CV62" i="38"/>
  <c r="DR62" i="38" s="1"/>
  <c r="CV70" i="38"/>
  <c r="DR70" i="38" s="1"/>
  <c r="CW7" i="38"/>
  <c r="DS7" i="38" s="1"/>
  <c r="CW15" i="38"/>
  <c r="DS15" i="38" s="1"/>
  <c r="CW23" i="38"/>
  <c r="DS23" i="38" s="1"/>
  <c r="CW31" i="38"/>
  <c r="DS31" i="38" s="1"/>
  <c r="CW39" i="38"/>
  <c r="DS39" i="38" s="1"/>
  <c r="CW47" i="38"/>
  <c r="DS47" i="38" s="1"/>
  <c r="CW55" i="38"/>
  <c r="DS55" i="38" s="1"/>
  <c r="CW63" i="38"/>
  <c r="DS63" i="38" s="1"/>
  <c r="CW71" i="38"/>
  <c r="DS71" i="38" s="1"/>
  <c r="CW79" i="38"/>
  <c r="DS79" i="38" s="1"/>
  <c r="CV11" i="38"/>
  <c r="DR11" i="38" s="1"/>
  <c r="CV19" i="38"/>
  <c r="DR19" i="38" s="1"/>
  <c r="CV27" i="38"/>
  <c r="DR27" i="38" s="1"/>
  <c r="CV35" i="38"/>
  <c r="DR35" i="38" s="1"/>
  <c r="CV47" i="38"/>
  <c r="DR47" i="38" s="1"/>
  <c r="CV78" i="38"/>
  <c r="DR78" i="38" s="1"/>
  <c r="CW8" i="38"/>
  <c r="DS8" i="38" s="1"/>
  <c r="CW16" i="38"/>
  <c r="DS16" i="38" s="1"/>
  <c r="CW24" i="38"/>
  <c r="DS24" i="38" s="1"/>
  <c r="CW32" i="38"/>
  <c r="DS32" i="38" s="1"/>
  <c r="CW40" i="38"/>
  <c r="DS40" i="38" s="1"/>
  <c r="CW48" i="38"/>
  <c r="DS48" i="38" s="1"/>
  <c r="CW56" i="38"/>
  <c r="DS56" i="38" s="1"/>
  <c r="CW64" i="38"/>
  <c r="DS64" i="38" s="1"/>
  <c r="CW72" i="38"/>
  <c r="DS72" i="38" s="1"/>
  <c r="CW80" i="38"/>
  <c r="DS80" i="38" s="1"/>
  <c r="CV12" i="38"/>
  <c r="DR12" i="38" s="1"/>
  <c r="CV20" i="38"/>
  <c r="DR20" i="38" s="1"/>
  <c r="CV28" i="38"/>
  <c r="DR28" i="38" s="1"/>
  <c r="CV36" i="38"/>
  <c r="DR36" i="38" s="1"/>
  <c r="CV44" i="38"/>
  <c r="DR44" i="38" s="1"/>
  <c r="CV52" i="38"/>
  <c r="DR52" i="38" s="1"/>
  <c r="CV60" i="38"/>
  <c r="DR60" i="38" s="1"/>
  <c r="CV68" i="38"/>
  <c r="DR68" i="38" s="1"/>
  <c r="CV76" i="38"/>
  <c r="DR76" i="38" s="1"/>
  <c r="CW13" i="38"/>
  <c r="DS13" i="38" s="1"/>
  <c r="CW21" i="38"/>
  <c r="DS21" i="38" s="1"/>
  <c r="CW29" i="38"/>
  <c r="DS29" i="38" s="1"/>
  <c r="CW37" i="38"/>
  <c r="DS37" i="38" s="1"/>
  <c r="CW45" i="38"/>
  <c r="DS45" i="38" s="1"/>
  <c r="CW53" i="38"/>
  <c r="DS53" i="38" s="1"/>
  <c r="CW61" i="38"/>
  <c r="DS61" i="38" s="1"/>
  <c r="CW69" i="38"/>
  <c r="DS69" i="38" s="1"/>
  <c r="CW77" i="38"/>
  <c r="DS77" i="38" s="1"/>
  <c r="CV9" i="38"/>
  <c r="DR9" i="38" s="1"/>
  <c r="CV17" i="38"/>
  <c r="DR17" i="38" s="1"/>
  <c r="CV25" i="38"/>
  <c r="DR25" i="38" s="1"/>
  <c r="CV33" i="38"/>
  <c r="DR33" i="38" s="1"/>
  <c r="CV43" i="38"/>
  <c r="DR43" i="38" s="1"/>
  <c r="CV59" i="38"/>
  <c r="DR59" i="38" s="1"/>
  <c r="CV75" i="38"/>
  <c r="DR75" i="38" s="1"/>
  <c r="CW14" i="38"/>
  <c r="DS14" i="38" s="1"/>
  <c r="CW22" i="38"/>
  <c r="DS22" i="38" s="1"/>
  <c r="CW30" i="38"/>
  <c r="DS30" i="38" s="1"/>
  <c r="CW38" i="38"/>
  <c r="DS38" i="38" s="1"/>
  <c r="CW46" i="38"/>
  <c r="DS46" i="38" s="1"/>
  <c r="CW54" i="38"/>
  <c r="DS54" i="38" s="1"/>
  <c r="CW62" i="38"/>
  <c r="DS62" i="38" s="1"/>
  <c r="CW70" i="38"/>
  <c r="DS70" i="38" s="1"/>
  <c r="CW78" i="38"/>
  <c r="DS78" i="38" s="1"/>
  <c r="CV10" i="38"/>
  <c r="DR10" i="38" s="1"/>
  <c r="CV18" i="38"/>
  <c r="DR18" i="38" s="1"/>
  <c r="CV26" i="38"/>
  <c r="DR26" i="38" s="1"/>
  <c r="CV34" i="38"/>
  <c r="DR34" i="38" s="1"/>
  <c r="CV42" i="38"/>
  <c r="DR42" i="38" s="1"/>
  <c r="CV50" i="38"/>
  <c r="DR50" i="38" s="1"/>
  <c r="CV58" i="38"/>
  <c r="DR58" i="38" s="1"/>
  <c r="CV66" i="38"/>
  <c r="DR66" i="38" s="1"/>
  <c r="CV74" i="38"/>
  <c r="DR74" i="38" s="1"/>
  <c r="CW11" i="38"/>
  <c r="DS11" i="38" s="1"/>
  <c r="CW19" i="38"/>
  <c r="DS19" i="38" s="1"/>
  <c r="CW27" i="38"/>
  <c r="DS27" i="38" s="1"/>
  <c r="CW35" i="38"/>
  <c r="DS35" i="38" s="1"/>
  <c r="CW43" i="38"/>
  <c r="DS43" i="38" s="1"/>
  <c r="CW51" i="38"/>
  <c r="DS51" i="38" s="1"/>
  <c r="CW59" i="38"/>
  <c r="DS59" i="38" s="1"/>
  <c r="CW67" i="38"/>
  <c r="DS67" i="38" s="1"/>
  <c r="CW75" i="38"/>
  <c r="DS75" i="38" s="1"/>
  <c r="CV7" i="38"/>
  <c r="DR7" i="38" s="1"/>
  <c r="CV15" i="38"/>
  <c r="DR15" i="38" s="1"/>
  <c r="CV23" i="38"/>
  <c r="DR23" i="38" s="1"/>
  <c r="CV31" i="38"/>
  <c r="DR31" i="38" s="1"/>
  <c r="CV39" i="38"/>
  <c r="DR39" i="38" s="1"/>
  <c r="CV63" i="38"/>
  <c r="DR63" i="38" s="1"/>
  <c r="CV69" i="38"/>
  <c r="DR69" i="38" s="1"/>
  <c r="CV53" i="38"/>
  <c r="DR53" i="38" s="1"/>
  <c r="CV55" i="38"/>
  <c r="DR55" i="38" s="1"/>
  <c r="CV79" i="38"/>
  <c r="DR79" i="38" s="1"/>
  <c r="CV65" i="38"/>
  <c r="DR65" i="38" s="1"/>
  <c r="CV49" i="38"/>
  <c r="DR49" i="38" s="1"/>
  <c r="CV77" i="38"/>
  <c r="DR77" i="38" s="1"/>
  <c r="CV61" i="38"/>
  <c r="DR61" i="38" s="1"/>
  <c r="CV45" i="38"/>
  <c r="DR45" i="38" s="1"/>
  <c r="CV71" i="38"/>
  <c r="DR71" i="38" s="1"/>
  <c r="CW6" i="38"/>
  <c r="DS6" i="38" s="1"/>
  <c r="CV73" i="38"/>
  <c r="DR73" i="38" s="1"/>
  <c r="CV57" i="38"/>
  <c r="DR57" i="38" s="1"/>
  <c r="CV41" i="38"/>
  <c r="DR41" i="38" s="1"/>
  <c r="CN71" i="38"/>
  <c r="CO79" i="38"/>
  <c r="CN79" i="38"/>
  <c r="CN74" i="38"/>
  <c r="CN73" i="38"/>
  <c r="CM80" i="38"/>
  <c r="CN77" i="38"/>
  <c r="CN72" i="38"/>
  <c r="CO78" i="38"/>
  <c r="CL79" i="38"/>
  <c r="CO77" i="38"/>
  <c r="CM78" i="38"/>
  <c r="CM75" i="38"/>
  <c r="CL76" i="38"/>
  <c r="CN78" i="38"/>
  <c r="CO71" i="38"/>
  <c r="CL72" i="38"/>
  <c r="CM77" i="38"/>
  <c r="CM74" i="38"/>
  <c r="CL71" i="38"/>
  <c r="CM72" i="38"/>
  <c r="CM73" i="38"/>
  <c r="CM79" i="38"/>
  <c r="CL75" i="38"/>
  <c r="CO75" i="38"/>
  <c r="CL74" i="38"/>
  <c r="CO72" i="38"/>
  <c r="CL73" i="38"/>
  <c r="CM76" i="38"/>
  <c r="CO73" i="38"/>
  <c r="CL78" i="38"/>
  <c r="CL77" i="38"/>
  <c r="CN76" i="38"/>
  <c r="CO76" i="38"/>
  <c r="CM71" i="38"/>
  <c r="CN75" i="38"/>
  <c r="CO80" i="38"/>
  <c r="CO74" i="38"/>
  <c r="CI97" i="38"/>
  <c r="CI81" i="38"/>
  <c r="CH76" i="38"/>
  <c r="CI84" i="38"/>
  <c r="CI94" i="38"/>
  <c r="CI79" i="38"/>
  <c r="CI78" i="38"/>
  <c r="CH83" i="38"/>
  <c r="CI100" i="38"/>
  <c r="CI73" i="38"/>
  <c r="CI92" i="38"/>
  <c r="CH82" i="38"/>
  <c r="CH98" i="38"/>
  <c r="CI95" i="38"/>
  <c r="DJ31" i="38"/>
  <c r="DA6" i="38"/>
  <c r="CZ6" i="38"/>
  <c r="CU21" i="38"/>
  <c r="DH7" i="38"/>
  <c r="DI14" i="38"/>
  <c r="DH30" i="38"/>
  <c r="DI50" i="38"/>
  <c r="DH53" i="38"/>
  <c r="DH50" i="38"/>
  <c r="DH34" i="38"/>
  <c r="DI22" i="38"/>
  <c r="DI11" i="38"/>
  <c r="DI51" i="38"/>
  <c r="DI46" i="38"/>
  <c r="DK42" i="38"/>
  <c r="DJ45" i="38"/>
  <c r="DJ58" i="38"/>
  <c r="DJ35" i="38"/>
  <c r="DJ48" i="38"/>
  <c r="DJ25" i="38"/>
  <c r="DK37" i="38"/>
  <c r="DJ40" i="38"/>
  <c r="DH13" i="38"/>
  <c r="DI26" i="38"/>
  <c r="DI30" i="38"/>
  <c r="DI68" i="38"/>
  <c r="DI35" i="38"/>
  <c r="DH56" i="38"/>
  <c r="DH58" i="38"/>
  <c r="DI40" i="38"/>
  <c r="DI59" i="38"/>
  <c r="DI69" i="38"/>
  <c r="DH35" i="38"/>
  <c r="DK54" i="38"/>
  <c r="DJ57" i="38"/>
  <c r="DJ70" i="38"/>
  <c r="DJ47" i="38"/>
  <c r="DJ60" i="38"/>
  <c r="DJ37" i="38"/>
  <c r="DK49" i="38"/>
  <c r="DJ52" i="38"/>
  <c r="DH19" i="38"/>
  <c r="DI38" i="38"/>
  <c r="DI7" i="38"/>
  <c r="DH27" i="38"/>
  <c r="DH42" i="38"/>
  <c r="DH62" i="38"/>
  <c r="DI23" i="38"/>
  <c r="DH17" i="38"/>
  <c r="DH54" i="38"/>
  <c r="DH28" i="38"/>
  <c r="DH59" i="38"/>
  <c r="DK66" i="38"/>
  <c r="DJ69" i="38"/>
  <c r="DK36" i="38"/>
  <c r="DJ59" i="38"/>
  <c r="DJ24" i="38"/>
  <c r="DJ49" i="38"/>
  <c r="DK61" i="38"/>
  <c r="DJ64" i="38"/>
  <c r="DH25" i="38"/>
  <c r="DI56" i="38"/>
  <c r="DI13" i="38"/>
  <c r="DH39" i="38"/>
  <c r="DI12" i="38"/>
  <c r="DH68" i="38"/>
  <c r="DH24" i="38"/>
  <c r="DI6" i="38"/>
  <c r="DI18" i="38"/>
  <c r="DH64" i="38"/>
  <c r="DI29" i="38"/>
  <c r="DJ32" i="38"/>
  <c r="DJ65" i="38"/>
  <c r="DJ38" i="38"/>
  <c r="DK24" i="38"/>
  <c r="DK48" i="38"/>
  <c r="DJ61" i="38"/>
  <c r="DJ27" i="38"/>
  <c r="DK27" i="38"/>
  <c r="DH31" i="38"/>
  <c r="DH21" i="38"/>
  <c r="DI19" i="38"/>
  <c r="DH57" i="38"/>
  <c r="DI60" i="38"/>
  <c r="DI32" i="38"/>
  <c r="DH66" i="38"/>
  <c r="DI47" i="38"/>
  <c r="DI66" i="38"/>
  <c r="DI34" i="38"/>
  <c r="DI65" i="38"/>
  <c r="DJ44" i="38"/>
  <c r="DK64" i="38"/>
  <c r="DJ41" i="38"/>
  <c r="DK60" i="38"/>
  <c r="DJ62" i="38"/>
  <c r="DJ26" i="38"/>
  <c r="DJ39" i="38"/>
  <c r="DJ29" i="38"/>
  <c r="DH37" i="38"/>
  <c r="DH52" i="38"/>
  <c r="DI25" i="38"/>
  <c r="DH69" i="38"/>
  <c r="DH8" i="38"/>
  <c r="DI62" i="38"/>
  <c r="DI42" i="38"/>
  <c r="DH12" i="38"/>
  <c r="DI9" i="38"/>
  <c r="DI58" i="38"/>
  <c r="DH36" i="38"/>
  <c r="DJ56" i="38"/>
  <c r="DK65" i="38"/>
  <c r="DK40" i="38"/>
  <c r="DK63" i="38"/>
  <c r="DK51" i="38"/>
  <c r="DJ50" i="38"/>
  <c r="DJ51" i="38"/>
  <c r="DJ42" i="38"/>
  <c r="DH43" i="38"/>
  <c r="DI10" i="38"/>
  <c r="DI31" i="38"/>
  <c r="DH10" i="38"/>
  <c r="DH14" i="38"/>
  <c r="DH15" i="38"/>
  <c r="DI8" i="38"/>
  <c r="DI36" i="38"/>
  <c r="DI15" i="38"/>
  <c r="DH11" i="38"/>
  <c r="DI24" i="38"/>
  <c r="DJ68" i="38"/>
  <c r="DK32" i="38"/>
  <c r="DK41" i="38"/>
  <c r="DJ54" i="38"/>
  <c r="DK52" i="38"/>
  <c r="DK39" i="38"/>
  <c r="DJ63" i="38"/>
  <c r="DH49" i="38"/>
  <c r="DI52" i="38"/>
  <c r="DI37" i="38"/>
  <c r="DH40" i="38"/>
  <c r="DH20" i="38"/>
  <c r="DH33" i="38"/>
  <c r="DI20" i="38"/>
  <c r="DH9" i="38"/>
  <c r="DI21" i="38"/>
  <c r="DH65" i="38"/>
  <c r="DH48" i="38"/>
  <c r="DK31" i="38"/>
  <c r="DK44" i="38"/>
  <c r="DJ43" i="38"/>
  <c r="DK34" i="38"/>
  <c r="DK29" i="38"/>
  <c r="DJ53" i="38"/>
  <c r="DK26" i="38"/>
  <c r="DH55" i="38"/>
  <c r="DH29" i="38"/>
  <c r="DI43" i="38"/>
  <c r="DH70" i="38"/>
  <c r="DH26" i="38"/>
  <c r="DH51" i="38"/>
  <c r="DI44" i="38"/>
  <c r="DH45" i="38"/>
  <c r="DI27" i="38"/>
  <c r="DI41" i="38"/>
  <c r="DI48" i="38"/>
  <c r="DK43" i="38"/>
  <c r="DK56" i="38"/>
  <c r="DK33" i="38"/>
  <c r="DK46" i="38"/>
  <c r="DJ67" i="38"/>
  <c r="DJ30" i="38"/>
  <c r="DK38" i="38"/>
  <c r="DH61" i="38"/>
  <c r="DH47" i="38"/>
  <c r="DI49" i="38"/>
  <c r="DI28" i="38"/>
  <c r="DH32" i="38"/>
  <c r="DH63" i="38"/>
  <c r="DI57" i="38"/>
  <c r="DI16" i="38"/>
  <c r="DI33" i="38"/>
  <c r="DH18" i="38"/>
  <c r="DK28" i="38"/>
  <c r="DK55" i="38"/>
  <c r="DK68" i="38"/>
  <c r="DK45" i="38"/>
  <c r="DK58" i="38"/>
  <c r="DK35" i="38"/>
  <c r="DK53" i="38"/>
  <c r="DK50" i="38"/>
  <c r="DH67" i="38"/>
  <c r="DI17" i="38"/>
  <c r="DI55" i="38"/>
  <c r="DI64" i="38"/>
  <c r="DH38" i="38"/>
  <c r="DI63" i="38"/>
  <c r="DH22" i="38"/>
  <c r="DI70" i="38"/>
  <c r="DI39" i="38"/>
  <c r="DH60" i="38"/>
  <c r="DJ66" i="38"/>
  <c r="DK67" i="38"/>
  <c r="DJ34" i="38"/>
  <c r="DK57" i="38"/>
  <c r="DK70" i="38"/>
  <c r="DK47" i="38"/>
  <c r="DJ55" i="38"/>
  <c r="DK62" i="38"/>
  <c r="DI67" i="38"/>
  <c r="DI53" i="38"/>
  <c r="DI61" i="38"/>
  <c r="DH23" i="38"/>
  <c r="DH44" i="38"/>
  <c r="DH16" i="38"/>
  <c r="DH46" i="38"/>
  <c r="DH41" i="38"/>
  <c r="DI45" i="38"/>
  <c r="DI54" i="38"/>
  <c r="DK30" i="38"/>
  <c r="DJ33" i="38"/>
  <c r="DJ46" i="38"/>
  <c r="DK69" i="38"/>
  <c r="DJ36" i="38"/>
  <c r="DK59" i="38"/>
  <c r="DK25" i="38"/>
  <c r="DJ28" i="38"/>
  <c r="DA18" i="38"/>
  <c r="CZ68" i="38"/>
  <c r="CZ50" i="38"/>
  <c r="DA56" i="38"/>
  <c r="DA45" i="38"/>
  <c r="DA34" i="38"/>
  <c r="DA35" i="38"/>
  <c r="DA24" i="38"/>
  <c r="DA26" i="38"/>
  <c r="CZ46" i="38"/>
  <c r="DA29" i="38"/>
  <c r="DA30" i="38"/>
  <c r="DA15" i="38"/>
  <c r="CZ62" i="38"/>
  <c r="DA68" i="38"/>
  <c r="DA57" i="38"/>
  <c r="DA46" i="38"/>
  <c r="DA47" i="38"/>
  <c r="DA36" i="38"/>
  <c r="DA38" i="38"/>
  <c r="DA16" i="38"/>
  <c r="DA41" i="38"/>
  <c r="DA42" i="38"/>
  <c r="CZ58" i="38"/>
  <c r="DA13" i="38"/>
  <c r="CZ15" i="38"/>
  <c r="DA69" i="38"/>
  <c r="DA58" i="38"/>
  <c r="DA59" i="38"/>
  <c r="DA48" i="38"/>
  <c r="DA50" i="38"/>
  <c r="DA28" i="38"/>
  <c r="DA53" i="38"/>
  <c r="DA54" i="38"/>
  <c r="DA7" i="38"/>
  <c r="DA37" i="38"/>
  <c r="CZ27" i="38"/>
  <c r="CZ16" i="38"/>
  <c r="DA60" i="38"/>
  <c r="DA62" i="38"/>
  <c r="DA40" i="38"/>
  <c r="DA65" i="38"/>
  <c r="DA66" i="38"/>
  <c r="DA19" i="38"/>
  <c r="DA61" i="38"/>
  <c r="CZ39" i="38"/>
  <c r="CZ28" i="38"/>
  <c r="CZ17" i="38"/>
  <c r="CZ18" i="38"/>
  <c r="CZ7" i="38"/>
  <c r="CZ9" i="38"/>
  <c r="DA52" i="38"/>
  <c r="CZ12" i="38"/>
  <c r="CZ13" i="38"/>
  <c r="DA31" i="38"/>
  <c r="CZ56" i="38"/>
  <c r="CZ51" i="38"/>
  <c r="CZ40" i="38"/>
  <c r="CZ29" i="38"/>
  <c r="CZ30" i="38"/>
  <c r="CZ19" i="38"/>
  <c r="CZ21" i="38"/>
  <c r="DA64" i="38"/>
  <c r="CZ24" i="38"/>
  <c r="CZ25" i="38"/>
  <c r="DA43" i="38"/>
  <c r="DA51" i="38"/>
  <c r="CZ63" i="38"/>
  <c r="CZ52" i="38"/>
  <c r="CZ41" i="38"/>
  <c r="CZ42" i="38"/>
  <c r="CZ31" i="38"/>
  <c r="CZ33" i="38"/>
  <c r="CZ11" i="38"/>
  <c r="CZ36" i="38"/>
  <c r="CZ37" i="38"/>
  <c r="DA55" i="38"/>
  <c r="CZ70" i="38"/>
  <c r="CZ44" i="38"/>
  <c r="CZ64" i="38"/>
  <c r="CZ53" i="38"/>
  <c r="CZ54" i="38"/>
  <c r="CZ43" i="38"/>
  <c r="CZ45" i="38"/>
  <c r="CZ23" i="38"/>
  <c r="CZ48" i="38"/>
  <c r="CZ49" i="38"/>
  <c r="DA67" i="38"/>
  <c r="DA8" i="38"/>
  <c r="DA39" i="38"/>
  <c r="CZ32" i="38"/>
  <c r="CZ65" i="38"/>
  <c r="CZ66" i="38"/>
  <c r="CZ55" i="38"/>
  <c r="CZ57" i="38"/>
  <c r="CZ35" i="38"/>
  <c r="CZ60" i="38"/>
  <c r="CZ61" i="38"/>
  <c r="CZ14" i="38"/>
  <c r="DA20" i="38"/>
  <c r="DA9" i="38"/>
  <c r="CZ10" i="38"/>
  <c r="CZ22" i="38"/>
  <c r="DA49" i="38"/>
  <c r="CZ67" i="38"/>
  <c r="CZ69" i="38"/>
  <c r="CZ47" i="38"/>
  <c r="DA25" i="38"/>
  <c r="CZ26" i="38"/>
  <c r="DA32" i="38"/>
  <c r="DA21" i="38"/>
  <c r="DA10" i="38"/>
  <c r="DA11" i="38"/>
  <c r="DA27" i="38"/>
  <c r="CZ20" i="38"/>
  <c r="DA63" i="38"/>
  <c r="CZ59" i="38"/>
  <c r="DA70" i="38"/>
  <c r="CZ8" i="38"/>
  <c r="CZ38" i="38"/>
  <c r="DA44" i="38"/>
  <c r="DA33" i="38"/>
  <c r="DA22" i="38"/>
  <c r="DA23" i="38"/>
  <c r="DA12" i="38"/>
  <c r="DA14" i="38"/>
  <c r="CZ34" i="38"/>
  <c r="DA17" i="38"/>
  <c r="CU31" i="38"/>
  <c r="CU39" i="38"/>
  <c r="CU66" i="38"/>
  <c r="CU58" i="38"/>
  <c r="CU32" i="38"/>
  <c r="CU70" i="38"/>
  <c r="CU33" i="38"/>
  <c r="CU63" i="38"/>
  <c r="CU55" i="38"/>
  <c r="CU35" i="38"/>
  <c r="CU23" i="38"/>
  <c r="CU40" i="38"/>
  <c r="CU67" i="38"/>
  <c r="CU47" i="38"/>
  <c r="CU24" i="38"/>
  <c r="CU41" i="38"/>
  <c r="CU44" i="38"/>
  <c r="CU59" i="38"/>
  <c r="CU37" i="38"/>
  <c r="CU27" i="38"/>
  <c r="CU68" i="38"/>
  <c r="CU48" i="38"/>
  <c r="CU49" i="38"/>
  <c r="CU45" i="38"/>
  <c r="CU60" i="38"/>
  <c r="CU42" i="38"/>
  <c r="CU29" i="38"/>
  <c r="CU54" i="38"/>
  <c r="CU51" i="38"/>
  <c r="CU26" i="38"/>
  <c r="CU36" i="38"/>
  <c r="CU53" i="38"/>
  <c r="CU50" i="38"/>
  <c r="CU22" i="38"/>
  <c r="CU46" i="38"/>
  <c r="CU43" i="38"/>
  <c r="CU61" i="38"/>
  <c r="CU28" i="38"/>
  <c r="CU57" i="38"/>
  <c r="CU52" i="38"/>
  <c r="CU38" i="38"/>
  <c r="CU30" i="38"/>
  <c r="CU69" i="38"/>
  <c r="CU64" i="38"/>
  <c r="CU34" i="38"/>
  <c r="CU62" i="38"/>
  <c r="CU65" i="38"/>
  <c r="CU25" i="38"/>
  <c r="CU56" i="38"/>
  <c r="CM53" i="38"/>
  <c r="CM59" i="38"/>
  <c r="CL28" i="38"/>
  <c r="CL62" i="38"/>
  <c r="CL23" i="38"/>
  <c r="CM12" i="38"/>
  <c r="CM24" i="38"/>
  <c r="CM50" i="38"/>
  <c r="CL32" i="38"/>
  <c r="CM40" i="38"/>
  <c r="CM70" i="38"/>
  <c r="CM41" i="38"/>
  <c r="CM29" i="38"/>
  <c r="CL34" i="38"/>
  <c r="CM7" i="38"/>
  <c r="CM42" i="38"/>
  <c r="CL63" i="38"/>
  <c r="CM35" i="38"/>
  <c r="CL29" i="38"/>
  <c r="CL57" i="38"/>
  <c r="CM21" i="38"/>
  <c r="CM33" i="38"/>
  <c r="CM64" i="38"/>
  <c r="CL41" i="38"/>
  <c r="CL17" i="38"/>
  <c r="CL52" i="38"/>
  <c r="CM58" i="38"/>
  <c r="CM31" i="38"/>
  <c r="CL45" i="38"/>
  <c r="CL48" i="38"/>
  <c r="CL27" i="38"/>
  <c r="CL9" i="38"/>
  <c r="CL8" i="38"/>
  <c r="CM18" i="38"/>
  <c r="CL13" i="38"/>
  <c r="CL30" i="38"/>
  <c r="CL61" i="38"/>
  <c r="CL25" i="38"/>
  <c r="CM52" i="38"/>
  <c r="CL66" i="38"/>
  <c r="CM25" i="38"/>
  <c r="CM14" i="38"/>
  <c r="CM19" i="38"/>
  <c r="CL40" i="38"/>
  <c r="CL22" i="38"/>
  <c r="CL42" i="38"/>
  <c r="CL50" i="38"/>
  <c r="CM61" i="38"/>
  <c r="CY8" i="38"/>
  <c r="CY12" i="38"/>
  <c r="CY16" i="38"/>
  <c r="CY20" i="38"/>
  <c r="CY24" i="38"/>
  <c r="CY28" i="38"/>
  <c r="CY32" i="38"/>
  <c r="CY36" i="38"/>
  <c r="CY40" i="38"/>
  <c r="CY44" i="38"/>
  <c r="CY48" i="38"/>
  <c r="CY52" i="38"/>
  <c r="CY56" i="38"/>
  <c r="CY60" i="38"/>
  <c r="CY64" i="38"/>
  <c r="CY68" i="38"/>
  <c r="CX9" i="38"/>
  <c r="CX13" i="38"/>
  <c r="CX17" i="38"/>
  <c r="CX21" i="38"/>
  <c r="CX25" i="38"/>
  <c r="CX29" i="38"/>
  <c r="CX33" i="38"/>
  <c r="CX37" i="38"/>
  <c r="CX41" i="38"/>
  <c r="CX45" i="38"/>
  <c r="CX49" i="38"/>
  <c r="CX53" i="38"/>
  <c r="CX57" i="38"/>
  <c r="CX61" i="38"/>
  <c r="CX65" i="38"/>
  <c r="CX69" i="38"/>
  <c r="CY10" i="38"/>
  <c r="CY18" i="38"/>
  <c r="CY26" i="38"/>
  <c r="CX7" i="38"/>
  <c r="CY9" i="38"/>
  <c r="CY13" i="38"/>
  <c r="CY17" i="38"/>
  <c r="CY21" i="38"/>
  <c r="CY25" i="38"/>
  <c r="CY29" i="38"/>
  <c r="CY33" i="38"/>
  <c r="CY37" i="38"/>
  <c r="CY41" i="38"/>
  <c r="CY45" i="38"/>
  <c r="CY49" i="38"/>
  <c r="CY53" i="38"/>
  <c r="CY57" i="38"/>
  <c r="CY61" i="38"/>
  <c r="CY65" i="38"/>
  <c r="CY69" i="38"/>
  <c r="CX10" i="38"/>
  <c r="CX14" i="38"/>
  <c r="CX18" i="38"/>
  <c r="CX22" i="38"/>
  <c r="CX26" i="38"/>
  <c r="CX30" i="38"/>
  <c r="CX34" i="38"/>
  <c r="CX38" i="38"/>
  <c r="CX42" i="38"/>
  <c r="CX46" i="38"/>
  <c r="CX50" i="38"/>
  <c r="CX54" i="38"/>
  <c r="CX58" i="38"/>
  <c r="CX62" i="38"/>
  <c r="CX66" i="38"/>
  <c r="CX70" i="38"/>
  <c r="CY14" i="38"/>
  <c r="CY22" i="38"/>
  <c r="CY7" i="38"/>
  <c r="CY23" i="38"/>
  <c r="CY34" i="38"/>
  <c r="CY42" i="38"/>
  <c r="CY50" i="38"/>
  <c r="CY58" i="38"/>
  <c r="CX11" i="38"/>
  <c r="CX19" i="38"/>
  <c r="CX27" i="38"/>
  <c r="CX51" i="38"/>
  <c r="CY11" i="38"/>
  <c r="CY35" i="38"/>
  <c r="CY51" i="38"/>
  <c r="CY67" i="38"/>
  <c r="CX20" i="38"/>
  <c r="CX36" i="38"/>
  <c r="CX52" i="38"/>
  <c r="CX68" i="38"/>
  <c r="CY30" i="38"/>
  <c r="CY46" i="38"/>
  <c r="CY70" i="38"/>
  <c r="CX23" i="38"/>
  <c r="CX39" i="38"/>
  <c r="CX55" i="38"/>
  <c r="CY6" i="38"/>
  <c r="CY19" i="38"/>
  <c r="CY31" i="38"/>
  <c r="CY39" i="38"/>
  <c r="CY47" i="38"/>
  <c r="CY55" i="38"/>
  <c r="CY63" i="38"/>
  <c r="CX8" i="38"/>
  <c r="CX16" i="38"/>
  <c r="CX24" i="38"/>
  <c r="CX32" i="38"/>
  <c r="CX40" i="38"/>
  <c r="CX48" i="38"/>
  <c r="CX56" i="38"/>
  <c r="CX64" i="38"/>
  <c r="CY66" i="38"/>
  <c r="CX35" i="38"/>
  <c r="CX43" i="38"/>
  <c r="CX59" i="38"/>
  <c r="CX67" i="38"/>
  <c r="CY27" i="38"/>
  <c r="CY43" i="38"/>
  <c r="CY59" i="38"/>
  <c r="CX12" i="38"/>
  <c r="CX28" i="38"/>
  <c r="CX44" i="38"/>
  <c r="CX60" i="38"/>
  <c r="CY15" i="38"/>
  <c r="CY38" i="38"/>
  <c r="CY54" i="38"/>
  <c r="CY62" i="38"/>
  <c r="CX15" i="38"/>
  <c r="CX31" i="38"/>
  <c r="CX47" i="38"/>
  <c r="CX63" i="38"/>
  <c r="CM51" i="38"/>
  <c r="CL55" i="38"/>
  <c r="CM57" i="38"/>
  <c r="CM47" i="38"/>
  <c r="CL44" i="38"/>
  <c r="CL16" i="38"/>
  <c r="CL56" i="38"/>
  <c r="CM68" i="38"/>
  <c r="CM23" i="38"/>
  <c r="CL49" i="38"/>
  <c r="CL39" i="38"/>
  <c r="CM6" i="38"/>
  <c r="CM8" i="38"/>
  <c r="CM10" i="38"/>
  <c r="CL51" i="38"/>
  <c r="CM20" i="38"/>
  <c r="CL70" i="38"/>
  <c r="CM66" i="38"/>
  <c r="CL7" i="38"/>
  <c r="CL19" i="38"/>
  <c r="CL69" i="38"/>
  <c r="CL12" i="38"/>
  <c r="CM49" i="38"/>
  <c r="CM17" i="38"/>
  <c r="CM36" i="38"/>
  <c r="CL24" i="38"/>
  <c r="CM56" i="38"/>
  <c r="CL21" i="38"/>
  <c r="CM34" i="38"/>
  <c r="CL31" i="38"/>
  <c r="CL68" i="38"/>
  <c r="CM48" i="38"/>
  <c r="CM26" i="38"/>
  <c r="CL37" i="38"/>
  <c r="CL15" i="38"/>
  <c r="CM55" i="38"/>
  <c r="CL14" i="38"/>
  <c r="CM62" i="38"/>
  <c r="CL10" i="38"/>
  <c r="CM60" i="38"/>
  <c r="CL33" i="38"/>
  <c r="CL65" i="38"/>
  <c r="CM13" i="38"/>
  <c r="CM15" i="38"/>
  <c r="CL54" i="38"/>
  <c r="CL58" i="38"/>
  <c r="CM11" i="38"/>
  <c r="CL64" i="38"/>
  <c r="CM22" i="38"/>
  <c r="CL11" i="38"/>
  <c r="CM67" i="38"/>
  <c r="CM28" i="38"/>
  <c r="CM43" i="38"/>
  <c r="CM45" i="38"/>
  <c r="CL43" i="38"/>
  <c r="CM38" i="38"/>
  <c r="CL35" i="38"/>
  <c r="CM44" i="38"/>
  <c r="CL20" i="38"/>
  <c r="CL53" i="38"/>
  <c r="CL36" i="38"/>
  <c r="CM37" i="38"/>
  <c r="CM46" i="38"/>
  <c r="CM65" i="38"/>
  <c r="CM63" i="38"/>
  <c r="CM69" i="38"/>
  <c r="CL38" i="38"/>
  <c r="CM39" i="38"/>
  <c r="CM16" i="38"/>
  <c r="CL18" i="38"/>
  <c r="CM30" i="38"/>
  <c r="CM32" i="38"/>
  <c r="CM27" i="38"/>
  <c r="CL46" i="38"/>
  <c r="CL60" i="38"/>
  <c r="CL67" i="38"/>
  <c r="CL26" i="38"/>
  <c r="CM9" i="38"/>
  <c r="CL59" i="38"/>
  <c r="CM54" i="38"/>
  <c r="CL47" i="38"/>
  <c r="CS27" i="38" l="1"/>
  <c r="CY78" i="38"/>
  <c r="CX74" i="38"/>
  <c r="CY76" i="38"/>
  <c r="CS23" i="38"/>
  <c r="CY74" i="38"/>
  <c r="CY71" i="38"/>
  <c r="CS15" i="38"/>
  <c r="CX79" i="38"/>
  <c r="CX72" i="38"/>
  <c r="CS11" i="38"/>
  <c r="CY75" i="38"/>
  <c r="CY73" i="38"/>
  <c r="CS7" i="38"/>
  <c r="CX71" i="38"/>
  <c r="CX75" i="38"/>
  <c r="CH91" i="38"/>
  <c r="BZ91" i="38" s="1"/>
  <c r="CH74" i="38"/>
  <c r="BZ74" i="38" s="1"/>
  <c r="CH93" i="38"/>
  <c r="BZ93" i="38" s="1"/>
  <c r="CH84" i="38"/>
  <c r="BZ84" i="38" s="1"/>
  <c r="CH103" i="38"/>
  <c r="BZ103" i="38" s="1"/>
  <c r="CI72" i="38"/>
  <c r="CA72" i="38" s="1"/>
  <c r="CH102" i="38"/>
  <c r="BZ102" i="38" s="1"/>
  <c r="CH75" i="38"/>
  <c r="BZ75" i="38" s="1"/>
  <c r="CI96" i="38"/>
  <c r="CA96" i="38" s="1"/>
  <c r="CI99" i="38"/>
  <c r="CA99" i="38" s="1"/>
  <c r="CI103" i="38"/>
  <c r="CA103" i="38" s="1"/>
  <c r="CI86" i="38"/>
  <c r="CA86" i="38" s="1"/>
  <c r="CH78" i="38"/>
  <c r="BZ78" i="38" s="1"/>
  <c r="CI75" i="38"/>
  <c r="CA75" i="38" s="1"/>
  <c r="CH101" i="38"/>
  <c r="BZ101" i="38" s="1"/>
  <c r="CI88" i="38"/>
  <c r="CA88" i="38" s="1"/>
  <c r="CI101" i="38"/>
  <c r="CQ101" i="38" s="1"/>
  <c r="CI77" i="38"/>
  <c r="CA77" i="38" s="1"/>
  <c r="CI76" i="38"/>
  <c r="CA76" i="38" s="1"/>
  <c r="CI105" i="38"/>
  <c r="CA105" i="38" s="1"/>
  <c r="CH92" i="38"/>
  <c r="BZ92" i="38" s="1"/>
  <c r="CH95" i="38"/>
  <c r="BZ95" i="38" s="1"/>
  <c r="CH6" i="38"/>
  <c r="BZ6" i="38" s="1"/>
  <c r="CH20" i="38"/>
  <c r="BZ20" i="38" s="1"/>
  <c r="CI80" i="38"/>
  <c r="CA80" i="38" s="1"/>
  <c r="CH106" i="38"/>
  <c r="BZ106" i="38" s="1"/>
  <c r="CI71" i="38"/>
  <c r="CA71" i="38" s="1"/>
  <c r="CH90" i="38"/>
  <c r="BZ90" i="38" s="1"/>
  <c r="CI104" i="38"/>
  <c r="CA104" i="38" s="1"/>
  <c r="CI102" i="38"/>
  <c r="CA102" i="38" s="1"/>
  <c r="CI87" i="38"/>
  <c r="CA87" i="38" s="1"/>
  <c r="CI91" i="38"/>
  <c r="CA91" i="38" s="1"/>
  <c r="CH96" i="38"/>
  <c r="BZ96" i="38" s="1"/>
  <c r="CH104" i="38"/>
  <c r="BZ104" i="38" s="1"/>
  <c r="CH79" i="38"/>
  <c r="BZ79" i="38" s="1"/>
  <c r="CI98" i="38"/>
  <c r="CA98" i="38" s="1"/>
  <c r="CH72" i="38"/>
  <c r="BZ72" i="38" s="1"/>
  <c r="CH99" i="38"/>
  <c r="BZ99" i="38" s="1"/>
  <c r="CI106" i="38"/>
  <c r="CA106" i="38" s="1"/>
  <c r="CH105" i="38"/>
  <c r="BZ105" i="38" s="1"/>
  <c r="CH77" i="38"/>
  <c r="BZ77" i="38" s="1"/>
  <c r="CI89" i="38"/>
  <c r="CA89" i="38" s="1"/>
  <c r="CH7" i="38"/>
  <c r="BZ7" i="38" s="1"/>
  <c r="CH71" i="38"/>
  <c r="BZ71" i="38" s="1"/>
  <c r="CH80" i="38"/>
  <c r="BZ80" i="38" s="1"/>
  <c r="CH94" i="38"/>
  <c r="BZ94" i="38" s="1"/>
  <c r="CH86" i="38"/>
  <c r="BZ86" i="38" s="1"/>
  <c r="CI90" i="38"/>
  <c r="CA90" i="38" s="1"/>
  <c r="CI85" i="38"/>
  <c r="CA85" i="38" s="1"/>
  <c r="CI83" i="38"/>
  <c r="CA83" i="38" s="1"/>
  <c r="CH89" i="38"/>
  <c r="BZ89" i="38" s="1"/>
  <c r="CI82" i="38"/>
  <c r="CA82" i="38" s="1"/>
  <c r="CH88" i="38"/>
  <c r="BZ88" i="38" s="1"/>
  <c r="CH100" i="38"/>
  <c r="BZ100" i="38" s="1"/>
  <c r="CH81" i="38"/>
  <c r="BZ81" i="38" s="1"/>
  <c r="CI93" i="38"/>
  <c r="CA93" i="38" s="1"/>
  <c r="CH97" i="38"/>
  <c r="BZ97" i="38" s="1"/>
  <c r="CH85" i="38"/>
  <c r="BZ85" i="38" s="1"/>
  <c r="CH73" i="38"/>
  <c r="BZ73" i="38" s="1"/>
  <c r="CI74" i="38"/>
  <c r="CA74" i="38" s="1"/>
  <c r="CH87" i="38"/>
  <c r="BZ87" i="38" s="1"/>
  <c r="DE80" i="38"/>
  <c r="EA80" i="38" s="1"/>
  <c r="EC28" i="38"/>
  <c r="DD80" i="38"/>
  <c r="DZ80" i="38" s="1"/>
  <c r="DF80" i="38"/>
  <c r="CY80" i="38"/>
  <c r="CR80" i="38"/>
  <c r="BZ82" i="38"/>
  <c r="CA78" i="38"/>
  <c r="BZ76" i="38"/>
  <c r="CJ6" i="38"/>
  <c r="CA95" i="38"/>
  <c r="CA73" i="38"/>
  <c r="BZ83" i="38"/>
  <c r="CA79" i="38"/>
  <c r="CA94" i="38"/>
  <c r="CA81" i="38"/>
  <c r="BZ98" i="38"/>
  <c r="CA92" i="38"/>
  <c r="CA100" i="38"/>
  <c r="CA84" i="38"/>
  <c r="CA97" i="38"/>
  <c r="EC44" i="38"/>
  <c r="EB74" i="38"/>
  <c r="DG80" i="38"/>
  <c r="EB8" i="38"/>
  <c r="CL80" i="38"/>
  <c r="CN80" i="38"/>
  <c r="CV80" i="38"/>
  <c r="DR80" i="38" s="1"/>
  <c r="CX80" i="38"/>
  <c r="EC36" i="38"/>
  <c r="EC6" i="38"/>
  <c r="EB42" i="38"/>
  <c r="EC12" i="38"/>
  <c r="EB40" i="38"/>
  <c r="EC76" i="38"/>
  <c r="EB58" i="38"/>
  <c r="EC52" i="38"/>
  <c r="EC20" i="38"/>
  <c r="EB46" i="38"/>
  <c r="EB54" i="38"/>
  <c r="EB79" i="38"/>
  <c r="DA80" i="38"/>
  <c r="DI80" i="38"/>
  <c r="DY80" i="38"/>
  <c r="CZ80" i="38"/>
  <c r="DH80" i="38"/>
  <c r="DX80" i="38"/>
  <c r="DU73" i="38"/>
  <c r="DW73" i="38" s="1"/>
  <c r="DT83" i="38"/>
  <c r="DU79" i="38"/>
  <c r="DW79" i="38" s="1"/>
  <c r="DU97" i="38"/>
  <c r="DT7" i="38"/>
  <c r="DV7" i="38" s="1"/>
  <c r="DT98" i="38"/>
  <c r="DU92" i="38"/>
  <c r="DU100" i="38"/>
  <c r="DU94" i="38"/>
  <c r="DT76" i="38"/>
  <c r="DV76" i="38" s="1"/>
  <c r="DU102" i="38"/>
  <c r="DU95" i="38"/>
  <c r="DT82" i="38"/>
  <c r="DU78" i="38"/>
  <c r="DW78" i="38" s="1"/>
  <c r="DU84" i="38"/>
  <c r="DU81" i="38"/>
  <c r="DT81" i="38"/>
  <c r="EB10" i="38"/>
  <c r="EC78" i="38"/>
  <c r="EC46" i="38"/>
  <c r="EC58" i="38"/>
  <c r="EC26" i="38"/>
  <c r="EB44" i="38"/>
  <c r="EB24" i="38"/>
  <c r="EB60" i="38"/>
  <c r="EB64" i="38"/>
  <c r="EB18" i="38"/>
  <c r="EC54" i="38"/>
  <c r="EC22" i="38"/>
  <c r="EC66" i="38"/>
  <c r="EC34" i="38"/>
  <c r="EC62" i="38"/>
  <c r="EC74" i="38"/>
  <c r="EC42" i="38"/>
  <c r="EC10" i="38"/>
  <c r="EC30" i="38"/>
  <c r="EC14" i="38"/>
  <c r="EB72" i="38"/>
  <c r="EC70" i="38"/>
  <c r="EC38" i="38"/>
  <c r="EB14" i="38"/>
  <c r="EC50" i="38"/>
  <c r="EC18" i="38"/>
  <c r="EC60" i="38"/>
  <c r="EB26" i="38"/>
  <c r="EB52" i="38"/>
  <c r="EB38" i="38"/>
  <c r="EB69" i="38"/>
  <c r="EB53" i="38"/>
  <c r="EB37" i="38"/>
  <c r="EB21" i="38"/>
  <c r="EC73" i="38"/>
  <c r="EC57" i="38"/>
  <c r="EC41" i="38"/>
  <c r="EC25" i="38"/>
  <c r="EC9" i="38"/>
  <c r="EB71" i="38"/>
  <c r="EB55" i="38"/>
  <c r="EB39" i="38"/>
  <c r="EB23" i="38"/>
  <c r="EB70" i="38"/>
  <c r="EB12" i="38"/>
  <c r="EB32" i="38"/>
  <c r="EB50" i="38"/>
  <c r="EB22" i="38"/>
  <c r="EB62" i="38"/>
  <c r="EB28" i="38"/>
  <c r="EB73" i="38"/>
  <c r="EB57" i="38"/>
  <c r="EB41" i="38"/>
  <c r="EB25" i="38"/>
  <c r="EB9" i="38"/>
  <c r="EC77" i="38"/>
  <c r="EC61" i="38"/>
  <c r="EC45" i="38"/>
  <c r="EC29" i="38"/>
  <c r="EC13" i="38"/>
  <c r="EB75" i="38"/>
  <c r="EB59" i="38"/>
  <c r="EB43" i="38"/>
  <c r="EB27" i="38"/>
  <c r="EB11" i="38"/>
  <c r="EC79" i="38"/>
  <c r="EC63" i="38"/>
  <c r="EC47" i="38"/>
  <c r="EC31" i="38"/>
  <c r="EC15" i="38"/>
  <c r="EB7" i="38"/>
  <c r="EC75" i="38"/>
  <c r="EC59" i="38"/>
  <c r="EC43" i="38"/>
  <c r="EC27" i="38"/>
  <c r="EC11" i="38"/>
  <c r="EB16" i="38"/>
  <c r="EB34" i="38"/>
  <c r="EB56" i="38"/>
  <c r="EB66" i="38"/>
  <c r="EB76" i="38"/>
  <c r="EC68" i="38"/>
  <c r="EB30" i="38"/>
  <c r="EB77" i="38"/>
  <c r="EB48" i="38"/>
  <c r="EB78" i="38"/>
  <c r="EB68" i="38"/>
  <c r="EB20" i="38"/>
  <c r="EB36" i="38"/>
  <c r="EB65" i="38"/>
  <c r="EB49" i="38"/>
  <c r="EB33" i="38"/>
  <c r="EB17" i="38"/>
  <c r="EC69" i="38"/>
  <c r="EC53" i="38"/>
  <c r="EC37" i="38"/>
  <c r="EC21" i="38"/>
  <c r="EB67" i="38"/>
  <c r="EB51" i="38"/>
  <c r="EB35" i="38"/>
  <c r="EB19" i="38"/>
  <c r="EC71" i="38"/>
  <c r="EC55" i="38"/>
  <c r="EC39" i="38"/>
  <c r="EC23" i="38"/>
  <c r="EC7" i="38"/>
  <c r="EB61" i="38"/>
  <c r="EB45" i="38"/>
  <c r="EB29" i="38"/>
  <c r="EB13" i="38"/>
  <c r="EC65" i="38"/>
  <c r="EC49" i="38"/>
  <c r="EC33" i="38"/>
  <c r="EC17" i="38"/>
  <c r="EB63" i="38"/>
  <c r="EB47" i="38"/>
  <c r="EB31" i="38"/>
  <c r="EB15" i="38"/>
  <c r="EC67" i="38"/>
  <c r="EC51" i="38"/>
  <c r="EC35" i="38"/>
  <c r="EC19" i="38"/>
  <c r="EC64" i="38"/>
  <c r="EC48" i="38"/>
  <c r="EC32" i="38"/>
  <c r="EC16" i="38"/>
  <c r="EC72" i="38"/>
  <c r="EC56" i="38"/>
  <c r="EC40" i="38"/>
  <c r="EC24" i="38"/>
  <c r="EC8" i="38"/>
  <c r="EB6" i="38"/>
  <c r="DB86" i="38"/>
  <c r="DC83" i="38"/>
  <c r="DC95" i="38"/>
  <c r="DB82" i="38"/>
  <c r="DC78" i="38"/>
  <c r="DC94" i="38"/>
  <c r="DB76" i="38"/>
  <c r="DC101" i="38"/>
  <c r="DB80" i="38"/>
  <c r="DB100" i="38"/>
  <c r="DB98" i="38"/>
  <c r="DC92" i="38"/>
  <c r="DC100" i="38"/>
  <c r="DB93" i="38"/>
  <c r="DC84" i="38"/>
  <c r="DC81" i="38"/>
  <c r="DB101" i="38"/>
  <c r="DC77" i="38"/>
  <c r="DC85" i="38"/>
  <c r="DC73" i="38"/>
  <c r="DB83" i="38"/>
  <c r="DC79" i="38"/>
  <c r="DC97" i="38"/>
  <c r="DB102" i="38"/>
  <c r="DC80" i="38"/>
  <c r="CK80" i="38"/>
  <c r="CK83" i="38"/>
  <c r="CJ88" i="38"/>
  <c r="CP73" i="38"/>
  <c r="CJ104" i="38"/>
  <c r="CP72" i="38"/>
  <c r="CK95" i="38"/>
  <c r="CQ95" i="38"/>
  <c r="CJ82" i="38"/>
  <c r="CP82" i="38"/>
  <c r="CP74" i="38"/>
  <c r="CK78" i="38"/>
  <c r="CQ78" i="38"/>
  <c r="CK94" i="38"/>
  <c r="CQ94" i="38"/>
  <c r="CJ76" i="38"/>
  <c r="CP76" i="38"/>
  <c r="CQ75" i="38"/>
  <c r="CK104" i="38"/>
  <c r="CP79" i="38"/>
  <c r="CJ80" i="38"/>
  <c r="CJ100" i="38"/>
  <c r="CP97" i="38"/>
  <c r="CJ98" i="38"/>
  <c r="CP98" i="38"/>
  <c r="CK92" i="38"/>
  <c r="CQ92" i="38"/>
  <c r="CK100" i="38"/>
  <c r="CQ100" i="38"/>
  <c r="CP93" i="38"/>
  <c r="CK84" i="38"/>
  <c r="CQ84" i="38"/>
  <c r="CK81" i="38"/>
  <c r="CQ81" i="38"/>
  <c r="CK96" i="38"/>
  <c r="CJ101" i="38"/>
  <c r="CP101" i="38"/>
  <c r="CK77" i="38"/>
  <c r="CQ77" i="38"/>
  <c r="CQ102" i="38"/>
  <c r="CQ106" i="38"/>
  <c r="CJ94" i="38"/>
  <c r="CK73" i="38"/>
  <c r="CQ73" i="38"/>
  <c r="CJ83" i="38"/>
  <c r="CP83" i="38"/>
  <c r="CK79" i="38"/>
  <c r="CQ79" i="38"/>
  <c r="CK97" i="38"/>
  <c r="CQ97" i="38"/>
  <c r="CP102" i="38"/>
  <c r="CK99" i="38"/>
  <c r="CQ99" i="38"/>
  <c r="CP78" i="38"/>
  <c r="CJ95" i="38"/>
  <c r="CP95" i="38"/>
  <c r="CK72" i="38"/>
  <c r="CI9" i="38"/>
  <c r="CI21" i="38"/>
  <c r="CI33" i="38"/>
  <c r="CI45" i="38"/>
  <c r="CI57" i="38"/>
  <c r="CI69" i="38"/>
  <c r="CH17" i="38"/>
  <c r="CH29" i="38"/>
  <c r="CH41" i="38"/>
  <c r="CH53" i="38"/>
  <c r="CH65" i="38"/>
  <c r="CI10" i="38"/>
  <c r="CI22" i="38"/>
  <c r="CI34" i="38"/>
  <c r="CI46" i="38"/>
  <c r="CI58" i="38"/>
  <c r="CI70" i="38"/>
  <c r="CH18" i="38"/>
  <c r="CH30" i="38"/>
  <c r="CH42" i="38"/>
  <c r="CH54" i="38"/>
  <c r="CH66" i="38"/>
  <c r="CI11" i="38"/>
  <c r="CI23" i="38"/>
  <c r="CI35" i="38"/>
  <c r="CI47" i="38"/>
  <c r="CI59" i="38"/>
  <c r="CH19" i="38"/>
  <c r="CH31" i="38"/>
  <c r="CH67" i="38"/>
  <c r="CI36" i="38"/>
  <c r="CH68" i="38"/>
  <c r="CI25" i="38"/>
  <c r="CI61" i="38"/>
  <c r="CH21" i="38"/>
  <c r="CH45" i="38"/>
  <c r="CH69" i="38"/>
  <c r="CI14" i="38"/>
  <c r="CI26" i="38"/>
  <c r="CI38" i="38"/>
  <c r="CI50" i="38"/>
  <c r="CI62" i="38"/>
  <c r="CH10" i="38"/>
  <c r="CH22" i="38"/>
  <c r="CH34" i="38"/>
  <c r="CH46" i="38"/>
  <c r="CH58" i="38"/>
  <c r="CH70" i="38"/>
  <c r="CI28" i="38"/>
  <c r="CI40" i="38"/>
  <c r="CI52" i="38"/>
  <c r="CH12" i="38"/>
  <c r="CH36" i="38"/>
  <c r="CH60" i="38"/>
  <c r="CI65" i="38"/>
  <c r="CH37" i="38"/>
  <c r="CH61" i="38"/>
  <c r="CI18" i="38"/>
  <c r="CI30" i="38"/>
  <c r="CI54" i="38"/>
  <c r="CH14" i="38"/>
  <c r="CH38" i="38"/>
  <c r="CH62" i="38"/>
  <c r="CI7" i="38"/>
  <c r="CI43" i="38"/>
  <c r="CI67" i="38"/>
  <c r="CH27" i="38"/>
  <c r="CH51" i="38"/>
  <c r="CI8" i="38"/>
  <c r="CI32" i="38"/>
  <c r="CI56" i="38"/>
  <c r="CH16" i="38"/>
  <c r="CH40" i="38"/>
  <c r="CH64" i="38"/>
  <c r="CH55" i="38"/>
  <c r="CI12" i="38"/>
  <c r="CI60" i="38"/>
  <c r="CH32" i="38"/>
  <c r="CH56" i="38"/>
  <c r="CI13" i="38"/>
  <c r="CI37" i="38"/>
  <c r="CI49" i="38"/>
  <c r="CH9" i="38"/>
  <c r="CH33" i="38"/>
  <c r="CH57" i="38"/>
  <c r="CI15" i="38"/>
  <c r="CI27" i="38"/>
  <c r="CI39" i="38"/>
  <c r="CI51" i="38"/>
  <c r="CI63" i="38"/>
  <c r="CH11" i="38"/>
  <c r="CH23" i="38"/>
  <c r="CH35" i="38"/>
  <c r="CH47" i="38"/>
  <c r="CH59" i="38"/>
  <c r="CI6" i="38"/>
  <c r="CI16" i="38"/>
  <c r="CI64" i="38"/>
  <c r="CH24" i="38"/>
  <c r="CH48" i="38"/>
  <c r="CI17" i="38"/>
  <c r="CI29" i="38"/>
  <c r="CI41" i="38"/>
  <c r="CI53" i="38"/>
  <c r="CH13" i="38"/>
  <c r="CH25" i="38"/>
  <c r="CH49" i="38"/>
  <c r="CI42" i="38"/>
  <c r="CI66" i="38"/>
  <c r="CH26" i="38"/>
  <c r="CH50" i="38"/>
  <c r="CI19" i="38"/>
  <c r="CI31" i="38"/>
  <c r="CI55" i="38"/>
  <c r="CH15" i="38"/>
  <c r="CH39" i="38"/>
  <c r="CH63" i="38"/>
  <c r="CI20" i="38"/>
  <c r="CI44" i="38"/>
  <c r="CI68" i="38"/>
  <c r="CH28" i="38"/>
  <c r="CH52" i="38"/>
  <c r="CH43" i="38"/>
  <c r="CI24" i="38"/>
  <c r="CI48" i="38"/>
  <c r="CH8" i="38"/>
  <c r="CH44" i="38"/>
  <c r="CX6" i="38"/>
  <c r="CN28" i="38"/>
  <c r="CN43" i="38"/>
  <c r="CN13" i="38"/>
  <c r="CN38" i="38"/>
  <c r="CN11" i="38"/>
  <c r="CN52" i="38"/>
  <c r="CN65" i="38"/>
  <c r="CO58" i="38"/>
  <c r="CN55" i="38"/>
  <c r="CO15" i="38"/>
  <c r="CN45" i="38"/>
  <c r="CN58" i="38"/>
  <c r="CN6" i="38"/>
  <c r="CN25" i="38"/>
  <c r="CN50" i="38"/>
  <c r="CN47" i="38"/>
  <c r="CN64" i="38"/>
  <c r="CO22" i="38"/>
  <c r="CN18" i="38"/>
  <c r="CN67" i="38"/>
  <c r="CO63" i="38"/>
  <c r="CN57" i="38"/>
  <c r="CN70" i="38"/>
  <c r="CO31" i="38"/>
  <c r="CO65" i="38"/>
  <c r="CN46" i="38"/>
  <c r="CN37" i="38"/>
  <c r="CN62" i="38"/>
  <c r="CO7" i="38"/>
  <c r="CO9" i="38"/>
  <c r="CO34" i="38"/>
  <c r="CN54" i="38"/>
  <c r="CO24" i="38"/>
  <c r="CN35" i="38"/>
  <c r="CN69" i="38"/>
  <c r="CO16" i="38"/>
  <c r="CN27" i="38"/>
  <c r="CN61" i="38"/>
  <c r="CO43" i="38"/>
  <c r="CO20" i="38"/>
  <c r="CO33" i="38"/>
  <c r="CO70" i="38"/>
  <c r="CO23" i="38"/>
  <c r="CO13" i="38"/>
  <c r="CO26" i="38"/>
  <c r="CO40" i="38"/>
  <c r="CN59" i="38"/>
  <c r="CO61" i="38"/>
  <c r="CO51" i="38"/>
  <c r="CN33" i="38"/>
  <c r="CN49" i="38"/>
  <c r="CO19" i="38"/>
  <c r="CO8" i="38"/>
  <c r="CO21" i="38"/>
  <c r="CO46" i="38"/>
  <c r="CO11" i="38"/>
  <c r="CO36" i="38"/>
  <c r="CO12" i="38"/>
  <c r="CO14" i="38"/>
  <c r="CO28" i="38"/>
  <c r="CN51" i="38"/>
  <c r="CN24" i="38"/>
  <c r="CO10" i="38"/>
  <c r="CN60" i="38"/>
  <c r="CO48" i="38"/>
  <c r="CN53" i="38"/>
  <c r="CO18" i="38"/>
  <c r="CO55" i="38"/>
  <c r="CO32" i="38"/>
  <c r="CO45" i="38"/>
  <c r="CN30" i="38"/>
  <c r="CO35" i="38"/>
  <c r="CO60" i="38"/>
  <c r="CO25" i="38"/>
  <c r="CO38" i="38"/>
  <c r="CO52" i="38"/>
  <c r="CO30" i="38"/>
  <c r="CO67" i="38"/>
  <c r="CO44" i="38"/>
  <c r="CO57" i="38"/>
  <c r="CN42" i="38"/>
  <c r="CO47" i="38"/>
  <c r="CN8" i="38"/>
  <c r="CO37" i="38"/>
  <c r="CO50" i="38"/>
  <c r="CO64" i="38"/>
  <c r="CN26" i="38"/>
  <c r="CN68" i="38"/>
  <c r="CO17" i="38"/>
  <c r="CO42" i="38"/>
  <c r="CN15" i="38"/>
  <c r="CO56" i="38"/>
  <c r="CO69" i="38"/>
  <c r="CN66" i="38"/>
  <c r="CO59" i="38"/>
  <c r="CN20" i="38"/>
  <c r="CO49" i="38"/>
  <c r="CO62" i="38"/>
  <c r="CN12" i="38"/>
  <c r="CO29" i="38"/>
  <c r="CO54" i="38"/>
  <c r="CN39" i="38"/>
  <c r="CO68" i="38"/>
  <c r="CN17" i="38"/>
  <c r="CO39" i="38"/>
  <c r="CN7" i="38"/>
  <c r="CN32" i="38"/>
  <c r="CN10" i="38"/>
  <c r="CN40" i="38"/>
  <c r="CO41" i="38"/>
  <c r="CO66" i="38"/>
  <c r="CN63" i="38"/>
  <c r="CN16" i="38"/>
  <c r="CN29" i="38"/>
  <c r="CN23" i="38"/>
  <c r="CN19" i="38"/>
  <c r="CN44" i="38"/>
  <c r="CN9" i="38"/>
  <c r="CN22" i="38"/>
  <c r="CN36" i="38"/>
  <c r="CO53" i="38"/>
  <c r="CN14" i="38"/>
  <c r="CO27" i="38"/>
  <c r="CN41" i="38"/>
  <c r="CO6" i="38"/>
  <c r="CN31" i="38"/>
  <c r="CN56" i="38"/>
  <c r="CN21" i="38"/>
  <c r="CN34" i="38"/>
  <c r="CN48" i="38"/>
  <c r="DU101" i="38" l="1"/>
  <c r="DU96" i="38"/>
  <c r="DU77" i="38"/>
  <c r="DW77" i="38" s="1"/>
  <c r="DT85" i="38"/>
  <c r="CK89" i="38"/>
  <c r="CP99" i="38"/>
  <c r="DC99" i="38"/>
  <c r="DC89" i="38"/>
  <c r="DU72" i="38"/>
  <c r="DW72" i="38" s="1"/>
  <c r="DT100" i="38"/>
  <c r="DT99" i="38"/>
  <c r="CJ99" i="38"/>
  <c r="CQ83" i="38"/>
  <c r="DC102" i="38"/>
  <c r="DC72" i="38"/>
  <c r="DT94" i="38"/>
  <c r="DT104" i="38"/>
  <c r="DT95" i="38"/>
  <c r="CP85" i="38"/>
  <c r="CK102" i="38"/>
  <c r="DB74" i="38"/>
  <c r="DT106" i="38"/>
  <c r="CJ85" i="38"/>
  <c r="CP106" i="38"/>
  <c r="CQ72" i="38"/>
  <c r="DB99" i="38"/>
  <c r="DU75" i="38"/>
  <c r="DW75" i="38" s="1"/>
  <c r="CP94" i="38"/>
  <c r="CP100" i="38"/>
  <c r="CJ106" i="38"/>
  <c r="CP104" i="38"/>
  <c r="DB104" i="38"/>
  <c r="DB106" i="38"/>
  <c r="DT74" i="38"/>
  <c r="DV74" i="38" s="1"/>
  <c r="DU99" i="38"/>
  <c r="CQ89" i="38"/>
  <c r="CK75" i="38"/>
  <c r="CJ74" i="38"/>
  <c r="DB95" i="38"/>
  <c r="DB94" i="38"/>
  <c r="DC75" i="38"/>
  <c r="DB85" i="38"/>
  <c r="DU83" i="38"/>
  <c r="DU89" i="38"/>
  <c r="CJ78" i="38"/>
  <c r="CP91" i="38"/>
  <c r="CP96" i="38"/>
  <c r="CP92" i="38"/>
  <c r="DB91" i="38"/>
  <c r="DB77" i="38"/>
  <c r="DB88" i="38"/>
  <c r="DT97" i="38"/>
  <c r="DU85" i="38"/>
  <c r="DT103" i="38"/>
  <c r="CJ91" i="38"/>
  <c r="CQ85" i="38"/>
  <c r="CJ96" i="38"/>
  <c r="CJ92" i="38"/>
  <c r="CP103" i="38"/>
  <c r="DB72" i="38"/>
  <c r="DB78" i="38"/>
  <c r="DB87" i="38"/>
  <c r="DB97" i="38"/>
  <c r="DB103" i="38"/>
  <c r="DT87" i="38"/>
  <c r="DU104" i="38"/>
  <c r="DT92" i="38"/>
  <c r="DT78" i="38"/>
  <c r="DV78" i="38" s="1"/>
  <c r="CA101" i="38"/>
  <c r="CP87" i="38"/>
  <c r="CK85" i="38"/>
  <c r="CQ96" i="38"/>
  <c r="CP80" i="38"/>
  <c r="BR80" i="38" s="1"/>
  <c r="BV80" i="38" s="1"/>
  <c r="CD80" i="38" s="1"/>
  <c r="CK101" i="38"/>
  <c r="CJ103" i="38"/>
  <c r="CQ80" i="38"/>
  <c r="BS80" i="38" s="1"/>
  <c r="DB96" i="38"/>
  <c r="DC96" i="38"/>
  <c r="DT73" i="38"/>
  <c r="DV73" i="38" s="1"/>
  <c r="DT72" i="38"/>
  <c r="DV72" i="38" s="1"/>
  <c r="DT91" i="38"/>
  <c r="CP90" i="38"/>
  <c r="CQ76" i="38"/>
  <c r="CQ82" i="38"/>
  <c r="CQ98" i="38"/>
  <c r="CQ86" i="38"/>
  <c r="CJ93" i="38"/>
  <c r="CP77" i="38"/>
  <c r="CQ104" i="38"/>
  <c r="CQ103" i="38"/>
  <c r="CP88" i="38"/>
  <c r="CQ87" i="38"/>
  <c r="DB92" i="38"/>
  <c r="DB89" i="38"/>
  <c r="DC104" i="38"/>
  <c r="DC103" i="38"/>
  <c r="DB73" i="38"/>
  <c r="DT88" i="38"/>
  <c r="DT80" i="38"/>
  <c r="DV80" i="38" s="1"/>
  <c r="DT77" i="38"/>
  <c r="DV77" i="38" s="1"/>
  <c r="DT96" i="38"/>
  <c r="DU80" i="38"/>
  <c r="DW80" i="38" s="1"/>
  <c r="CK76" i="38"/>
  <c r="CQ71" i="38"/>
  <c r="CK87" i="38"/>
  <c r="DC105" i="38"/>
  <c r="DB75" i="38"/>
  <c r="DT105" i="38"/>
  <c r="DU98" i="38"/>
  <c r="DU91" i="38"/>
  <c r="DT90" i="38"/>
  <c r="DU105" i="38"/>
  <c r="DU88" i="38"/>
  <c r="DU86" i="38"/>
  <c r="DT75" i="38"/>
  <c r="DV75" i="38" s="1"/>
  <c r="CQ88" i="38"/>
  <c r="CP84" i="38"/>
  <c r="CP81" i="38"/>
  <c r="CP89" i="38"/>
  <c r="CP86" i="38"/>
  <c r="DC76" i="38"/>
  <c r="DB81" i="38"/>
  <c r="DC71" i="38"/>
  <c r="DC86" i="38"/>
  <c r="DC74" i="38"/>
  <c r="DC90" i="38"/>
  <c r="DB79" i="38"/>
  <c r="DT86" i="38"/>
  <c r="DU106" i="38"/>
  <c r="DT79" i="38"/>
  <c r="DV79" i="38" s="1"/>
  <c r="DU87" i="38"/>
  <c r="DT93" i="38"/>
  <c r="DT6" i="38"/>
  <c r="DV6" i="38" s="1"/>
  <c r="DU76" i="38"/>
  <c r="DW76" i="38" s="1"/>
  <c r="DT101" i="38"/>
  <c r="DU103" i="38"/>
  <c r="DT102" i="38"/>
  <c r="CJ81" i="38"/>
  <c r="CJ89" i="38"/>
  <c r="CP71" i="38"/>
  <c r="DC87" i="38"/>
  <c r="DB84" i="38"/>
  <c r="DC82" i="38"/>
  <c r="DC106" i="38"/>
  <c r="DU71" i="38"/>
  <c r="DW71" i="38" s="1"/>
  <c r="DT89" i="38"/>
  <c r="CJ87" i="38"/>
  <c r="CJ97" i="38"/>
  <c r="CJ77" i="38"/>
  <c r="CJ72" i="38"/>
  <c r="DB20" i="38"/>
  <c r="CJ84" i="38"/>
  <c r="CP75" i="38"/>
  <c r="CP105" i="38"/>
  <c r="DC98" i="38"/>
  <c r="DC91" i="38"/>
  <c r="DC93" i="38"/>
  <c r="DB71" i="38"/>
  <c r="DT20" i="38"/>
  <c r="DV20" i="38" s="1"/>
  <c r="DT84" i="38"/>
  <c r="CQ90" i="38"/>
  <c r="CQ91" i="38"/>
  <c r="CQ93" i="38"/>
  <c r="CJ20" i="38"/>
  <c r="CQ74" i="38"/>
  <c r="CQ105" i="38"/>
  <c r="DB105" i="38"/>
  <c r="DB90" i="38"/>
  <c r="DC88" i="38"/>
  <c r="DU74" i="38"/>
  <c r="DW74" i="38" s="1"/>
  <c r="DU93" i="38"/>
  <c r="DU82" i="38"/>
  <c r="DU90" i="38"/>
  <c r="DT71" i="38"/>
  <c r="DV71" i="38" s="1"/>
  <c r="CK105" i="38"/>
  <c r="CJ75" i="38"/>
  <c r="CK71" i="38"/>
  <c r="BS77" i="38"/>
  <c r="CK86" i="38"/>
  <c r="CK74" i="38"/>
  <c r="CK90" i="38"/>
  <c r="CJ79" i="38"/>
  <c r="CJ90" i="38"/>
  <c r="CK93" i="38"/>
  <c r="CJ71" i="38"/>
  <c r="CJ102" i="38"/>
  <c r="CK82" i="38"/>
  <c r="CK106" i="38"/>
  <c r="CK103" i="38"/>
  <c r="CJ73" i="38"/>
  <c r="CJ86" i="38"/>
  <c r="BS79" i="38"/>
  <c r="BW79" i="38" s="1"/>
  <c r="CE79" i="38" s="1"/>
  <c r="BR76" i="38"/>
  <c r="BV76" i="38" s="1"/>
  <c r="CD76" i="38" s="1"/>
  <c r="BS78" i="38"/>
  <c r="BW78" i="38" s="1"/>
  <c r="CE78" i="38" s="1"/>
  <c r="CK88" i="38"/>
  <c r="BS73" i="38"/>
  <c r="CK98" i="38"/>
  <c r="CK91" i="38"/>
  <c r="CJ105" i="38"/>
  <c r="EC80" i="38"/>
  <c r="EB80" i="38"/>
  <c r="CA24" i="38"/>
  <c r="CA68" i="38"/>
  <c r="BZ39" i="38"/>
  <c r="CA19" i="38"/>
  <c r="CA42" i="38"/>
  <c r="CA53" i="38"/>
  <c r="BZ48" i="38"/>
  <c r="CA6" i="38"/>
  <c r="BZ23" i="38"/>
  <c r="CA39" i="38"/>
  <c r="BZ33" i="38"/>
  <c r="CA13" i="38"/>
  <c r="CA12" i="38"/>
  <c r="BZ16" i="38"/>
  <c r="BZ51" i="38"/>
  <c r="CA7" i="38"/>
  <c r="CA54" i="38"/>
  <c r="BZ37" i="38"/>
  <c r="BZ12" i="38"/>
  <c r="BZ70" i="38"/>
  <c r="BZ22" i="38"/>
  <c r="CA38" i="38"/>
  <c r="BZ45" i="38"/>
  <c r="BZ68" i="38"/>
  <c r="BZ31" i="38"/>
  <c r="CA35" i="38"/>
  <c r="BZ54" i="38"/>
  <c r="CA70" i="38"/>
  <c r="CA22" i="38"/>
  <c r="CA57" i="38"/>
  <c r="CA9" i="38"/>
  <c r="BZ44" i="38"/>
  <c r="BZ43" i="38"/>
  <c r="CA44" i="38"/>
  <c r="BZ15" i="38"/>
  <c r="BZ50" i="38"/>
  <c r="BZ49" i="38"/>
  <c r="CA41" i="38"/>
  <c r="BZ24" i="38"/>
  <c r="BZ59" i="38"/>
  <c r="BZ11" i="38"/>
  <c r="CA27" i="38"/>
  <c r="BZ9" i="38"/>
  <c r="BZ55" i="38"/>
  <c r="CA56" i="38"/>
  <c r="BZ27" i="38"/>
  <c r="BZ62" i="38"/>
  <c r="CA30" i="38"/>
  <c r="CA52" i="38"/>
  <c r="BZ58" i="38"/>
  <c r="CA26" i="38"/>
  <c r="BZ21" i="38"/>
  <c r="BZ19" i="38"/>
  <c r="CA23" i="38"/>
  <c r="CA58" i="38"/>
  <c r="CA10" i="38"/>
  <c r="CA45" i="38"/>
  <c r="BZ8" i="38"/>
  <c r="BZ52" i="38"/>
  <c r="CA20" i="38"/>
  <c r="CA55" i="38"/>
  <c r="BZ26" i="38"/>
  <c r="BZ25" i="38"/>
  <c r="Q18" i="37"/>
  <c r="CA64" i="38"/>
  <c r="BZ47" i="38"/>
  <c r="CA63" i="38"/>
  <c r="CA15" i="38"/>
  <c r="CA49" i="38"/>
  <c r="BZ32" i="38"/>
  <c r="BZ64" i="38"/>
  <c r="CA32" i="38"/>
  <c r="CA67" i="38"/>
  <c r="BZ38" i="38"/>
  <c r="CA18" i="38"/>
  <c r="BZ60" i="38"/>
  <c r="CA40" i="38"/>
  <c r="BZ46" i="38"/>
  <c r="CA62" i="38"/>
  <c r="CA61" i="38"/>
  <c r="CA36" i="38"/>
  <c r="CA59" i="38"/>
  <c r="CA11" i="38"/>
  <c r="BZ30" i="38"/>
  <c r="CA46" i="38"/>
  <c r="BZ65" i="38"/>
  <c r="BZ17" i="38"/>
  <c r="CA33" i="38"/>
  <c r="CA48" i="38"/>
  <c r="BZ28" i="38"/>
  <c r="BZ63" i="38"/>
  <c r="CA31" i="38"/>
  <c r="U20" i="37" s="1"/>
  <c r="CA66" i="38"/>
  <c r="BZ13" i="38"/>
  <c r="CA17" i="38"/>
  <c r="CA16" i="38"/>
  <c r="BZ35" i="38"/>
  <c r="CA51" i="38"/>
  <c r="BZ57" i="38"/>
  <c r="CA37" i="38"/>
  <c r="CA60" i="38"/>
  <c r="BZ40" i="38"/>
  <c r="CA8" i="38"/>
  <c r="CA43" i="38"/>
  <c r="BZ14" i="38"/>
  <c r="BZ61" i="38"/>
  <c r="BZ36" i="38"/>
  <c r="CA28" i="38"/>
  <c r="BZ34" i="38"/>
  <c r="CA50" i="38"/>
  <c r="BZ69" i="38"/>
  <c r="CA25" i="38"/>
  <c r="BZ67" i="38"/>
  <c r="CA47" i="38"/>
  <c r="BZ66" i="38"/>
  <c r="BZ18" i="38"/>
  <c r="CA34" i="38"/>
  <c r="BZ53" i="38"/>
  <c r="CA69" i="38"/>
  <c r="CA21" i="38"/>
  <c r="CA29" i="38"/>
  <c r="DC14" i="38"/>
  <c r="CA14" i="38"/>
  <c r="DB41" i="38"/>
  <c r="BZ41" i="38"/>
  <c r="DB56" i="38"/>
  <c r="BZ56" i="38"/>
  <c r="DC65" i="38"/>
  <c r="CA65" i="38"/>
  <c r="DB10" i="38"/>
  <c r="BZ10" i="38"/>
  <c r="DB42" i="38"/>
  <c r="BZ42" i="38"/>
  <c r="DB29" i="38"/>
  <c r="BZ29" i="38"/>
  <c r="DB17" i="38"/>
  <c r="DC62" i="38"/>
  <c r="DC67" i="38"/>
  <c r="CZ81" i="38"/>
  <c r="DH81" i="38"/>
  <c r="DX81" i="38"/>
  <c r="DF81" i="38"/>
  <c r="CX81" i="38"/>
  <c r="CL81" i="38"/>
  <c r="DD81" i="38"/>
  <c r="DZ81" i="38" s="1"/>
  <c r="CR81" i="38"/>
  <c r="CV81" i="38"/>
  <c r="DR81" i="38" s="1"/>
  <c r="DV81" i="38" s="1"/>
  <c r="CN81" i="38"/>
  <c r="DA81" i="38"/>
  <c r="DI81" i="38"/>
  <c r="DY81" i="38"/>
  <c r="CY81" i="38"/>
  <c r="CW81" i="38"/>
  <c r="DS81" i="38" s="1"/>
  <c r="DW81" i="38" s="1"/>
  <c r="CM81" i="38"/>
  <c r="CO81" i="38"/>
  <c r="DG81" i="38"/>
  <c r="DE81" i="38"/>
  <c r="EA81" i="38" s="1"/>
  <c r="CS81" i="38"/>
  <c r="DU68" i="38"/>
  <c r="DW68" i="38" s="1"/>
  <c r="DT39" i="38"/>
  <c r="DV39" i="38" s="1"/>
  <c r="DU42" i="38"/>
  <c r="DW42" i="38" s="1"/>
  <c r="DC53" i="38"/>
  <c r="DU54" i="38"/>
  <c r="DW54" i="38" s="1"/>
  <c r="DT68" i="38"/>
  <c r="DV68" i="38" s="1"/>
  <c r="DU17" i="38"/>
  <c r="DW17" i="38" s="1"/>
  <c r="DU60" i="38"/>
  <c r="DW60" i="38" s="1"/>
  <c r="DT14" i="38"/>
  <c r="DV14" i="38" s="1"/>
  <c r="DB34" i="38"/>
  <c r="DT11" i="38"/>
  <c r="DV11" i="38" s="1"/>
  <c r="DU27" i="38"/>
  <c r="DW27" i="38" s="1"/>
  <c r="DU56" i="38"/>
  <c r="DW56" i="38" s="1"/>
  <c r="DB27" i="38"/>
  <c r="DU10" i="38"/>
  <c r="DW10" i="38" s="1"/>
  <c r="DT63" i="38"/>
  <c r="DV63" i="38" s="1"/>
  <c r="DU16" i="38"/>
  <c r="DW16" i="38" s="1"/>
  <c r="DT40" i="38"/>
  <c r="DV40" i="38" s="1"/>
  <c r="DU43" i="38"/>
  <c r="DW43" i="38" s="1"/>
  <c r="DU28" i="38"/>
  <c r="DW28" i="38" s="1"/>
  <c r="CP69" i="38"/>
  <c r="DT67" i="38"/>
  <c r="DV67" i="38" s="1"/>
  <c r="DC47" i="38"/>
  <c r="DT18" i="38"/>
  <c r="DV18" i="38" s="1"/>
  <c r="DU34" i="38"/>
  <c r="DW34" i="38" s="1"/>
  <c r="DT53" i="38"/>
  <c r="DV53" i="38" s="1"/>
  <c r="DU21" i="38"/>
  <c r="DW21" i="38" s="1"/>
  <c r="DT8" i="38"/>
  <c r="DV8" i="38" s="1"/>
  <c r="DT25" i="38"/>
  <c r="DV25" i="38" s="1"/>
  <c r="DC29" i="38"/>
  <c r="DT47" i="38"/>
  <c r="DV47" i="38" s="1"/>
  <c r="DU15" i="38"/>
  <c r="DW15" i="38" s="1"/>
  <c r="DU49" i="38"/>
  <c r="DW49" i="38" s="1"/>
  <c r="DB32" i="38"/>
  <c r="DU32" i="38"/>
  <c r="DW32" i="38" s="1"/>
  <c r="DU18" i="38"/>
  <c r="DW18" i="38" s="1"/>
  <c r="DU40" i="38"/>
  <c r="DW40" i="38" s="1"/>
  <c r="DT46" i="38"/>
  <c r="DV46" i="38" s="1"/>
  <c r="CQ62" i="38"/>
  <c r="DU61" i="38"/>
  <c r="DW61" i="38" s="1"/>
  <c r="DU36" i="38"/>
  <c r="DW36" i="38" s="1"/>
  <c r="DU11" i="38"/>
  <c r="DW11" i="38" s="1"/>
  <c r="DB69" i="38"/>
  <c r="Q32" i="37"/>
  <c r="CQ47" i="38"/>
  <c r="CP40" i="38"/>
  <c r="CP14" i="38"/>
  <c r="DB14" i="38"/>
  <c r="DB8" i="38"/>
  <c r="CQ21" i="38"/>
  <c r="DC28" i="38"/>
  <c r="Q28" i="37"/>
  <c r="Q26" i="37"/>
  <c r="Q30" i="37"/>
  <c r="CK24" i="38"/>
  <c r="DU24" i="38"/>
  <c r="DW24" i="38" s="1"/>
  <c r="CJ52" i="38"/>
  <c r="DT52" i="38"/>
  <c r="DV52" i="38" s="1"/>
  <c r="CK20" i="38"/>
  <c r="DU20" i="38"/>
  <c r="DW20" i="38" s="1"/>
  <c r="CK55" i="38"/>
  <c r="DU55" i="38"/>
  <c r="DW55" i="38" s="1"/>
  <c r="CK19" i="38"/>
  <c r="DU19" i="38"/>
  <c r="DW19" i="38" s="1"/>
  <c r="CJ26" i="38"/>
  <c r="DT26" i="38"/>
  <c r="DV26" i="38" s="1"/>
  <c r="CK53" i="38"/>
  <c r="DU53" i="38"/>
  <c r="DW53" i="38" s="1"/>
  <c r="CK29" i="38"/>
  <c r="DU29" i="38"/>
  <c r="DW29" i="38" s="1"/>
  <c r="CJ48" i="38"/>
  <c r="DT48" i="38"/>
  <c r="DV48" i="38" s="1"/>
  <c r="CK64" i="38"/>
  <c r="DU64" i="38"/>
  <c r="DW64" i="38" s="1"/>
  <c r="CK6" i="38"/>
  <c r="DU6" i="38"/>
  <c r="DW6" i="38" s="1"/>
  <c r="CJ23" i="38"/>
  <c r="DT23" i="38"/>
  <c r="DV23" i="38" s="1"/>
  <c r="CQ63" i="38"/>
  <c r="DU63" i="38"/>
  <c r="DW63" i="38" s="1"/>
  <c r="CK39" i="38"/>
  <c r="DU39" i="38"/>
  <c r="DW39" i="38" s="1"/>
  <c r="CJ33" i="38"/>
  <c r="DT33" i="38"/>
  <c r="DV33" i="38" s="1"/>
  <c r="CK13" i="38"/>
  <c r="DU13" i="38"/>
  <c r="DW13" i="38" s="1"/>
  <c r="CJ32" i="38"/>
  <c r="DT32" i="38"/>
  <c r="DV32" i="38" s="1"/>
  <c r="CK12" i="38"/>
  <c r="DU12" i="38"/>
  <c r="DW12" i="38" s="1"/>
  <c r="CP64" i="38"/>
  <c r="DT64" i="38"/>
  <c r="DV64" i="38" s="1"/>
  <c r="CP16" i="38"/>
  <c r="DT16" i="38"/>
  <c r="DV16" i="38" s="1"/>
  <c r="CJ51" i="38"/>
  <c r="DT51" i="38"/>
  <c r="DV51" i="38" s="1"/>
  <c r="CK67" i="38"/>
  <c r="DU67" i="38"/>
  <c r="DW67" i="38" s="1"/>
  <c r="CK7" i="38"/>
  <c r="DU7" i="38"/>
  <c r="DW7" i="38" s="1"/>
  <c r="CJ38" i="38"/>
  <c r="DT38" i="38"/>
  <c r="DV38" i="38" s="1"/>
  <c r="CJ37" i="38"/>
  <c r="DT37" i="38"/>
  <c r="DV37" i="38" s="1"/>
  <c r="CP60" i="38"/>
  <c r="DT60" i="38"/>
  <c r="DV60" i="38" s="1"/>
  <c r="CJ12" i="38"/>
  <c r="DT12" i="38"/>
  <c r="DV12" i="38" s="1"/>
  <c r="CJ70" i="38"/>
  <c r="DT70" i="38"/>
  <c r="DV70" i="38" s="1"/>
  <c r="CJ22" i="38"/>
  <c r="DT22" i="38"/>
  <c r="DV22" i="38" s="1"/>
  <c r="CK62" i="38"/>
  <c r="DU62" i="38"/>
  <c r="DW62" i="38" s="1"/>
  <c r="CK38" i="38"/>
  <c r="DU38" i="38"/>
  <c r="DW38" i="38" s="1"/>
  <c r="CK14" i="38"/>
  <c r="DU14" i="38"/>
  <c r="DW14" i="38" s="1"/>
  <c r="CJ45" i="38"/>
  <c r="DT45" i="38"/>
  <c r="DV45" i="38" s="1"/>
  <c r="CJ31" i="38"/>
  <c r="DT31" i="38"/>
  <c r="DV31" i="38" s="1"/>
  <c r="CK59" i="38"/>
  <c r="DU59" i="38"/>
  <c r="DW59" i="38" s="1"/>
  <c r="CQ35" i="38"/>
  <c r="DU35" i="38"/>
  <c r="DW35" i="38" s="1"/>
  <c r="CJ54" i="38"/>
  <c r="DT54" i="38"/>
  <c r="DV54" i="38" s="1"/>
  <c r="CJ30" i="38"/>
  <c r="DT30" i="38"/>
  <c r="DV30" i="38" s="1"/>
  <c r="CK70" i="38"/>
  <c r="DU70" i="38"/>
  <c r="DW70" i="38" s="1"/>
  <c r="DC46" i="38"/>
  <c r="DU46" i="38"/>
  <c r="DW46" i="38" s="1"/>
  <c r="CK22" i="38"/>
  <c r="DU22" i="38"/>
  <c r="DW22" i="38" s="1"/>
  <c r="CP65" i="38"/>
  <c r="DT65" i="38"/>
  <c r="DV65" i="38" s="1"/>
  <c r="CJ41" i="38"/>
  <c r="DT41" i="38"/>
  <c r="DV41" i="38" s="1"/>
  <c r="CJ17" i="38"/>
  <c r="DT17" i="38"/>
  <c r="DV17" i="38" s="1"/>
  <c r="CK57" i="38"/>
  <c r="DU57" i="38"/>
  <c r="DW57" i="38" s="1"/>
  <c r="CQ33" i="38"/>
  <c r="DU33" i="38"/>
  <c r="DW33" i="38" s="1"/>
  <c r="CK9" i="38"/>
  <c r="DU9" i="38"/>
  <c r="DW9" i="38" s="1"/>
  <c r="DB44" i="38"/>
  <c r="DT44" i="38"/>
  <c r="DV44" i="38" s="1"/>
  <c r="CK48" i="38"/>
  <c r="DU48" i="38"/>
  <c r="DW48" i="38" s="1"/>
  <c r="CJ43" i="38"/>
  <c r="DT43" i="38"/>
  <c r="DV43" i="38" s="1"/>
  <c r="CJ28" i="38"/>
  <c r="DT28" i="38"/>
  <c r="DV28" i="38" s="1"/>
  <c r="CK44" i="38"/>
  <c r="DU44" i="38"/>
  <c r="DW44" i="38" s="1"/>
  <c r="DB15" i="38"/>
  <c r="DT15" i="38"/>
  <c r="DV15" i="38" s="1"/>
  <c r="CK31" i="38"/>
  <c r="DU31" i="38"/>
  <c r="DW31" i="38" s="1"/>
  <c r="CJ50" i="38"/>
  <c r="DT50" i="38"/>
  <c r="DV50" i="38" s="1"/>
  <c r="CK66" i="38"/>
  <c r="DU66" i="38"/>
  <c r="DW66" i="38" s="1"/>
  <c r="CJ49" i="38"/>
  <c r="DT49" i="38"/>
  <c r="DV49" i="38" s="1"/>
  <c r="CJ13" i="38"/>
  <c r="DT13" i="38"/>
  <c r="DV13" i="38" s="1"/>
  <c r="CK41" i="38"/>
  <c r="DU41" i="38"/>
  <c r="DW41" i="38" s="1"/>
  <c r="CJ24" i="38"/>
  <c r="DT24" i="38"/>
  <c r="DV24" i="38" s="1"/>
  <c r="CJ59" i="38"/>
  <c r="DT59" i="38"/>
  <c r="DV59" i="38" s="1"/>
  <c r="CJ35" i="38"/>
  <c r="DT35" i="38"/>
  <c r="DV35" i="38" s="1"/>
  <c r="CK51" i="38"/>
  <c r="DU51" i="38"/>
  <c r="DW51" i="38" s="1"/>
  <c r="CP57" i="38"/>
  <c r="DT57" i="38"/>
  <c r="DV57" i="38" s="1"/>
  <c r="CJ9" i="38"/>
  <c r="DT9" i="38"/>
  <c r="DV9" i="38" s="1"/>
  <c r="CK37" i="38"/>
  <c r="DU37" i="38"/>
  <c r="DW37" i="38" s="1"/>
  <c r="CJ56" i="38"/>
  <c r="DT56" i="38"/>
  <c r="DV56" i="38" s="1"/>
  <c r="CJ55" i="38"/>
  <c r="DT55" i="38"/>
  <c r="DV55" i="38" s="1"/>
  <c r="CK8" i="38"/>
  <c r="DU8" i="38"/>
  <c r="DW8" i="38" s="1"/>
  <c r="CJ27" i="38"/>
  <c r="DT27" i="38"/>
  <c r="DV27" i="38" s="1"/>
  <c r="CP62" i="38"/>
  <c r="DT62" i="38"/>
  <c r="DV62" i="38" s="1"/>
  <c r="CQ30" i="38"/>
  <c r="DU30" i="38"/>
  <c r="DW30" i="38" s="1"/>
  <c r="CJ61" i="38"/>
  <c r="DT61" i="38"/>
  <c r="DV61" i="38" s="1"/>
  <c r="CK65" i="38"/>
  <c r="DU65" i="38"/>
  <c r="DW65" i="38" s="1"/>
  <c r="CJ36" i="38"/>
  <c r="DT36" i="38"/>
  <c r="DV36" i="38" s="1"/>
  <c r="CQ52" i="38"/>
  <c r="DU52" i="38"/>
  <c r="DW52" i="38" s="1"/>
  <c r="CJ58" i="38"/>
  <c r="DT58" i="38"/>
  <c r="DV58" i="38" s="1"/>
  <c r="CJ34" i="38"/>
  <c r="DT34" i="38"/>
  <c r="DV34" i="38" s="1"/>
  <c r="CJ10" i="38"/>
  <c r="DT10" i="38"/>
  <c r="DV10" i="38" s="1"/>
  <c r="CK50" i="38"/>
  <c r="DU50" i="38"/>
  <c r="DW50" i="38" s="1"/>
  <c r="CK26" i="38"/>
  <c r="DU26" i="38"/>
  <c r="DW26" i="38" s="1"/>
  <c r="CJ69" i="38"/>
  <c r="DT69" i="38"/>
  <c r="DV69" i="38" s="1"/>
  <c r="CP21" i="38"/>
  <c r="DT21" i="38"/>
  <c r="DV21" i="38" s="1"/>
  <c r="CK25" i="38"/>
  <c r="DU25" i="38"/>
  <c r="DW25" i="38" s="1"/>
  <c r="CJ19" i="38"/>
  <c r="DT19" i="38"/>
  <c r="DV19" i="38" s="1"/>
  <c r="CK47" i="38"/>
  <c r="DU47" i="38"/>
  <c r="DW47" i="38" s="1"/>
  <c r="CQ23" i="38"/>
  <c r="DU23" i="38"/>
  <c r="DW23" i="38" s="1"/>
  <c r="DB66" i="38"/>
  <c r="DT66" i="38"/>
  <c r="DV66" i="38" s="1"/>
  <c r="CJ42" i="38"/>
  <c r="DT42" i="38"/>
  <c r="DV42" i="38" s="1"/>
  <c r="CK58" i="38"/>
  <c r="DU58" i="38"/>
  <c r="DW58" i="38" s="1"/>
  <c r="CP29" i="38"/>
  <c r="DT29" i="38"/>
  <c r="DV29" i="38" s="1"/>
  <c r="CK69" i="38"/>
  <c r="DU69" i="38"/>
  <c r="DW69" i="38" s="1"/>
  <c r="CK45" i="38"/>
  <c r="DU45" i="38"/>
  <c r="DW45" i="38" s="1"/>
  <c r="Q24" i="37"/>
  <c r="CP30" i="38"/>
  <c r="CP32" i="38"/>
  <c r="CP17" i="38"/>
  <c r="DB22" i="38"/>
  <c r="DB23" i="38"/>
  <c r="DC57" i="38"/>
  <c r="DB37" i="38"/>
  <c r="DB54" i="38"/>
  <c r="CQ28" i="38"/>
  <c r="CP10" i="38"/>
  <c r="CQ45" i="38"/>
  <c r="CQ26" i="38"/>
  <c r="CP19" i="38"/>
  <c r="CQ67" i="38"/>
  <c r="DB28" i="38"/>
  <c r="DC13" i="38"/>
  <c r="DB39" i="38"/>
  <c r="CP31" i="38"/>
  <c r="CQ12" i="38"/>
  <c r="CP12" i="38"/>
  <c r="CQ39" i="38"/>
  <c r="CQ29" i="38"/>
  <c r="CQ55" i="38"/>
  <c r="CP48" i="38"/>
  <c r="CK40" i="38"/>
  <c r="CP55" i="38"/>
  <c r="CP20" i="38"/>
  <c r="CP15" i="38"/>
  <c r="CP27" i="38"/>
  <c r="CP42" i="38"/>
  <c r="CQ70" i="38"/>
  <c r="CP56" i="38"/>
  <c r="CQ57" i="38"/>
  <c r="CP44" i="38"/>
  <c r="CQ19" i="38"/>
  <c r="CQ65" i="38"/>
  <c r="CP24" i="38"/>
  <c r="CQ51" i="38"/>
  <c r="DB35" i="38"/>
  <c r="DB43" i="38"/>
  <c r="DC8" i="38"/>
  <c r="DC25" i="38"/>
  <c r="DC37" i="38"/>
  <c r="DB61" i="38"/>
  <c r="DC12" i="38"/>
  <c r="DB31" i="38"/>
  <c r="DB24" i="38"/>
  <c r="DB65" i="38"/>
  <c r="DC45" i="38"/>
  <c r="DB19" i="38"/>
  <c r="DC38" i="38"/>
  <c r="DC58" i="38"/>
  <c r="DC26" i="38"/>
  <c r="DC70" i="38"/>
  <c r="CQ58" i="38"/>
  <c r="DB13" i="38"/>
  <c r="DC55" i="38"/>
  <c r="DB30" i="38"/>
  <c r="DB55" i="38"/>
  <c r="DB52" i="38"/>
  <c r="CP58" i="38"/>
  <c r="DC59" i="38"/>
  <c r="CP59" i="38"/>
  <c r="DB50" i="38"/>
  <c r="DC64" i="38"/>
  <c r="CP38" i="38"/>
  <c r="DB26" i="38"/>
  <c r="DB64" i="38"/>
  <c r="CQ44" i="38"/>
  <c r="CQ40" i="38"/>
  <c r="CQ59" i="38"/>
  <c r="CP49" i="38"/>
  <c r="DC40" i="38"/>
  <c r="DB38" i="38"/>
  <c r="DB48" i="38"/>
  <c r="DC39" i="38"/>
  <c r="DC7" i="38"/>
  <c r="DC19" i="38"/>
  <c r="DB12" i="38"/>
  <c r="DB70" i="38"/>
  <c r="DC6" i="38"/>
  <c r="DC54" i="38"/>
  <c r="CP9" i="38"/>
  <c r="DB45" i="38"/>
  <c r="DB33" i="38"/>
  <c r="DC22" i="38"/>
  <c r="DC9" i="38"/>
  <c r="CP36" i="38"/>
  <c r="CQ31" i="38"/>
  <c r="DC66" i="38"/>
  <c r="CQ48" i="38"/>
  <c r="CQ50" i="38"/>
  <c r="CQ69" i="38"/>
  <c r="DC68" i="38"/>
  <c r="DC41" i="38"/>
  <c r="DC20" i="38"/>
  <c r="DB59" i="38"/>
  <c r="DB9" i="38"/>
  <c r="DB58" i="38"/>
  <c r="DC44" i="38"/>
  <c r="DC50" i="38"/>
  <c r="DC51" i="38"/>
  <c r="DB49" i="38"/>
  <c r="DC48" i="38"/>
  <c r="DC69" i="38"/>
  <c r="DB36" i="38"/>
  <c r="DC24" i="38"/>
  <c r="DC31" i="38"/>
  <c r="CQ14" i="38"/>
  <c r="CQ64" i="38"/>
  <c r="CP52" i="38"/>
  <c r="CP26" i="38"/>
  <c r="CQ46" i="38"/>
  <c r="CP50" i="38"/>
  <c r="CP43" i="38"/>
  <c r="CP28" i="38"/>
  <c r="CQ66" i="38"/>
  <c r="CQ7" i="38"/>
  <c r="CQ38" i="38"/>
  <c r="CQ24" i="38"/>
  <c r="CP23" i="38"/>
  <c r="CQ41" i="38"/>
  <c r="CJ64" i="38"/>
  <c r="CJ39" i="38"/>
  <c r="CP13" i="38"/>
  <c r="CP66" i="38"/>
  <c r="CP34" i="38"/>
  <c r="CQ8" i="38"/>
  <c r="CP39" i="38"/>
  <c r="CQ13" i="38"/>
  <c r="CQ53" i="38"/>
  <c r="CQ37" i="38"/>
  <c r="CP61" i="38"/>
  <c r="CP37" i="38"/>
  <c r="CP54" i="38"/>
  <c r="CP51" i="38"/>
  <c r="CQ25" i="38"/>
  <c r="CP41" i="38"/>
  <c r="CP22" i="38"/>
  <c r="CQ20" i="38"/>
  <c r="CP8" i="38"/>
  <c r="CK54" i="38"/>
  <c r="Q22" i="37"/>
  <c r="CQ9" i="38"/>
  <c r="CP35" i="38"/>
  <c r="CQ54" i="38"/>
  <c r="CQ68" i="38"/>
  <c r="CP33" i="38"/>
  <c r="CP70" i="38"/>
  <c r="CQ22" i="38"/>
  <c r="CP45" i="38"/>
  <c r="CQ6" i="38"/>
  <c r="CJ8" i="38"/>
  <c r="CK28" i="38"/>
  <c r="CJ29" i="38"/>
  <c r="Q20" i="37"/>
  <c r="CK68" i="38"/>
  <c r="CK46" i="38"/>
  <c r="CJ14" i="38"/>
  <c r="CJ66" i="38"/>
  <c r="CJ15" i="38"/>
  <c r="CJ44" i="38"/>
  <c r="CJ65" i="38"/>
  <c r="DC61" i="38"/>
  <c r="CK61" i="38"/>
  <c r="CP63" i="38"/>
  <c r="DB46" i="38"/>
  <c r="CJ46" i="38"/>
  <c r="DC18" i="38"/>
  <c r="DB25" i="38"/>
  <c r="DB63" i="38"/>
  <c r="CP25" i="38"/>
  <c r="CK18" i="38"/>
  <c r="CJ25" i="38"/>
  <c r="CJ63" i="38"/>
  <c r="CQ49" i="38"/>
  <c r="DC49" i="38"/>
  <c r="DB51" i="38"/>
  <c r="CQ61" i="38"/>
  <c r="CK49" i="38"/>
  <c r="CP46" i="38"/>
  <c r="CQ18" i="38"/>
  <c r="CQ42" i="38"/>
  <c r="CQ34" i="38"/>
  <c r="CP68" i="38"/>
  <c r="CQ17" i="38"/>
  <c r="CP53" i="38"/>
  <c r="CP18" i="38"/>
  <c r="CQ11" i="38"/>
  <c r="CQ16" i="38"/>
  <c r="CP7" i="38"/>
  <c r="CP47" i="38"/>
  <c r="CQ36" i="38"/>
  <c r="CQ15" i="38"/>
  <c r="CK43" i="38"/>
  <c r="DC43" i="38"/>
  <c r="CK17" i="38"/>
  <c r="DC17" i="38"/>
  <c r="CJ67" i="38"/>
  <c r="DB67" i="38"/>
  <c r="CP67" i="38"/>
  <c r="CJ21" i="38"/>
  <c r="DB21" i="38"/>
  <c r="CK36" i="38"/>
  <c r="DC36" i="38"/>
  <c r="CJ16" i="38"/>
  <c r="DB16" i="38"/>
  <c r="CJ68" i="38"/>
  <c r="DB68" i="38"/>
  <c r="CK60" i="38"/>
  <c r="DC60" i="38"/>
  <c r="CQ60" i="38"/>
  <c r="CK30" i="38"/>
  <c r="DC30" i="38"/>
  <c r="CK10" i="38"/>
  <c r="DC10" i="38"/>
  <c r="CK42" i="38"/>
  <c r="DC42" i="38"/>
  <c r="CK34" i="38"/>
  <c r="DC34" i="38"/>
  <c r="CK56" i="38"/>
  <c r="DC56" i="38"/>
  <c r="CJ60" i="38"/>
  <c r="DB60" i="38"/>
  <c r="CK32" i="38"/>
  <c r="DC32" i="38"/>
  <c r="CK35" i="38"/>
  <c r="DC35" i="38"/>
  <c r="CK23" i="38"/>
  <c r="DC23" i="38"/>
  <c r="CK16" i="38"/>
  <c r="DC16" i="38"/>
  <c r="CK33" i="38"/>
  <c r="DC33" i="38"/>
  <c r="CJ11" i="38"/>
  <c r="DB11" i="38"/>
  <c r="CK27" i="38"/>
  <c r="DC27" i="38"/>
  <c r="CJ18" i="38"/>
  <c r="DB18" i="38"/>
  <c r="CJ53" i="38"/>
  <c r="DB53" i="38"/>
  <c r="CJ7" i="38"/>
  <c r="DB7" i="38"/>
  <c r="CK52" i="38"/>
  <c r="DC52" i="38"/>
  <c r="CJ47" i="38"/>
  <c r="DB47" i="38"/>
  <c r="CK11" i="38"/>
  <c r="DC11" i="38"/>
  <c r="CP6" i="38"/>
  <c r="DB6" i="38"/>
  <c r="CK15" i="38"/>
  <c r="DC15" i="38"/>
  <c r="CQ27" i="38"/>
  <c r="CQ43" i="38"/>
  <c r="CQ32" i="38"/>
  <c r="CJ57" i="38"/>
  <c r="DB57" i="38"/>
  <c r="CK21" i="38"/>
  <c r="DC21" i="38"/>
  <c r="CK63" i="38"/>
  <c r="DC63" i="38"/>
  <c r="CP11" i="38"/>
  <c r="CQ10" i="38"/>
  <c r="CQ56" i="38"/>
  <c r="CJ62" i="38"/>
  <c r="DB62" i="38"/>
  <c r="CJ40" i="38"/>
  <c r="DB40" i="38"/>
  <c r="BS72" i="38" l="1"/>
  <c r="BW72" i="38" s="1"/>
  <c r="CE72" i="38" s="1"/>
  <c r="BR79" i="38"/>
  <c r="BV79" i="38" s="1"/>
  <c r="CD79" i="38" s="1"/>
  <c r="BS75" i="38"/>
  <c r="BW75" i="38" s="1"/>
  <c r="CE75" i="38" s="1"/>
  <c r="BR74" i="38"/>
  <c r="BV74" i="38" s="1"/>
  <c r="CD74" i="38" s="1"/>
  <c r="BS76" i="38"/>
  <c r="BW76" i="38" s="1"/>
  <c r="CE76" i="38" s="1"/>
  <c r="BR78" i="38"/>
  <c r="BV78" i="38" s="1"/>
  <c r="CD78" i="38" s="1"/>
  <c r="BR72" i="38"/>
  <c r="BV72" i="38" s="1"/>
  <c r="CD72" i="38" s="1"/>
  <c r="BR77" i="38"/>
  <c r="BV77" i="38" s="1"/>
  <c r="CD77" i="38" s="1"/>
  <c r="BR73" i="38"/>
  <c r="BV73" i="38" s="1"/>
  <c r="CD73" i="38" s="1"/>
  <c r="BS71" i="38"/>
  <c r="BW71" i="38" s="1"/>
  <c r="CE71" i="38" s="1"/>
  <c r="BS74" i="38"/>
  <c r="BW74" i="38" s="1"/>
  <c r="CE74" i="38" s="1"/>
  <c r="BR75" i="38"/>
  <c r="BV75" i="38" s="1"/>
  <c r="CD75" i="38" s="1"/>
  <c r="BR20" i="38"/>
  <c r="BV20" i="38" s="1"/>
  <c r="CD20" i="38" s="1"/>
  <c r="BR71" i="38"/>
  <c r="BV71" i="38" s="1"/>
  <c r="CD71" i="38" s="1"/>
  <c r="BR14" i="38"/>
  <c r="U26" i="37"/>
  <c r="M58" i="44" s="1"/>
  <c r="U30" i="37"/>
  <c r="M60" i="44" s="1"/>
  <c r="U24" i="37"/>
  <c r="M57" i="44" s="1"/>
  <c r="U22" i="37"/>
  <c r="M56" i="44" s="1"/>
  <c r="BR29" i="38"/>
  <c r="BV29" i="38" s="1"/>
  <c r="CD29" i="38" s="1"/>
  <c r="BR44" i="38"/>
  <c r="BR8" i="38"/>
  <c r="BR62" i="38"/>
  <c r="BV62" i="38" s="1"/>
  <c r="CD62" i="38" s="1"/>
  <c r="BR6" i="38"/>
  <c r="BR7" i="38"/>
  <c r="BS16" i="38"/>
  <c r="BW16" i="38" s="1"/>
  <c r="CE16" i="38" s="1"/>
  <c r="BR63" i="38"/>
  <c r="BV63" i="38" s="1"/>
  <c r="CD63" i="38" s="1"/>
  <c r="BR64" i="38"/>
  <c r="BR47" i="38"/>
  <c r="BR18" i="38"/>
  <c r="BR11" i="38"/>
  <c r="BS35" i="38"/>
  <c r="BR60" i="38"/>
  <c r="BV60" i="38" s="1"/>
  <c r="CD60" i="38" s="1"/>
  <c r="BS43" i="38"/>
  <c r="BR65" i="38"/>
  <c r="BV65" i="38" s="1"/>
  <c r="CD65" i="38" s="1"/>
  <c r="BS34" i="38"/>
  <c r="BW34" i="38" s="1"/>
  <c r="CE34" i="38" s="1"/>
  <c r="BS18" i="38"/>
  <c r="BW18" i="38" s="1"/>
  <c r="CE18" i="38" s="1"/>
  <c r="BR66" i="38"/>
  <c r="BS62" i="38"/>
  <c r="BS23" i="38"/>
  <c r="BS56" i="38"/>
  <c r="BS30" i="38"/>
  <c r="BS17" i="38"/>
  <c r="BR15" i="38"/>
  <c r="BR40" i="38"/>
  <c r="BS15" i="38"/>
  <c r="BS11" i="38"/>
  <c r="BS52" i="38"/>
  <c r="BW52" i="38" s="1"/>
  <c r="CE52" i="38" s="1"/>
  <c r="BS33" i="38"/>
  <c r="BW33" i="38" s="1"/>
  <c r="CE33" i="38" s="1"/>
  <c r="BS47" i="38"/>
  <c r="BW47" i="38" s="1"/>
  <c r="CE47" i="38" s="1"/>
  <c r="BR69" i="38"/>
  <c r="BV69" i="38" s="1"/>
  <c r="CD69" i="38" s="1"/>
  <c r="BS81" i="38"/>
  <c r="BS27" i="38"/>
  <c r="BS68" i="38"/>
  <c r="BR81" i="38"/>
  <c r="BV81" i="38" s="1"/>
  <c r="CD81" i="38" s="1"/>
  <c r="BR53" i="38"/>
  <c r="BS42" i="38"/>
  <c r="BS61" i="38"/>
  <c r="BS40" i="38"/>
  <c r="BW40" i="38" s="1"/>
  <c r="CE40" i="38" s="1"/>
  <c r="BS21" i="38"/>
  <c r="BR68" i="38"/>
  <c r="BS36" i="38"/>
  <c r="BS49" i="38"/>
  <c r="BW49" i="38" s="1"/>
  <c r="CE49" i="38" s="1"/>
  <c r="BR46" i="38"/>
  <c r="BR39" i="38"/>
  <c r="BV39" i="38" s="1"/>
  <c r="CD39" i="38" s="1"/>
  <c r="BS69" i="38"/>
  <c r="BS58" i="38"/>
  <c r="BW58" i="38" s="1"/>
  <c r="CE58" i="38" s="1"/>
  <c r="BS25" i="38"/>
  <c r="BW25" i="38" s="1"/>
  <c r="CE25" i="38" s="1"/>
  <c r="BS50" i="38"/>
  <c r="BR34" i="38"/>
  <c r="BS65" i="38"/>
  <c r="BR27" i="38"/>
  <c r="BV27" i="38" s="1"/>
  <c r="CD27" i="38" s="1"/>
  <c r="BR55" i="38"/>
  <c r="BS37" i="38"/>
  <c r="BW37" i="38" s="1"/>
  <c r="CE37" i="38" s="1"/>
  <c r="BR35" i="38"/>
  <c r="BR24" i="38"/>
  <c r="BV24" i="38" s="1"/>
  <c r="CD24" i="38" s="1"/>
  <c r="BR13" i="38"/>
  <c r="BS66" i="38"/>
  <c r="BS31" i="38"/>
  <c r="BS44" i="38"/>
  <c r="BW44" i="38" s="1"/>
  <c r="CE44" i="38" s="1"/>
  <c r="BR43" i="38"/>
  <c r="BR17" i="38"/>
  <c r="BR30" i="38"/>
  <c r="BR31" i="38"/>
  <c r="BS14" i="38"/>
  <c r="BW14" i="38" s="1"/>
  <c r="CE14" i="38" s="1"/>
  <c r="BR70" i="38"/>
  <c r="BR38" i="38"/>
  <c r="BS67" i="38"/>
  <c r="BS12" i="38"/>
  <c r="BS13" i="38"/>
  <c r="BS39" i="38"/>
  <c r="BR23" i="38"/>
  <c r="BV23" i="38" s="1"/>
  <c r="CD23" i="38" s="1"/>
  <c r="BS64" i="38"/>
  <c r="BS29" i="38"/>
  <c r="BR26" i="38"/>
  <c r="BS55" i="38"/>
  <c r="BR52" i="38"/>
  <c r="BS32" i="38"/>
  <c r="BW32" i="38" s="1"/>
  <c r="CE32" i="38" s="1"/>
  <c r="BS10" i="38"/>
  <c r="BW10" i="38" s="1"/>
  <c r="CE10" i="38" s="1"/>
  <c r="BR67" i="38"/>
  <c r="BS63" i="38"/>
  <c r="BW63" i="38" s="1"/>
  <c r="CE63" i="38" s="1"/>
  <c r="BR57" i="38"/>
  <c r="BS60" i="38"/>
  <c r="BR16" i="38"/>
  <c r="BV16" i="38" s="1"/>
  <c r="CD16" i="38" s="1"/>
  <c r="BR21" i="38"/>
  <c r="BR25" i="38"/>
  <c r="BS46" i="38"/>
  <c r="BW46" i="38" s="1"/>
  <c r="CE46" i="38" s="1"/>
  <c r="BS28" i="38"/>
  <c r="BW28" i="38" s="1"/>
  <c r="CE28" i="38" s="1"/>
  <c r="BS54" i="38"/>
  <c r="BW54" i="38" s="1"/>
  <c r="CE54" i="38" s="1"/>
  <c r="BS45" i="38"/>
  <c r="BR42" i="38"/>
  <c r="BR19" i="38"/>
  <c r="BS26" i="38"/>
  <c r="BR10" i="38"/>
  <c r="BV10" i="38" s="1"/>
  <c r="CD10" i="38" s="1"/>
  <c r="BR58" i="38"/>
  <c r="BV58" i="38" s="1"/>
  <c r="CD58" i="38" s="1"/>
  <c r="BR36" i="38"/>
  <c r="BR61" i="38"/>
  <c r="BS8" i="38"/>
  <c r="BR56" i="38"/>
  <c r="BV56" i="38" s="1"/>
  <c r="CD56" i="38" s="1"/>
  <c r="BR9" i="38"/>
  <c r="BV9" i="38" s="1"/>
  <c r="CD9" i="38" s="1"/>
  <c r="BS51" i="38"/>
  <c r="BR59" i="38"/>
  <c r="BS41" i="38"/>
  <c r="BR49" i="38"/>
  <c r="BR50" i="38"/>
  <c r="BR28" i="38"/>
  <c r="BV28" i="38" s="1"/>
  <c r="CD28" i="38" s="1"/>
  <c r="BS48" i="38"/>
  <c r="BW48" i="38" s="1"/>
  <c r="CE48" i="38" s="1"/>
  <c r="BS9" i="38"/>
  <c r="BW9" i="38" s="1"/>
  <c r="CE9" i="38" s="1"/>
  <c r="BS57" i="38"/>
  <c r="BW57" i="38" s="1"/>
  <c r="CE57" i="38" s="1"/>
  <c r="BR41" i="38"/>
  <c r="BS22" i="38"/>
  <c r="BW22" i="38" s="1"/>
  <c r="CE22" i="38" s="1"/>
  <c r="BS70" i="38"/>
  <c r="BR54" i="38"/>
  <c r="BS59" i="38"/>
  <c r="BR45" i="38"/>
  <c r="BV45" i="38" s="1"/>
  <c r="CD45" i="38" s="1"/>
  <c r="BS38" i="38"/>
  <c r="BR22" i="38"/>
  <c r="BR12" i="38"/>
  <c r="BR37" i="38"/>
  <c r="BV37" i="38" s="1"/>
  <c r="CD37" i="38" s="1"/>
  <c r="BS7" i="38"/>
  <c r="BR51" i="38"/>
  <c r="BV51" i="38" s="1"/>
  <c r="CD51" i="38" s="1"/>
  <c r="BR32" i="38"/>
  <c r="BR33" i="38"/>
  <c r="BS6" i="38"/>
  <c r="BR48" i="38"/>
  <c r="BV48" i="38" s="1"/>
  <c r="CD48" i="38" s="1"/>
  <c r="BS53" i="38"/>
  <c r="BS19" i="38"/>
  <c r="BS20" i="38"/>
  <c r="BW20" i="38" s="1"/>
  <c r="CE20" i="38" s="1"/>
  <c r="BS24" i="38"/>
  <c r="BW24" i="38" s="1"/>
  <c r="CE24" i="38" s="1"/>
  <c r="U18" i="37"/>
  <c r="M54" i="44" s="1"/>
  <c r="U28" i="37"/>
  <c r="M59" i="44" s="1"/>
  <c r="U32" i="37"/>
  <c r="M61" i="44" s="1"/>
  <c r="M55" i="44"/>
  <c r="BW77" i="38"/>
  <c r="CE77" i="38" s="1"/>
  <c r="BW80" i="38"/>
  <c r="CE80" i="38" s="1"/>
  <c r="BW73" i="38"/>
  <c r="CE73" i="38" s="1"/>
  <c r="EC81" i="38"/>
  <c r="CZ82" i="38"/>
  <c r="DH82" i="38"/>
  <c r="DX82" i="38"/>
  <c r="DF82" i="38"/>
  <c r="CR82" i="38"/>
  <c r="CL82" i="38"/>
  <c r="CN82" i="38"/>
  <c r="DD82" i="38"/>
  <c r="DZ82" i="38" s="1"/>
  <c r="CX82" i="38"/>
  <c r="CV82" i="38"/>
  <c r="DR82" i="38" s="1"/>
  <c r="DV82" i="38" s="1"/>
  <c r="DA82" i="38"/>
  <c r="DI82" i="38"/>
  <c r="DY82" i="38"/>
  <c r="DE82" i="38"/>
  <c r="EA82" i="38" s="1"/>
  <c r="CY82" i="38"/>
  <c r="DG82" i="38"/>
  <c r="CS82" i="38"/>
  <c r="CW82" i="38"/>
  <c r="DS82" i="38" s="1"/>
  <c r="DW82" i="38" s="1"/>
  <c r="CO82" i="38"/>
  <c r="CM82" i="38"/>
  <c r="EB81" i="38"/>
  <c r="BS82" i="38" l="1"/>
  <c r="BR82" i="38"/>
  <c r="BW21" i="38"/>
  <c r="CE21" i="38" s="1"/>
  <c r="BV70" i="38"/>
  <c r="CD70" i="38" s="1"/>
  <c r="BW55" i="38"/>
  <c r="CE55" i="38" s="1"/>
  <c r="BW61" i="38"/>
  <c r="CE61" i="38" s="1"/>
  <c r="BW64" i="38"/>
  <c r="CE64" i="38" s="1"/>
  <c r="BV57" i="38"/>
  <c r="CD57" i="38" s="1"/>
  <c r="BW56" i="38"/>
  <c r="CE56" i="38" s="1"/>
  <c r="BV40" i="38"/>
  <c r="CD40" i="38" s="1"/>
  <c r="BW43" i="38"/>
  <c r="CE43" i="38" s="1"/>
  <c r="BV18" i="38"/>
  <c r="CD18" i="38" s="1"/>
  <c r="BV43" i="38"/>
  <c r="CD43" i="38" s="1"/>
  <c r="BW70" i="38"/>
  <c r="CE70" i="38" s="1"/>
  <c r="BV55" i="38"/>
  <c r="CD55" i="38" s="1"/>
  <c r="BV52" i="38"/>
  <c r="CD52" i="38" s="1"/>
  <c r="BW12" i="38"/>
  <c r="CE12" i="38" s="1"/>
  <c r="BW81" i="38"/>
  <c r="CE81" i="38" s="1"/>
  <c r="BW66" i="38"/>
  <c r="CE66" i="38" s="1"/>
  <c r="BV12" i="38"/>
  <c r="CD12" i="38" s="1"/>
  <c r="BV14" i="38"/>
  <c r="CD14" i="38" s="1"/>
  <c r="BV66" i="38"/>
  <c r="CD66" i="38" s="1"/>
  <c r="BV26" i="38"/>
  <c r="CD26" i="38" s="1"/>
  <c r="BW39" i="38"/>
  <c r="CE39" i="38" s="1"/>
  <c r="BV13" i="38"/>
  <c r="CD13" i="38" s="1"/>
  <c r="BW60" i="38"/>
  <c r="CE60" i="38" s="1"/>
  <c r="BW19" i="38"/>
  <c r="CE19" i="38" s="1"/>
  <c r="BV22" i="38"/>
  <c r="CD22" i="38" s="1"/>
  <c r="BV44" i="38"/>
  <c r="CD44" i="38" s="1"/>
  <c r="BW29" i="38"/>
  <c r="CE29" i="38" s="1"/>
  <c r="BW13" i="38"/>
  <c r="CE13" i="38" s="1"/>
  <c r="BV41" i="38"/>
  <c r="CD41" i="38" s="1"/>
  <c r="BW68" i="38"/>
  <c r="CE68" i="38" s="1"/>
  <c r="BV25" i="38"/>
  <c r="CD25" i="38" s="1"/>
  <c r="BV8" i="38"/>
  <c r="CD8" i="38" s="1"/>
  <c r="BW36" i="38"/>
  <c r="CE36" i="38" s="1"/>
  <c r="BV64" i="38"/>
  <c r="CD64" i="38" s="1"/>
  <c r="BW27" i="38"/>
  <c r="CE27" i="38" s="1"/>
  <c r="BW62" i="38"/>
  <c r="CE62" i="38" s="1"/>
  <c r="BV31" i="38"/>
  <c r="CD31" i="38" s="1"/>
  <c r="BW31" i="38"/>
  <c r="CE31" i="38" s="1"/>
  <c r="BV35" i="38"/>
  <c r="CD35" i="38" s="1"/>
  <c r="BW65" i="38"/>
  <c r="CE65" i="38" s="1"/>
  <c r="BV49" i="38"/>
  <c r="CD49" i="38" s="1"/>
  <c r="BW6" i="38"/>
  <c r="CE6" i="38" s="1"/>
  <c r="BW59" i="38"/>
  <c r="CE59" i="38" s="1"/>
  <c r="BW26" i="38"/>
  <c r="CE26" i="38" s="1"/>
  <c r="BV68" i="38"/>
  <c r="CD68" i="38" s="1"/>
  <c r="BW38" i="38"/>
  <c r="CE38" i="38" s="1"/>
  <c r="BV19" i="38"/>
  <c r="CD19" i="38" s="1"/>
  <c r="BW11" i="38"/>
  <c r="CE11" i="38" s="1"/>
  <c r="BV47" i="38"/>
  <c r="CD47" i="38" s="1"/>
  <c r="BW8" i="38"/>
  <c r="CE8" i="38" s="1"/>
  <c r="BW67" i="38"/>
  <c r="CE67" i="38" s="1"/>
  <c r="BV17" i="38"/>
  <c r="CD17" i="38" s="1"/>
  <c r="BW7" i="38"/>
  <c r="CE7" i="38" s="1"/>
  <c r="BV21" i="38"/>
  <c r="CD21" i="38" s="1"/>
  <c r="BV67" i="38"/>
  <c r="CD67" i="38" s="1"/>
  <c r="BW69" i="38"/>
  <c r="CE69" i="38" s="1"/>
  <c r="BW15" i="38"/>
  <c r="CE15" i="38" s="1"/>
  <c r="BW35" i="38"/>
  <c r="CE35" i="38" s="1"/>
  <c r="BW50" i="38"/>
  <c r="CE50" i="38" s="1"/>
  <c r="BV46" i="38"/>
  <c r="CD46" i="38" s="1"/>
  <c r="BV32" i="38"/>
  <c r="CD32" i="38" s="1"/>
  <c r="BW41" i="38"/>
  <c r="CE41" i="38" s="1"/>
  <c r="BV42" i="38"/>
  <c r="CD42" i="38" s="1"/>
  <c r="BW17" i="38"/>
  <c r="CE17" i="38" s="1"/>
  <c r="BV50" i="38"/>
  <c r="CD50" i="38" s="1"/>
  <c r="BV59" i="38"/>
  <c r="CD59" i="38" s="1"/>
  <c r="BV53" i="38"/>
  <c r="CD53" i="38" s="1"/>
  <c r="BV36" i="38"/>
  <c r="CD36" i="38" s="1"/>
  <c r="BV11" i="38"/>
  <c r="CD11" i="38" s="1"/>
  <c r="BV33" i="38"/>
  <c r="CD33" i="38" s="1"/>
  <c r="BV34" i="38"/>
  <c r="CD34" i="38" s="1"/>
  <c r="BW42" i="38"/>
  <c r="CE42" i="38" s="1"/>
  <c r="BV7" i="38"/>
  <c r="CD7" i="38" s="1"/>
  <c r="BV38" i="38"/>
  <c r="CD38" i="38" s="1"/>
  <c r="BV30" i="38"/>
  <c r="CD30" i="38" s="1"/>
  <c r="BW30" i="38"/>
  <c r="CE30" i="38" s="1"/>
  <c r="BV61" i="38"/>
  <c r="CD61" i="38" s="1"/>
  <c r="BV54" i="38"/>
  <c r="CD54" i="38" s="1"/>
  <c r="BW51" i="38"/>
  <c r="CE51" i="38" s="1"/>
  <c r="BW45" i="38"/>
  <c r="CE45" i="38" s="1"/>
  <c r="BW23" i="38"/>
  <c r="CE23" i="38" s="1"/>
  <c r="BV15" i="38"/>
  <c r="CD15" i="38" s="1"/>
  <c r="BW53" i="38"/>
  <c r="CE53" i="38" s="1"/>
  <c r="EC82" i="38"/>
  <c r="CZ83" i="38"/>
  <c r="DH83" i="38"/>
  <c r="DX83" i="38"/>
  <c r="DF83" i="38"/>
  <c r="CL83" i="38"/>
  <c r="DD83" i="38"/>
  <c r="DZ83" i="38" s="1"/>
  <c r="CN83" i="38"/>
  <c r="CR83" i="38"/>
  <c r="CX83" i="38"/>
  <c r="CV83" i="38"/>
  <c r="DR83" i="38" s="1"/>
  <c r="DV83" i="38" s="1"/>
  <c r="DA83" i="38"/>
  <c r="DI83" i="38"/>
  <c r="DY83" i="38"/>
  <c r="CO83" i="38"/>
  <c r="CM83" i="38"/>
  <c r="CY83" i="38"/>
  <c r="DE83" i="38"/>
  <c r="EA83" i="38" s="1"/>
  <c r="DG83" i="38"/>
  <c r="CS83" i="38"/>
  <c r="CW83" i="38"/>
  <c r="DS83" i="38" s="1"/>
  <c r="DW83" i="38" s="1"/>
  <c r="EB82" i="38"/>
  <c r="V28" i="37" l="1"/>
  <c r="W28" i="37" s="1"/>
  <c r="BR83" i="38"/>
  <c r="BS83" i="38"/>
  <c r="V24" i="37"/>
  <c r="W24" i="37" s="1"/>
  <c r="V26" i="37"/>
  <c r="W26" i="37" s="1"/>
  <c r="V30" i="37"/>
  <c r="W30" i="37" s="1"/>
  <c r="V22" i="37"/>
  <c r="W22" i="37" s="1"/>
  <c r="V32" i="37"/>
  <c r="V20" i="37"/>
  <c r="W20" i="37" s="1"/>
  <c r="V18" i="37"/>
  <c r="W18" i="37" s="1"/>
  <c r="R26" i="37"/>
  <c r="R24" i="37"/>
  <c r="R30" i="37"/>
  <c r="S30" i="37" s="1"/>
  <c r="R28" i="37"/>
  <c r="R20" i="37"/>
  <c r="R22" i="37"/>
  <c r="DA84" i="38"/>
  <c r="DI84" i="38"/>
  <c r="DY84" i="38"/>
  <c r="DG84" i="38"/>
  <c r="CY84" i="38"/>
  <c r="CS84" i="38"/>
  <c r="CO84" i="38"/>
  <c r="CM84" i="38"/>
  <c r="DE84" i="38"/>
  <c r="EA84" i="38" s="1"/>
  <c r="CW84" i="38"/>
  <c r="DS84" i="38" s="1"/>
  <c r="DW84" i="38" s="1"/>
  <c r="CZ84" i="38"/>
  <c r="DH84" i="38"/>
  <c r="DX84" i="38"/>
  <c r="DF84" i="38"/>
  <c r="CR84" i="38"/>
  <c r="CN84" i="38"/>
  <c r="DD84" i="38"/>
  <c r="DZ84" i="38" s="1"/>
  <c r="CX84" i="38"/>
  <c r="CV84" i="38"/>
  <c r="DR84" i="38" s="1"/>
  <c r="DV84" i="38" s="1"/>
  <c r="CL84" i="38"/>
  <c r="EC83" i="38"/>
  <c r="BV82" i="38"/>
  <c r="CD82" i="38" s="1"/>
  <c r="EB83" i="38"/>
  <c r="BW82" i="38"/>
  <c r="CE82" i="38" s="1"/>
  <c r="N59" i="44" l="1"/>
  <c r="O59" i="44" s="1"/>
  <c r="BR84" i="38"/>
  <c r="BS84" i="38"/>
  <c r="N57" i="44"/>
  <c r="O57" i="44" s="1"/>
  <c r="N56" i="44"/>
  <c r="O56" i="44" s="1"/>
  <c r="N58" i="44"/>
  <c r="O58" i="44" s="1"/>
  <c r="W32" i="37"/>
  <c r="X18" i="37" s="1"/>
  <c r="N55" i="44"/>
  <c r="O55" i="44" s="1"/>
  <c r="N60" i="44"/>
  <c r="O60" i="44" s="1"/>
  <c r="S28" i="37"/>
  <c r="EB84" i="38"/>
  <c r="EC84" i="38"/>
  <c r="DA85" i="38"/>
  <c r="DI85" i="38"/>
  <c r="DY85" i="38"/>
  <c r="DE85" i="38"/>
  <c r="EA85" i="38" s="1"/>
  <c r="CS85" i="38"/>
  <c r="CO85" i="38"/>
  <c r="CW85" i="38"/>
  <c r="DS85" i="38" s="1"/>
  <c r="DW85" i="38" s="1"/>
  <c r="DG85" i="38"/>
  <c r="CM85" i="38"/>
  <c r="CY85" i="38"/>
  <c r="CZ85" i="38"/>
  <c r="DH85" i="38"/>
  <c r="DX85" i="38"/>
  <c r="CX85" i="38"/>
  <c r="CR85" i="38"/>
  <c r="CL85" i="38"/>
  <c r="CV85" i="38"/>
  <c r="DR85" i="38" s="1"/>
  <c r="DV85" i="38" s="1"/>
  <c r="CN85" i="38"/>
  <c r="DF85" i="38"/>
  <c r="DD85" i="38"/>
  <c r="DZ85" i="38" s="1"/>
  <c r="BV83" i="38"/>
  <c r="CD83" i="38" s="1"/>
  <c r="BW83" i="38"/>
  <c r="CE83" i="38" s="1"/>
  <c r="S20" i="37"/>
  <c r="S24" i="37"/>
  <c r="S26" i="37"/>
  <c r="S22" i="37"/>
  <c r="BS85" i="38" l="1"/>
  <c r="BR85" i="38"/>
  <c r="BV85" i="38" s="1"/>
  <c r="CD85" i="38" s="1"/>
  <c r="DA86" i="38"/>
  <c r="DI86" i="38"/>
  <c r="DY86" i="38"/>
  <c r="DG86" i="38"/>
  <c r="CY86" i="38"/>
  <c r="CS86" i="38"/>
  <c r="CW86" i="38"/>
  <c r="DS86" i="38" s="1"/>
  <c r="DW86" i="38" s="1"/>
  <c r="CM86" i="38"/>
  <c r="CO86" i="38"/>
  <c r="DE86" i="38"/>
  <c r="EA86" i="38" s="1"/>
  <c r="CZ86" i="38"/>
  <c r="DH86" i="38"/>
  <c r="DX86" i="38"/>
  <c r="CV86" i="38"/>
  <c r="DR86" i="38" s="1"/>
  <c r="DV86" i="38" s="1"/>
  <c r="CX86" i="38"/>
  <c r="CR86" i="38"/>
  <c r="CN86" i="38"/>
  <c r="DF86" i="38"/>
  <c r="CL86" i="38"/>
  <c r="DD86" i="38"/>
  <c r="DZ86" i="38" s="1"/>
  <c r="EC85" i="38"/>
  <c r="BW84" i="38"/>
  <c r="CE84" i="38" s="1"/>
  <c r="EB85" i="38"/>
  <c r="BV84" i="38"/>
  <c r="CD84" i="38" s="1"/>
  <c r="BR86" i="38" l="1"/>
  <c r="BS86" i="38"/>
  <c r="BW85" i="38"/>
  <c r="CE85" i="38" s="1"/>
  <c r="CZ87" i="38"/>
  <c r="DH87" i="38"/>
  <c r="DX87" i="38"/>
  <c r="CX87" i="38"/>
  <c r="DF87" i="38"/>
  <c r="CV87" i="38"/>
  <c r="DR87" i="38" s="1"/>
  <c r="DV87" i="38" s="1"/>
  <c r="CL87" i="38"/>
  <c r="DD87" i="38"/>
  <c r="DZ87" i="38" s="1"/>
  <c r="CN87" i="38"/>
  <c r="CR87" i="38"/>
  <c r="EB86" i="38"/>
  <c r="DA87" i="38"/>
  <c r="DI87" i="38"/>
  <c r="DY87" i="38"/>
  <c r="CS87" i="38"/>
  <c r="DG87" i="38"/>
  <c r="CY87" i="38"/>
  <c r="DE87" i="38"/>
  <c r="EA87" i="38" s="1"/>
  <c r="CO87" i="38"/>
  <c r="CW87" i="38"/>
  <c r="DS87" i="38" s="1"/>
  <c r="DW87" i="38" s="1"/>
  <c r="CM87" i="38"/>
  <c r="EC86" i="38"/>
  <c r="BV6" i="38"/>
  <c r="CD6" i="38" l="1"/>
  <c r="R32" i="37"/>
  <c r="BR87" i="38"/>
  <c r="BV87" i="38" s="1"/>
  <c r="CD87" i="38" s="1"/>
  <c r="BS87" i="38"/>
  <c r="BV86" i="38"/>
  <c r="CD86" i="38" s="1"/>
  <c r="DA88" i="38"/>
  <c r="DI88" i="38"/>
  <c r="DY88" i="38"/>
  <c r="DE88" i="38"/>
  <c r="EA88" i="38" s="1"/>
  <c r="CW88" i="38"/>
  <c r="DS88" i="38" s="1"/>
  <c r="DW88" i="38" s="1"/>
  <c r="DG88" i="38"/>
  <c r="CY88" i="38"/>
  <c r="CM88" i="38"/>
  <c r="CO88" i="38"/>
  <c r="CS88" i="38"/>
  <c r="EC87" i="38"/>
  <c r="BW86" i="38"/>
  <c r="CE86" i="38" s="1"/>
  <c r="EB87" i="38"/>
  <c r="CZ88" i="38"/>
  <c r="DH88" i="38"/>
  <c r="DX88" i="38"/>
  <c r="DD88" i="38"/>
  <c r="DZ88" i="38" s="1"/>
  <c r="DF88" i="38"/>
  <c r="CX88" i="38"/>
  <c r="CR88" i="38"/>
  <c r="CL88" i="38"/>
  <c r="CN88" i="38"/>
  <c r="CV88" i="38"/>
  <c r="DR88" i="38" s="1"/>
  <c r="DV88" i="38" s="1"/>
  <c r="S32" i="37" l="1"/>
  <c r="N61" i="44"/>
  <c r="O61" i="44" s="1"/>
  <c r="BS88" i="38"/>
  <c r="BR88" i="38"/>
  <c r="BW87" i="38"/>
  <c r="CE87" i="38" s="1"/>
  <c r="DA89" i="38"/>
  <c r="DI89" i="38"/>
  <c r="DY89" i="38"/>
  <c r="CS89" i="38"/>
  <c r="CW89" i="38"/>
  <c r="DS89" i="38" s="1"/>
  <c r="DW89" i="38" s="1"/>
  <c r="CM89" i="38"/>
  <c r="DE89" i="38"/>
  <c r="EA89" i="38" s="1"/>
  <c r="CY89" i="38"/>
  <c r="CO89" i="38"/>
  <c r="DG89" i="38"/>
  <c r="CZ89" i="38"/>
  <c r="DH89" i="38"/>
  <c r="DX89" i="38"/>
  <c r="CX89" i="38"/>
  <c r="CR89" i="38"/>
  <c r="CV89" i="38"/>
  <c r="DR89" i="38" s="1"/>
  <c r="DV89" i="38" s="1"/>
  <c r="CN89" i="38"/>
  <c r="DF89" i="38"/>
  <c r="DD89" i="38"/>
  <c r="DZ89" i="38" s="1"/>
  <c r="CL89" i="38"/>
  <c r="EC88" i="38"/>
  <c r="EB88" i="38"/>
  <c r="BS89" i="38" l="1"/>
  <c r="BR89" i="38"/>
  <c r="BV89" i="38" s="1"/>
  <c r="CD89" i="38" s="1"/>
  <c r="CZ90" i="38"/>
  <c r="DH90" i="38"/>
  <c r="DX90" i="38"/>
  <c r="CL90" i="38"/>
  <c r="DD90" i="38"/>
  <c r="DZ90" i="38" s="1"/>
  <c r="CN90" i="38"/>
  <c r="DF90" i="38"/>
  <c r="CR90" i="38"/>
  <c r="CV90" i="38"/>
  <c r="DR90" i="38" s="1"/>
  <c r="DV90" i="38" s="1"/>
  <c r="CX90" i="38"/>
  <c r="DA90" i="38"/>
  <c r="DI90" i="38"/>
  <c r="DY90" i="38"/>
  <c r="DG90" i="38"/>
  <c r="DE90" i="38"/>
  <c r="EA90" i="38" s="1"/>
  <c r="CY90" i="38"/>
  <c r="CO90" i="38"/>
  <c r="CW90" i="38"/>
  <c r="DS90" i="38" s="1"/>
  <c r="DW90" i="38" s="1"/>
  <c r="CS90" i="38"/>
  <c r="CM90" i="38"/>
  <c r="EB89" i="38"/>
  <c r="BV88" i="38"/>
  <c r="CD88" i="38" s="1"/>
  <c r="EC89" i="38"/>
  <c r="BW88" i="38"/>
  <c r="CE88" i="38" s="1"/>
  <c r="BS90" i="38" l="1"/>
  <c r="BR90" i="38"/>
  <c r="EC90" i="38"/>
  <c r="DA91" i="38"/>
  <c r="DI91" i="38"/>
  <c r="DY91" i="38"/>
  <c r="DG91" i="38"/>
  <c r="CW91" i="38"/>
  <c r="DS91" i="38" s="1"/>
  <c r="DW91" i="38" s="1"/>
  <c r="CM91" i="38"/>
  <c r="CS91" i="38"/>
  <c r="CO91" i="38"/>
  <c r="CY91" i="38"/>
  <c r="DE91" i="38"/>
  <c r="EA91" i="38" s="1"/>
  <c r="EB90" i="38"/>
  <c r="BW89" i="38"/>
  <c r="CE89" i="38" s="1"/>
  <c r="CZ91" i="38"/>
  <c r="DH91" i="38"/>
  <c r="DX91" i="38"/>
  <c r="DF91" i="38"/>
  <c r="DD91" i="38"/>
  <c r="DZ91" i="38" s="1"/>
  <c r="CX91" i="38"/>
  <c r="CV91" i="38"/>
  <c r="DR91" i="38" s="1"/>
  <c r="DV91" i="38" s="1"/>
  <c r="CN91" i="38"/>
  <c r="CL91" i="38"/>
  <c r="CR91" i="38"/>
  <c r="BS91" i="38" l="1"/>
  <c r="BR91" i="38"/>
  <c r="EC91" i="38"/>
  <c r="BV90" i="38"/>
  <c r="CD90" i="38" s="1"/>
  <c r="EB91" i="38"/>
  <c r="CZ92" i="38"/>
  <c r="DH92" i="38"/>
  <c r="DX92" i="38"/>
  <c r="DD92" i="38"/>
  <c r="DZ92" i="38" s="1"/>
  <c r="CV92" i="38"/>
  <c r="DR92" i="38" s="1"/>
  <c r="DV92" i="38" s="1"/>
  <c r="CN92" i="38"/>
  <c r="CL92" i="38"/>
  <c r="DF92" i="38"/>
  <c r="CX92" i="38"/>
  <c r="CR92" i="38"/>
  <c r="BW90" i="38"/>
  <c r="CE90" i="38" s="1"/>
  <c r="DA92" i="38"/>
  <c r="DI92" i="38"/>
  <c r="DY92" i="38"/>
  <c r="DE92" i="38"/>
  <c r="EA92" i="38" s="1"/>
  <c r="CS92" i="38"/>
  <c r="CW92" i="38"/>
  <c r="DS92" i="38" s="1"/>
  <c r="DW92" i="38" s="1"/>
  <c r="CM92" i="38"/>
  <c r="CO92" i="38"/>
  <c r="DG92" i="38"/>
  <c r="CY92" i="38"/>
  <c r="BS92" i="38" l="1"/>
  <c r="BR92" i="38"/>
  <c r="EC92" i="38"/>
  <c r="DA93" i="38"/>
  <c r="DI93" i="38"/>
  <c r="DY93" i="38"/>
  <c r="DE93" i="38"/>
  <c r="EA93" i="38" s="1"/>
  <c r="CO93" i="38"/>
  <c r="CY93" i="38"/>
  <c r="CS93" i="38"/>
  <c r="CW93" i="38"/>
  <c r="DS93" i="38" s="1"/>
  <c r="DW93" i="38" s="1"/>
  <c r="CM93" i="38"/>
  <c r="DG93" i="38"/>
  <c r="CZ93" i="38"/>
  <c r="DH93" i="38"/>
  <c r="DX93" i="38"/>
  <c r="DD93" i="38"/>
  <c r="DZ93" i="38" s="1"/>
  <c r="CV93" i="38"/>
  <c r="DR93" i="38" s="1"/>
  <c r="DV93" i="38" s="1"/>
  <c r="CN93" i="38"/>
  <c r="DF93" i="38"/>
  <c r="CX93" i="38"/>
  <c r="CR93" i="38"/>
  <c r="CL93" i="38"/>
  <c r="EB92" i="38"/>
  <c r="BV91" i="38"/>
  <c r="CD91" i="38" s="1"/>
  <c r="BW91" i="38"/>
  <c r="CE91" i="38" s="1"/>
  <c r="BS93" i="38" l="1"/>
  <c r="BR93" i="38"/>
  <c r="EC93" i="38"/>
  <c r="BV92" i="38"/>
  <c r="CD92" i="38" s="1"/>
  <c r="BW92" i="38"/>
  <c r="CE92" i="38" s="1"/>
  <c r="EB93" i="38"/>
  <c r="CZ94" i="38"/>
  <c r="DH94" i="38"/>
  <c r="DX94" i="38"/>
  <c r="DD94" i="38"/>
  <c r="DZ94" i="38" s="1"/>
  <c r="CV94" i="38"/>
  <c r="DR94" i="38" s="1"/>
  <c r="DV94" i="38" s="1"/>
  <c r="DF94" i="38"/>
  <c r="CX94" i="38"/>
  <c r="CL94" i="38"/>
  <c r="CN94" i="38"/>
  <c r="CR94" i="38"/>
  <c r="DA94" i="38"/>
  <c r="DI94" i="38"/>
  <c r="DY94" i="38"/>
  <c r="CS94" i="38"/>
  <c r="CO94" i="38"/>
  <c r="CM94" i="38"/>
  <c r="DE94" i="38"/>
  <c r="EA94" i="38" s="1"/>
  <c r="CY94" i="38"/>
  <c r="DG94" i="38"/>
  <c r="CW94" i="38"/>
  <c r="DS94" i="38" s="1"/>
  <c r="DW94" i="38" s="1"/>
  <c r="BR94" i="38" l="1"/>
  <c r="BS94" i="38"/>
  <c r="CZ95" i="38"/>
  <c r="DH95" i="38"/>
  <c r="DX95" i="38"/>
  <c r="DF95" i="38"/>
  <c r="CR95" i="38"/>
  <c r="CN95" i="38"/>
  <c r="DD95" i="38"/>
  <c r="DZ95" i="38" s="1"/>
  <c r="CX95" i="38"/>
  <c r="CV95" i="38"/>
  <c r="DR95" i="38" s="1"/>
  <c r="DV95" i="38" s="1"/>
  <c r="CL95" i="38"/>
  <c r="DA95" i="38"/>
  <c r="DI95" i="38"/>
  <c r="DY95" i="38"/>
  <c r="CW95" i="38"/>
  <c r="DS95" i="38" s="1"/>
  <c r="DW95" i="38" s="1"/>
  <c r="DG95" i="38"/>
  <c r="CY95" i="38"/>
  <c r="CS95" i="38"/>
  <c r="DE95" i="38"/>
  <c r="EA95" i="38" s="1"/>
  <c r="CO95" i="38"/>
  <c r="CM95" i="38"/>
  <c r="EB94" i="38"/>
  <c r="EC94" i="38"/>
  <c r="BW93" i="38"/>
  <c r="CE93" i="38" s="1"/>
  <c r="BV93" i="38"/>
  <c r="CD93" i="38" s="1"/>
  <c r="BR95" i="38" l="1"/>
  <c r="BS95" i="38"/>
  <c r="EB95" i="38"/>
  <c r="BV94" i="38"/>
  <c r="CD94" i="38" s="1"/>
  <c r="CZ96" i="38"/>
  <c r="DH96" i="38"/>
  <c r="DX96" i="38"/>
  <c r="CR96" i="38"/>
  <c r="CN96" i="38"/>
  <c r="CL96" i="38"/>
  <c r="CX96" i="38"/>
  <c r="DD96" i="38"/>
  <c r="DZ96" i="38" s="1"/>
  <c r="CV96" i="38"/>
  <c r="DR96" i="38" s="1"/>
  <c r="DV96" i="38" s="1"/>
  <c r="DF96" i="38"/>
  <c r="DA96" i="38"/>
  <c r="DI96" i="38"/>
  <c r="DY96" i="38"/>
  <c r="DE96" i="38"/>
  <c r="EA96" i="38" s="1"/>
  <c r="CY96" i="38"/>
  <c r="CO96" i="38"/>
  <c r="CM96" i="38"/>
  <c r="DG96" i="38"/>
  <c r="CS96" i="38"/>
  <c r="CW96" i="38"/>
  <c r="DS96" i="38" s="1"/>
  <c r="DW96" i="38" s="1"/>
  <c r="BW94" i="38"/>
  <c r="CE94" i="38" s="1"/>
  <c r="EC95" i="38"/>
  <c r="BS96" i="38" l="1"/>
  <c r="BR96" i="38"/>
  <c r="EC96" i="38"/>
  <c r="BW95" i="38"/>
  <c r="CE95" i="38" s="1"/>
  <c r="BV95" i="38"/>
  <c r="CD95" i="38" s="1"/>
  <c r="CZ97" i="38"/>
  <c r="DH97" i="38"/>
  <c r="DX97" i="38"/>
  <c r="DD97" i="38"/>
  <c r="DZ97" i="38" s="1"/>
  <c r="CV97" i="38"/>
  <c r="DR97" i="38" s="1"/>
  <c r="DV97" i="38" s="1"/>
  <c r="CL97" i="38"/>
  <c r="CR97" i="38"/>
  <c r="DF97" i="38"/>
  <c r="CX97" i="38"/>
  <c r="CN97" i="38"/>
  <c r="DA97" i="38"/>
  <c r="DI97" i="38"/>
  <c r="DY97" i="38"/>
  <c r="DG97" i="38"/>
  <c r="CO97" i="38"/>
  <c r="DE97" i="38"/>
  <c r="EA97" i="38" s="1"/>
  <c r="CY97" i="38"/>
  <c r="CW97" i="38"/>
  <c r="DS97" i="38" s="1"/>
  <c r="DW97" i="38" s="1"/>
  <c r="CM97" i="38"/>
  <c r="CS97" i="38"/>
  <c r="EB96" i="38"/>
  <c r="BS97" i="38" l="1"/>
  <c r="BR97" i="38"/>
  <c r="CZ98" i="38"/>
  <c r="DH98" i="38"/>
  <c r="DX98" i="38"/>
  <c r="DD98" i="38"/>
  <c r="DZ98" i="38" s="1"/>
  <c r="CR98" i="38"/>
  <c r="CL98" i="38"/>
  <c r="CV98" i="38"/>
  <c r="DR98" i="38" s="1"/>
  <c r="DV98" i="38" s="1"/>
  <c r="DF98" i="38"/>
  <c r="CN98" i="38"/>
  <c r="CX98" i="38"/>
  <c r="BV96" i="38"/>
  <c r="CD96" i="38" s="1"/>
  <c r="BW96" i="38"/>
  <c r="CE96" i="38" s="1"/>
  <c r="DA98" i="38"/>
  <c r="DI98" i="38"/>
  <c r="DY98" i="38"/>
  <c r="CO98" i="38"/>
  <c r="DG98" i="38"/>
  <c r="DE98" i="38"/>
  <c r="EA98" i="38" s="1"/>
  <c r="CY98" i="38"/>
  <c r="CS98" i="38"/>
  <c r="CM98" i="38"/>
  <c r="CW98" i="38"/>
  <c r="DS98" i="38" s="1"/>
  <c r="DW98" i="38" s="1"/>
  <c r="EB97" i="38"/>
  <c r="EC97" i="38"/>
  <c r="BR98" i="38" l="1"/>
  <c r="BS98" i="38"/>
  <c r="EC98" i="38"/>
  <c r="BV97" i="38"/>
  <c r="CD97" i="38" s="1"/>
  <c r="BW97" i="38"/>
  <c r="CE97" i="38" s="1"/>
  <c r="DA99" i="38"/>
  <c r="DI99" i="38"/>
  <c r="DY99" i="38"/>
  <c r="DG99" i="38"/>
  <c r="DE99" i="38"/>
  <c r="EA99" i="38" s="1"/>
  <c r="CY99" i="38"/>
  <c r="CO99" i="38"/>
  <c r="CW99" i="38"/>
  <c r="DS99" i="38" s="1"/>
  <c r="DW99" i="38" s="1"/>
  <c r="CM99" i="38"/>
  <c r="CS99" i="38"/>
  <c r="EB98" i="38"/>
  <c r="CZ99" i="38"/>
  <c r="DH99" i="38"/>
  <c r="DX99" i="38"/>
  <c r="CR99" i="38"/>
  <c r="CL99" i="38"/>
  <c r="CV99" i="38"/>
  <c r="DR99" i="38" s="1"/>
  <c r="DV99" i="38" s="1"/>
  <c r="CX99" i="38"/>
  <c r="CN99" i="38"/>
  <c r="DD99" i="38"/>
  <c r="DZ99" i="38" s="1"/>
  <c r="DF99" i="38"/>
  <c r="BS99" i="38" l="1"/>
  <c r="BR99" i="38"/>
  <c r="CZ100" i="38"/>
  <c r="DH100" i="38"/>
  <c r="DX100" i="38"/>
  <c r="CX100" i="38"/>
  <c r="CR100" i="38"/>
  <c r="CV100" i="38"/>
  <c r="DR100" i="38" s="1"/>
  <c r="DV100" i="38" s="1"/>
  <c r="CN100" i="38"/>
  <c r="DF100" i="38"/>
  <c r="DD100" i="38"/>
  <c r="DZ100" i="38" s="1"/>
  <c r="CL100" i="38"/>
  <c r="DA100" i="38"/>
  <c r="DI100" i="38"/>
  <c r="DY100" i="38"/>
  <c r="CO100" i="38"/>
  <c r="CM100" i="38"/>
  <c r="DE100" i="38"/>
  <c r="EA100" i="38" s="1"/>
  <c r="CW100" i="38"/>
  <c r="DS100" i="38" s="1"/>
  <c r="DW100" i="38" s="1"/>
  <c r="DG100" i="38"/>
  <c r="CS100" i="38"/>
  <c r="CY100" i="38"/>
  <c r="EB99" i="38"/>
  <c r="EC99" i="38"/>
  <c r="BW98" i="38"/>
  <c r="CE98" i="38" s="1"/>
  <c r="BV98" i="38"/>
  <c r="CD98" i="38" s="1"/>
  <c r="BR100" i="38" l="1"/>
  <c r="BV100" i="38" s="1"/>
  <c r="CD100" i="38" s="1"/>
  <c r="BS100" i="38"/>
  <c r="EC100" i="38"/>
  <c r="BW99" i="38"/>
  <c r="CE99" i="38" s="1"/>
  <c r="CZ101" i="38"/>
  <c r="DH101" i="38"/>
  <c r="DX101" i="38"/>
  <c r="CN101" i="38"/>
  <c r="DD101" i="38"/>
  <c r="DZ101" i="38" s="1"/>
  <c r="DF101" i="38"/>
  <c r="CX101" i="38"/>
  <c r="CR101" i="38"/>
  <c r="CV101" i="38"/>
  <c r="DR101" i="38" s="1"/>
  <c r="DV101" i="38" s="1"/>
  <c r="CL101" i="38"/>
  <c r="BV99" i="38"/>
  <c r="CD99" i="38" s="1"/>
  <c r="DA101" i="38"/>
  <c r="DI101" i="38"/>
  <c r="DY101" i="38"/>
  <c r="CS101" i="38"/>
  <c r="CM101" i="38"/>
  <c r="DE101" i="38"/>
  <c r="EA101" i="38" s="1"/>
  <c r="CY101" i="38"/>
  <c r="CW101" i="38"/>
  <c r="DS101" i="38" s="1"/>
  <c r="DW101" i="38" s="1"/>
  <c r="CO101" i="38"/>
  <c r="DG101" i="38"/>
  <c r="EB100" i="38"/>
  <c r="BS101" i="38" l="1"/>
  <c r="BR101" i="38"/>
  <c r="DA102" i="38"/>
  <c r="DI102" i="38"/>
  <c r="DY102" i="38"/>
  <c r="CW102" i="38"/>
  <c r="DS102" i="38" s="1"/>
  <c r="DW102" i="38" s="1"/>
  <c r="DE102" i="38"/>
  <c r="EA102" i="38" s="1"/>
  <c r="DG102" i="38"/>
  <c r="CY102" i="38"/>
  <c r="CS102" i="38"/>
  <c r="CO102" i="38"/>
  <c r="CM102" i="38"/>
  <c r="EC101" i="38"/>
  <c r="CZ102" i="38"/>
  <c r="DH102" i="38"/>
  <c r="DX102" i="38"/>
  <c r="CN102" i="38"/>
  <c r="CV102" i="38"/>
  <c r="DR102" i="38" s="1"/>
  <c r="DV102" i="38" s="1"/>
  <c r="DF102" i="38"/>
  <c r="CX102" i="38"/>
  <c r="CR102" i="38"/>
  <c r="DD102" i="38"/>
  <c r="DZ102" i="38" s="1"/>
  <c r="CL102" i="38"/>
  <c r="EB101" i="38"/>
  <c r="BW100" i="38"/>
  <c r="CE100" i="38" s="1"/>
  <c r="BR102" i="38" l="1"/>
  <c r="BS102" i="38"/>
  <c r="CZ103" i="38"/>
  <c r="DH103" i="38"/>
  <c r="DX103" i="38"/>
  <c r="DF103" i="38"/>
  <c r="DD103" i="38"/>
  <c r="DZ103" i="38" s="1"/>
  <c r="CX103" i="38"/>
  <c r="CR103" i="38"/>
  <c r="CV103" i="38"/>
  <c r="DR103" i="38" s="1"/>
  <c r="DV103" i="38" s="1"/>
  <c r="CL103" i="38"/>
  <c r="CN103" i="38"/>
  <c r="DA103" i="38"/>
  <c r="DI103" i="38"/>
  <c r="DY103" i="38"/>
  <c r="CS103" i="38"/>
  <c r="CM103" i="38"/>
  <c r="DE103" i="38"/>
  <c r="EA103" i="38" s="1"/>
  <c r="CW103" i="38"/>
  <c r="DS103" i="38" s="1"/>
  <c r="DW103" i="38" s="1"/>
  <c r="CO103" i="38"/>
  <c r="CY103" i="38"/>
  <c r="DG103" i="38"/>
  <c r="EB102" i="38"/>
  <c r="EC102" i="38"/>
  <c r="BV101" i="38"/>
  <c r="CD101" i="38" s="1"/>
  <c r="BW101" i="38"/>
  <c r="CE101" i="38" s="1"/>
  <c r="BS103" i="38" l="1"/>
  <c r="BR103" i="38"/>
  <c r="EB103" i="38"/>
  <c r="DA104" i="38"/>
  <c r="DI104" i="38"/>
  <c r="DY104" i="38"/>
  <c r="CY104" i="38"/>
  <c r="CW104" i="38"/>
  <c r="DS104" i="38" s="1"/>
  <c r="DW104" i="38" s="1"/>
  <c r="CO104" i="38"/>
  <c r="CS104" i="38"/>
  <c r="CM104" i="38"/>
  <c r="DG104" i="38"/>
  <c r="DE104" i="38"/>
  <c r="EA104" i="38" s="1"/>
  <c r="BV102" i="38"/>
  <c r="CD102" i="38" s="1"/>
  <c r="EC103" i="38"/>
  <c r="BW102" i="38"/>
  <c r="CE102" i="38" s="1"/>
  <c r="CZ104" i="38"/>
  <c r="DH104" i="38"/>
  <c r="DX104" i="38"/>
  <c r="CX104" i="38"/>
  <c r="CN104" i="38"/>
  <c r="CV104" i="38"/>
  <c r="DR104" i="38" s="1"/>
  <c r="DV104" i="38" s="1"/>
  <c r="DD104" i="38"/>
  <c r="DZ104" i="38" s="1"/>
  <c r="CR104" i="38"/>
  <c r="CL104" i="38"/>
  <c r="DF104" i="38"/>
  <c r="BR104" i="38" l="1"/>
  <c r="BS104" i="38"/>
  <c r="CZ105" i="38"/>
  <c r="DH105" i="38"/>
  <c r="DX105" i="38"/>
  <c r="DF105" i="38"/>
  <c r="DD105" i="38"/>
  <c r="DZ105" i="38" s="1"/>
  <c r="CR105" i="38"/>
  <c r="CL105" i="38"/>
  <c r="CX105" i="38"/>
  <c r="CV105" i="38"/>
  <c r="DR105" i="38" s="1"/>
  <c r="DV105" i="38" s="1"/>
  <c r="CN105" i="38"/>
  <c r="BV103" i="38"/>
  <c r="CD103" i="38" s="1"/>
  <c r="EC104" i="38"/>
  <c r="EB104" i="38"/>
  <c r="BW103" i="38"/>
  <c r="CE103" i="38" s="1"/>
  <c r="DA105" i="38"/>
  <c r="DI105" i="38"/>
  <c r="DY105" i="38"/>
  <c r="CM105" i="38"/>
  <c r="CO105" i="38"/>
  <c r="CS105" i="38"/>
  <c r="CY105" i="38"/>
  <c r="DE105" i="38"/>
  <c r="EA105" i="38" s="1"/>
  <c r="DG105" i="38"/>
  <c r="CW105" i="38"/>
  <c r="DS105" i="38" s="1"/>
  <c r="DW105" i="38" s="1"/>
  <c r="BR105" i="38" l="1"/>
  <c r="BS105" i="38"/>
  <c r="DA106" i="38"/>
  <c r="DI106" i="38"/>
  <c r="DY106" i="38"/>
  <c r="DE106" i="38"/>
  <c r="EA106" i="38" s="1"/>
  <c r="CW106" i="38"/>
  <c r="DS106" i="38" s="1"/>
  <c r="DW106" i="38" s="1"/>
  <c r="CM106" i="38"/>
  <c r="CO106" i="38"/>
  <c r="CY106" i="38"/>
  <c r="DG106" i="38"/>
  <c r="CS106" i="38"/>
  <c r="BW104" i="38"/>
  <c r="CE104" i="38" s="1"/>
  <c r="CZ106" i="38"/>
  <c r="DH106" i="38"/>
  <c r="DX106" i="38"/>
  <c r="DF106" i="38"/>
  <c r="CX106" i="38"/>
  <c r="CN106" i="38"/>
  <c r="DD106" i="38"/>
  <c r="DZ106" i="38" s="1"/>
  <c r="CV106" i="38"/>
  <c r="DR106" i="38" s="1"/>
  <c r="DV106" i="38" s="1"/>
  <c r="CL106" i="38"/>
  <c r="CR106" i="38"/>
  <c r="EC105" i="38"/>
  <c r="EB105" i="38"/>
  <c r="BV104" i="38"/>
  <c r="CD104" i="38" s="1"/>
  <c r="BS106" i="38" l="1"/>
  <c r="BR106" i="38"/>
  <c r="BW105" i="38"/>
  <c r="CE105" i="38" s="1"/>
  <c r="EB106" i="38"/>
  <c r="BV105" i="38"/>
  <c r="CD105" i="38" s="1"/>
  <c r="EC106" i="38"/>
  <c r="BW106" i="38" l="1"/>
  <c r="BV106" i="38"/>
  <c r="CD106" i="38" s="1"/>
  <c r="CE106" i="38" l="1"/>
  <c r="R18" i="37"/>
  <c r="S18" i="37" l="1"/>
  <c r="T18" i="37" s="1"/>
  <c r="N54" i="44"/>
  <c r="O54" i="44" s="1"/>
  <c r="O64" i="44" s="1"/>
  <c r="O66" i="44" s="1"/>
  <c r="O68" i="44" s="1"/>
  <c r="O69" i="44" l="1"/>
  <c r="O70" i="44" s="1"/>
  <c r="O74" i="44" l="1"/>
  <c r="O75" i="44" s="1"/>
</calcChain>
</file>

<file path=xl/sharedStrings.xml><?xml version="1.0" encoding="utf-8"?>
<sst xmlns="http://schemas.openxmlformats.org/spreadsheetml/2006/main" count="606" uniqueCount="308">
  <si>
    <t>Hombres</t>
  </si>
  <si>
    <t>Mujeres</t>
  </si>
  <si>
    <t>Estado</t>
  </si>
  <si>
    <t>CIUDAD DE MEXICO</t>
  </si>
  <si>
    <t>Nivel Hospitalario</t>
  </si>
  <si>
    <t xml:space="preserve">Tabulador Honorarios </t>
  </si>
  <si>
    <t xml:space="preserve">Suma Asegurada </t>
  </si>
  <si>
    <t>Deducible</t>
  </si>
  <si>
    <t>Coaseguro</t>
  </si>
  <si>
    <t>EDAD</t>
  </si>
  <si>
    <t>DEDUCIBLE</t>
  </si>
  <si>
    <t>PLUS</t>
  </si>
  <si>
    <t>Edad</t>
  </si>
  <si>
    <t>TOTAL</t>
  </si>
  <si>
    <t>Factor</t>
  </si>
  <si>
    <t>AGUASCALIENTES</t>
  </si>
  <si>
    <t>BAJA CALIFORNIA NORTE</t>
  </si>
  <si>
    <t>BAJA CALIFORNIA SUR</t>
  </si>
  <si>
    <t>CAMPECHE</t>
  </si>
  <si>
    <t>COAHUILA</t>
  </si>
  <si>
    <t>COLIMA</t>
  </si>
  <si>
    <t>CHIAPAS</t>
  </si>
  <si>
    <t>CHIHUAHUA</t>
  </si>
  <si>
    <t>GUANAJUATO</t>
  </si>
  <si>
    <t>GUERRERO</t>
  </si>
  <si>
    <t>HIDALGO</t>
  </si>
  <si>
    <t>MICHOACAN</t>
  </si>
  <si>
    <t>NAYARIT</t>
  </si>
  <si>
    <t>NUEVO LEON</t>
  </si>
  <si>
    <t>OAXACA</t>
  </si>
  <si>
    <t>PUEBLA</t>
  </si>
  <si>
    <t>QUERETARO</t>
  </si>
  <si>
    <t>QUINTANA ROO</t>
  </si>
  <si>
    <t>SAN LUIS POTOSI</t>
  </si>
  <si>
    <t>SINALOA</t>
  </si>
  <si>
    <t>SONORA</t>
  </si>
  <si>
    <t>TABASCO</t>
  </si>
  <si>
    <t>TAMAULIPAS</t>
  </si>
  <si>
    <t>TLAXCALA</t>
  </si>
  <si>
    <t>VERACRUZ</t>
  </si>
  <si>
    <t>YUCATAN</t>
  </si>
  <si>
    <t>ZACATECAS</t>
  </si>
  <si>
    <t>EXTRANJERO</t>
  </si>
  <si>
    <t>ELITE</t>
  </si>
  <si>
    <t>ESTANDAR</t>
  </si>
  <si>
    <t>GUADALAJARA</t>
  </si>
  <si>
    <t>SA</t>
  </si>
  <si>
    <t>GASTO ADMON</t>
  </si>
  <si>
    <t>UTILIDAD</t>
  </si>
  <si>
    <t>MULTIREGIÓN</t>
  </si>
  <si>
    <t>Medicamentos Fuera del Hospital</t>
  </si>
  <si>
    <t>Eliminación de Deducible por Accidente</t>
  </si>
  <si>
    <t>COBERTURA INTERNACIONAL</t>
  </si>
  <si>
    <t>AYUDA DIARIA POR HOSPITALIZACIÓN</t>
  </si>
  <si>
    <t>ENFERMEDADES GRAVES EN EL EXTRANJERO</t>
  </si>
  <si>
    <t>MEDICAMENTOS FUERA DEL HOSPITAL</t>
  </si>
  <si>
    <t>ELIMINACIÓN DE DEDUCIBLE POR ACCIDENTE</t>
  </si>
  <si>
    <t>AMPLIACIÓN DE SERVICIOS</t>
  </si>
  <si>
    <t>MATERNIDAD PLUS</t>
  </si>
  <si>
    <t>PADECIMIENTOS PREEXISTENTES DECLARADOS</t>
  </si>
  <si>
    <t>EMERGENCIA MÉDICA EN EL EXTRANJERO</t>
  </si>
  <si>
    <t>INDEMNIZACIÓN ENFERMEDADES GRAVES</t>
  </si>
  <si>
    <t>COMPLICACIONES DE TRATMIENTOS NO AMPARADOS</t>
  </si>
  <si>
    <t>ANUAL</t>
  </si>
  <si>
    <t/>
  </si>
  <si>
    <t>FPAGO</t>
  </si>
  <si>
    <t>TASA</t>
  </si>
  <si>
    <t>RECIBOS</t>
  </si>
  <si>
    <t>SEMESTRAL</t>
  </si>
  <si>
    <t>TRIMESTRAL</t>
  </si>
  <si>
    <t>MENSUAL*</t>
  </si>
  <si>
    <t xml:space="preserve">                                                                                                          </t>
  </si>
  <si>
    <t>DATOS DEL CONTRATANTE</t>
  </si>
  <si>
    <t>TASA PAGO FRACCIONADO</t>
  </si>
  <si>
    <t>Nombre:</t>
  </si>
  <si>
    <t>Domicilio:</t>
  </si>
  <si>
    <t>Estado:</t>
  </si>
  <si>
    <t>ASEGURADO</t>
  </si>
  <si>
    <t>COBERTURAS BASICAS</t>
  </si>
  <si>
    <t>COBERTURAS OPCIONALES</t>
  </si>
  <si>
    <t>PRIMA NETA</t>
  </si>
  <si>
    <t>IVA</t>
  </si>
  <si>
    <t>NOTAS IMPORTANTES</t>
  </si>
  <si>
    <t xml:space="preserve">Valor </t>
  </si>
  <si>
    <t>Bx+ Plus</t>
  </si>
  <si>
    <t>Paso 1.- Capturar datos especificos de los asegurados.</t>
  </si>
  <si>
    <t>Paso 2.- Elegir parámetros.</t>
  </si>
  <si>
    <t>Paso 3.- Elegir coberturas.</t>
  </si>
  <si>
    <t>Fecha :</t>
  </si>
  <si>
    <t>Folio:</t>
  </si>
  <si>
    <t>TITULAR</t>
  </si>
  <si>
    <t>DEPENDIENTE 2</t>
  </si>
  <si>
    <t>DEPENDIENTE 3</t>
  </si>
  <si>
    <t>DEPENDIENTE 4</t>
  </si>
  <si>
    <t xml:space="preserve"> </t>
  </si>
  <si>
    <t>DEPENDIENTE 5</t>
  </si>
  <si>
    <t xml:space="preserve">FORMA DE PAGO </t>
  </si>
  <si>
    <t>RECONOCIMIENTO DE ANTIGÜEDAD</t>
  </si>
  <si>
    <t xml:space="preserve">Hombre </t>
  </si>
  <si>
    <t>Mujer</t>
  </si>
  <si>
    <t xml:space="preserve">Prima de Riesgo </t>
  </si>
  <si>
    <t>Suma Asegurada</t>
  </si>
  <si>
    <t xml:space="preserve">Factor </t>
  </si>
  <si>
    <t xml:space="preserve">Deducible </t>
  </si>
  <si>
    <t xml:space="preserve">Entidad </t>
  </si>
  <si>
    <t xml:space="preserve">Region </t>
  </si>
  <si>
    <t xml:space="preserve">Nivel </t>
  </si>
  <si>
    <t>Tabulador</t>
  </si>
  <si>
    <t xml:space="preserve">Zona </t>
  </si>
  <si>
    <t>Gastos</t>
  </si>
  <si>
    <t xml:space="preserve">Porcentaje </t>
  </si>
  <si>
    <t>GASTO ADQUIS</t>
  </si>
  <si>
    <t>PLATA- 50,000</t>
  </si>
  <si>
    <t>PALADIO-60,000</t>
  </si>
  <si>
    <t>OSMIO-80,000</t>
  </si>
  <si>
    <t>IRIDIO-90,000</t>
  </si>
  <si>
    <t>ORO-110,000</t>
  </si>
  <si>
    <t>PLATINO-120,000</t>
  </si>
  <si>
    <t>Porcentaje Gastos</t>
  </si>
  <si>
    <t>Factor Suma Asegurada</t>
  </si>
  <si>
    <t xml:space="preserve">Factor Deducible </t>
  </si>
  <si>
    <t xml:space="preserve">Factor Coaseguro </t>
  </si>
  <si>
    <t xml:space="preserve">Factor Region </t>
  </si>
  <si>
    <t xml:space="preserve">Factor Nivel Hospitalario </t>
  </si>
  <si>
    <t>Factor Tabulador Honorarios</t>
  </si>
  <si>
    <t>Forma</t>
  </si>
  <si>
    <t>Tasa Forma de Pago</t>
  </si>
  <si>
    <t xml:space="preserve">Factor Medicamentos Fuera del Hospital </t>
  </si>
  <si>
    <t>Factor de Padecimientos Preexistentes</t>
  </si>
  <si>
    <t>Factor de Complicaciones No Amparados</t>
  </si>
  <si>
    <t>Suma Asegurada Maternidad Plus</t>
  </si>
  <si>
    <t>Factor Maternidad</t>
  </si>
  <si>
    <t>Region</t>
  </si>
  <si>
    <t>Factor Eliminacion de Deducible</t>
  </si>
  <si>
    <t>Factor Emergencia Medica en el Extranjero</t>
  </si>
  <si>
    <t>Factor Enfermedades Graves en el Extranjero</t>
  </si>
  <si>
    <t>Factor ampliacion de Servicios</t>
  </si>
  <si>
    <t>Factor Ayuda Diaria por Hosp</t>
  </si>
  <si>
    <t>Factor Indemnizacion Enfermedades Graves</t>
  </si>
  <si>
    <t>Factor Beneficio Angeles</t>
  </si>
  <si>
    <t>Factor Reconocimiento de Antigüedad</t>
  </si>
  <si>
    <t xml:space="preserve">GENERADOR DE TARIFA </t>
  </si>
  <si>
    <t>Elegibles</t>
  </si>
  <si>
    <t>Coberturas Adicionales</t>
  </si>
  <si>
    <t xml:space="preserve">TARIFA FINAL </t>
  </si>
  <si>
    <t>BASICA</t>
  </si>
  <si>
    <t>MEDICAMENTOS FUERA DE HOSPITAL</t>
  </si>
  <si>
    <t>COMPLICACIONES DE TRATAMIENTOS NO AMPARADOS</t>
  </si>
  <si>
    <t>ELIMINACION DE DEDUCIBLE</t>
  </si>
  <si>
    <t>EMERGENCIA MEDICA EN EL EXTRANJERA</t>
  </si>
  <si>
    <t xml:space="preserve">ENFEREMEDADES GRAVES EN EL EXTRANJERO </t>
  </si>
  <si>
    <t>AYUDA DIARIA POR HOSPITALIZACION</t>
  </si>
  <si>
    <t>AMPLIACION DE SERVICIOS</t>
  </si>
  <si>
    <t>INDEMINIZACION ENFERMEDADES GRAVES</t>
  </si>
  <si>
    <t>RECONOCIMIENTO ANTIGÜEDAD</t>
  </si>
  <si>
    <t>TOTAL ADICIONALES</t>
  </si>
  <si>
    <t xml:space="preserve"> FACTORES COBERTURAS BASICA</t>
  </si>
  <si>
    <t xml:space="preserve">FACTORES COBERTURAS ADICIONALES </t>
  </si>
  <si>
    <t>Factor Zona (Basica)</t>
  </si>
  <si>
    <t>ZONA</t>
  </si>
  <si>
    <t>Factor Multiregion Nota Tecnica</t>
  </si>
  <si>
    <t>Factor Multiregion Carga</t>
  </si>
  <si>
    <t>MULTIREGION CARGA</t>
  </si>
  <si>
    <t>MULTIREGION Nota Tecnica</t>
  </si>
  <si>
    <t>Factor Cobertura Internacional Nota Tecnica</t>
  </si>
  <si>
    <t>Factor Cobertura Internacional Carga</t>
  </si>
  <si>
    <t xml:space="preserve">Ayuda Diaria por Hospitalizacion </t>
  </si>
  <si>
    <t>Número de días promedio de hospitalización</t>
  </si>
  <si>
    <t>Probabilidad acumulada de permanecer hospitalizado "x" número de días</t>
  </si>
  <si>
    <t>DE</t>
  </si>
  <si>
    <t>DC</t>
  </si>
  <si>
    <t>P</t>
  </si>
  <si>
    <t>PRADH</t>
  </si>
  <si>
    <t>PRG</t>
  </si>
  <si>
    <t>FADH</t>
  </si>
  <si>
    <t>COBERTURA INTERNACIONAL Nota Tecnica</t>
  </si>
  <si>
    <t>BENFICIO HOSPITALARIO VIP</t>
  </si>
  <si>
    <t>BENEFICIO HOSPITALARIO VIP</t>
  </si>
  <si>
    <t>No Aplica</t>
  </si>
  <si>
    <t>COBERTURAS ADICIONALES CON COSTO</t>
  </si>
  <si>
    <t xml:space="preserve">Reconocimiento de Antigüedad </t>
  </si>
  <si>
    <t>Complicaciones de Tratamientos no Amparados</t>
  </si>
  <si>
    <t xml:space="preserve">Padecimientos Preexistentes Declarados </t>
  </si>
  <si>
    <t xml:space="preserve">Ampliación de Servicios </t>
  </si>
  <si>
    <t>Emergencia Médica en el extranjero</t>
  </si>
  <si>
    <t>Beneficio Hospitalario VIP</t>
  </si>
  <si>
    <t xml:space="preserve">Enfermedades Graves en el extranjero </t>
  </si>
  <si>
    <t xml:space="preserve">Cobertura Internacional </t>
  </si>
  <si>
    <t xml:space="preserve">Multiregion </t>
  </si>
  <si>
    <t>Indemnización de Enfermedades Graves</t>
  </si>
  <si>
    <t xml:space="preserve">Ayuda Diaria por Hospitalización </t>
  </si>
  <si>
    <t>Prima de Tarifa</t>
  </si>
  <si>
    <t>DOMICILIO  DE LOS ASEGURADOS</t>
  </si>
  <si>
    <t>Fecha de cotización:</t>
  </si>
  <si>
    <t>No. De Folio:</t>
  </si>
  <si>
    <t>Nombre del Agente/Clave:</t>
  </si>
  <si>
    <t>Nombre completo o razón social:</t>
  </si>
  <si>
    <t>C.P:</t>
  </si>
  <si>
    <t>COBERTURAS</t>
  </si>
  <si>
    <t>Coberturas</t>
  </si>
  <si>
    <t>Básica</t>
  </si>
  <si>
    <t>DATOS DE LOS ASEGURADOS</t>
  </si>
  <si>
    <t>Moneda:</t>
  </si>
  <si>
    <t>Moneda Nacional</t>
  </si>
  <si>
    <t>Prima Neta Total</t>
  </si>
  <si>
    <t>Forma de pago:</t>
  </si>
  <si>
    <t>Descuentos</t>
  </si>
  <si>
    <t>Recargo por Pago Fraccionado</t>
  </si>
  <si>
    <t>Derecho de Póliza</t>
  </si>
  <si>
    <t>Subtotal</t>
  </si>
  <si>
    <t>Prima Total</t>
  </si>
  <si>
    <t>No. De recibos según forma de pago</t>
  </si>
  <si>
    <t>Monto del primer recibo</t>
  </si>
  <si>
    <t>1. La presente cotización tiene vigencia de 30 días contados a partir de la fecha de cotización y no será válida sin el sello o firma del Agente de Seguros.</t>
  </si>
  <si>
    <t>2. La aceptación de los Asegurados está sujeta a las políticas de suscripción vigentes de la compañía.</t>
  </si>
  <si>
    <t>3. Las coberturas amparadas en la presente cotización están sujetas a las Condiciones Generales registradas ante la CNSF.</t>
  </si>
  <si>
    <t>4. Esta cotización es de carácter ilustrativa y no forma parte del contrato de seguro y se considerará únicamente a las personas y coberturas señaladas en este documento, por lo que no se garantiza la emisión de la póliza de seguro ni los términos y condiciones aquí sugeridos .</t>
  </si>
  <si>
    <t>Nombre del Asegurado</t>
  </si>
  <si>
    <t>Sexo</t>
  </si>
  <si>
    <t>Prima Neta
Cobertura Básica</t>
  </si>
  <si>
    <t>Prima Neta
Coberturas Adicionales</t>
  </si>
  <si>
    <t>Prima  Neta Total</t>
  </si>
  <si>
    <t xml:space="preserve">DOMICILIO DE LOS ASEGURADOS </t>
  </si>
  <si>
    <t>CARACTERÍSTICAS DEL PLAN</t>
  </si>
  <si>
    <t>Nivel Hospitalario:</t>
  </si>
  <si>
    <t>Tabulador de Honorarios:</t>
  </si>
  <si>
    <t>Suma Asegurada:</t>
  </si>
  <si>
    <t>Deducible :</t>
  </si>
  <si>
    <t>Coaseguro:</t>
  </si>
  <si>
    <t>SERVICIOS DE ASISTENCIA</t>
  </si>
  <si>
    <t>Servicios de Asistencia Bx+</t>
  </si>
  <si>
    <t xml:space="preserve">Asistencia al viajero </t>
  </si>
  <si>
    <t>Servicio Dental Básico</t>
  </si>
  <si>
    <t>Incluido</t>
  </si>
  <si>
    <t xml:space="preserve">Cotización de Seguro </t>
  </si>
  <si>
    <t>FECHA RECONOCIMIENTO DE ANTIGÜEDAD</t>
  </si>
  <si>
    <t>DEPENDIENTE 1</t>
  </si>
  <si>
    <t xml:space="preserve">Fecha Reconocimiento de Antigüedad </t>
  </si>
  <si>
    <t>Firma del Agente</t>
  </si>
  <si>
    <t>dd/mm/aaaa</t>
  </si>
  <si>
    <t>Numero de recibos:</t>
  </si>
  <si>
    <t>DURANGO</t>
  </si>
  <si>
    <t>MORELOS</t>
  </si>
  <si>
    <t>ESTADO DE MEXICO</t>
  </si>
  <si>
    <t>Suma de Maternidad</t>
  </si>
  <si>
    <t>SEXO</t>
  </si>
  <si>
    <t>NOMBRE</t>
  </si>
  <si>
    <t>Alcance/Suma Asegurada</t>
  </si>
  <si>
    <t>Amparada</t>
  </si>
  <si>
    <t>MULTIREGION NOTA TECNICA</t>
  </si>
  <si>
    <t>Factor 3</t>
  </si>
  <si>
    <t>Diferencias entre NT y Carga</t>
  </si>
  <si>
    <t>Multregion</t>
  </si>
  <si>
    <t>CV. MUNCP</t>
  </si>
  <si>
    <t>NOMBRE DEL MUNICIPIO</t>
  </si>
  <si>
    <t>ACATLAN DE JUAREZ</t>
  </si>
  <si>
    <t>PONCITLAN</t>
  </si>
  <si>
    <t>AMATITAN</t>
  </si>
  <si>
    <t>SAN CRISTOBAL DE LA BARRANCA</t>
  </si>
  <si>
    <t>CHAPALA</t>
  </si>
  <si>
    <t>TALA</t>
  </si>
  <si>
    <t>COCULA</t>
  </si>
  <si>
    <t>TEQUILA</t>
  </si>
  <si>
    <t>CUQUIO</t>
  </si>
  <si>
    <t>TIZAPAN EL ALTO</t>
  </si>
  <si>
    <t>EL ARENAL</t>
  </si>
  <si>
    <t>TLAJOMULCO DE ZUNIGA</t>
  </si>
  <si>
    <t>EL SALTO</t>
  </si>
  <si>
    <t>TLAQUEPAQUE</t>
  </si>
  <si>
    <t>TONALA</t>
  </si>
  <si>
    <t>HOSTOTIPAQUILLO</t>
  </si>
  <si>
    <t>TUXCUECA</t>
  </si>
  <si>
    <t>IXTLAHUACAN DE LOS MEMBRILLOS</t>
  </si>
  <si>
    <t>VILLA CORONA</t>
  </si>
  <si>
    <t>IXTLAHUACAN DEL RIO</t>
  </si>
  <si>
    <t>ZAPOPAN</t>
  </si>
  <si>
    <t>JOCOTEPEC</t>
  </si>
  <si>
    <t>ZAPOTLAN DEL REY</t>
  </si>
  <si>
    <t>JUANACATLAN</t>
  </si>
  <si>
    <t>ZAPOTLANEJO</t>
  </si>
  <si>
    <t>JALISCO 1(GUADALAJARA Y ALEDAÑOS)</t>
  </si>
  <si>
    <t>JALISCO 2 ( RESTO JALISCO)</t>
  </si>
  <si>
    <t>MUNICIPIOS A LOS QUE APLICA TARIFA JALISCO 1 ( GUADALAJARA Y ALEDAÑOS)</t>
  </si>
  <si>
    <t>LA MANZANILLA DE LA PAZ</t>
  </si>
  <si>
    <t>COBERTURA INTERNACIONAL Carga Sistema</t>
  </si>
  <si>
    <t>COBERTURA INTERNACIONAL CARGA SISTEMA</t>
  </si>
  <si>
    <t>Maternidad (No aplica para hombres)</t>
  </si>
  <si>
    <t>Tope de coaseguro:</t>
  </si>
  <si>
    <t xml:space="preserve">Tope Coaseguro </t>
  </si>
  <si>
    <t>Tope</t>
  </si>
  <si>
    <t>DEPENDIENTE 6</t>
  </si>
  <si>
    <t>DEPENDIENTE 7</t>
  </si>
  <si>
    <t>Xtensuz Bx+</t>
  </si>
  <si>
    <t>XTENSUZ BX+ BASICA</t>
  </si>
  <si>
    <t>XTENSUZ BX+ ADICIONALES</t>
  </si>
  <si>
    <t>Factor de Xtensuz Bx+</t>
  </si>
  <si>
    <t>XTENZUS BX+</t>
  </si>
  <si>
    <t>BIMESTRAL</t>
  </si>
  <si>
    <t>Tipo de cotización:</t>
  </si>
  <si>
    <t>Vigencia de la cotización:</t>
  </si>
  <si>
    <t>Factor Multiregion Sistema</t>
  </si>
  <si>
    <t>FACTOR SISTEMA</t>
  </si>
  <si>
    <t>FACTOR NT</t>
  </si>
  <si>
    <t>*Se recalculan para cuadre contra SABE</t>
  </si>
  <si>
    <t>*No cargado en sistema (No se utiliza)</t>
  </si>
  <si>
    <t>*No cargado en sistema (Se utiliza el de zona 3)</t>
  </si>
  <si>
    <t>*No cargado en sistema (Se utiliza el de zona 5)</t>
  </si>
  <si>
    <t>Únikuz Bx+  2022. Versión: 30/06/2022 v6.2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</si>
</sst>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7">
    <numFmt numFmtId="6" formatCode="&quot;$&quot;#,##0;[Red]\-&quot;$&quot;#,##0"/>
    <numFmt numFmtId="7" formatCode="&quot;$&quot;#,##0.00;\-&quot;$&quot;#,##0.00"/>
    <numFmt numFmtId="42" formatCode="_-&quot;$&quot;* #,##0_-;\-&quot;$&quot;* #,##0_-;_-&quot;$&quot;* &quot;-&quot;_-;_-@_-"/>
    <numFmt numFmtId="44" formatCode="_-&quot;$&quot;* #,##0.00_-;\-&quot;$&quot;* #,##0.00_-;_-&quot;$&quot;* &quot;-&quot;??_-;_-@_-"/>
    <numFmt numFmtId="43" formatCode="_-* #,##0.00_-;\-* #,##0.00_-;_-* &quot;-&quot;??_-;_-@_-"/>
    <numFmt numFmtId="164" formatCode="0.0000"/>
    <numFmt numFmtId="165" formatCode="_-* #,##0_-;\-* #,##0_-;_-* &quot;-&quot;??_-;_-@_-"/>
    <numFmt numFmtId="166" formatCode="0.00000"/>
    <numFmt numFmtId="167" formatCode="&quot;$&quot;#,##0"/>
    <numFmt numFmtId="168" formatCode="&quot;$&quot;#,##0.00"/>
    <numFmt numFmtId="169" formatCode="[$$-409]#,##0"/>
    <numFmt numFmtId="170" formatCode="_-* #,##0.00000_-;\-* #,##0.00000_-;_-* &quot;-&quot;??_-;_-@_-"/>
    <numFmt numFmtId="171" formatCode="#,##0.0000"/>
    <numFmt numFmtId="172" formatCode="0.000"/>
    <numFmt numFmtId="173" formatCode="#,##0.000000"/>
    <numFmt numFmtId="174" formatCode="#,##0.00000"/>
    <numFmt numFmtId="175" formatCode="_-* #,##0.000_-;\-* #,##0.000_-;_-* &quot;-&quot;??_-;_-@_-"/>
  </numFmts>
  <fonts count="9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9"/>
      <color rgb="FF1F497D"/>
      <name val="Century Gothic"/>
      <family val="2"/>
    </font>
    <font>
      <b/>
      <sz val="10"/>
      <name val="Arial"/>
      <family val="2"/>
    </font>
    <font>
      <b/>
      <sz val="9"/>
      <color theme="0"/>
      <name val="Century Gothic"/>
      <family val="2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2"/>
      <color rgb="FF00379A"/>
      <name val="Arial"/>
      <family val="2"/>
    </font>
    <font>
      <b/>
      <sz val="18"/>
      <color indexed="8"/>
      <name val="Calibri"/>
      <family val="2"/>
    </font>
    <font>
      <sz val="10"/>
      <color rgb="FF00379A"/>
      <name val="Arial"/>
      <family val="2"/>
    </font>
    <font>
      <b/>
      <sz val="10"/>
      <color rgb="FF3BB0C9"/>
      <name val="Arial"/>
      <family val="2"/>
    </font>
    <font>
      <b/>
      <sz val="10"/>
      <color theme="3"/>
      <name val="Arial"/>
      <family val="2"/>
    </font>
    <font>
      <b/>
      <sz val="8"/>
      <color indexed="8"/>
      <name val="Arial"/>
      <family val="2"/>
    </font>
    <font>
      <sz val="8"/>
      <color indexed="8"/>
      <name val="Arial"/>
      <family val="2"/>
    </font>
    <font>
      <b/>
      <sz val="11"/>
      <color rgb="FF3BB0C9"/>
      <name val="Arial"/>
      <family val="2"/>
    </font>
    <font>
      <sz val="10"/>
      <color theme="1"/>
      <name val="Calibri"/>
      <family val="2"/>
      <scheme val="minor"/>
    </font>
    <font>
      <sz val="10"/>
      <color rgb="FF3BB0C9"/>
      <name val="Arial"/>
      <family val="2"/>
    </font>
    <font>
      <sz val="11"/>
      <color rgb="FF575959"/>
      <name val="Calibri"/>
      <family val="2"/>
      <scheme val="minor"/>
    </font>
    <font>
      <b/>
      <sz val="11"/>
      <color indexed="8"/>
      <name val="Calibri"/>
      <family val="2"/>
    </font>
    <font>
      <sz val="10"/>
      <color theme="0"/>
      <name val="Arial"/>
      <family val="2"/>
    </font>
    <font>
      <sz val="11"/>
      <color rgb="FF575959"/>
      <name val="Arial"/>
      <family val="2"/>
    </font>
    <font>
      <b/>
      <sz val="11"/>
      <color rgb="FF575959"/>
      <name val="Calibri"/>
      <family val="2"/>
    </font>
    <font>
      <b/>
      <sz val="11"/>
      <color rgb="FF575959"/>
      <name val="Arial"/>
      <family val="2"/>
    </font>
    <font>
      <sz val="8"/>
      <color rgb="FF3BB0C9"/>
      <name val="Arial"/>
      <family val="2"/>
    </font>
    <font>
      <b/>
      <sz val="11"/>
      <color indexed="12"/>
      <name val="Arial"/>
      <family val="2"/>
    </font>
    <font>
      <sz val="11"/>
      <color indexed="8"/>
      <name val="Arial"/>
      <family val="2"/>
    </font>
    <font>
      <b/>
      <sz val="11"/>
      <color indexed="10"/>
      <name val="Arial"/>
      <family val="2"/>
    </font>
    <font>
      <b/>
      <sz val="11"/>
      <color indexed="10"/>
      <name val="Calibri"/>
      <family val="2"/>
    </font>
    <font>
      <b/>
      <sz val="11"/>
      <color indexed="8"/>
      <name val="Arial"/>
      <family val="2"/>
    </font>
    <font>
      <i/>
      <sz val="11"/>
      <color indexed="8"/>
      <name val="Arial"/>
      <family val="2"/>
    </font>
    <font>
      <b/>
      <sz val="11"/>
      <name val="Arial"/>
      <family val="2"/>
    </font>
    <font>
      <b/>
      <sz val="8"/>
      <color indexed="56"/>
      <name val="Arial"/>
      <family val="2"/>
    </font>
    <font>
      <b/>
      <u/>
      <sz val="13"/>
      <color indexed="12"/>
      <name val="Arial"/>
      <family val="2"/>
    </font>
    <font>
      <sz val="13"/>
      <color indexed="8"/>
      <name val="Arial"/>
      <family val="2"/>
    </font>
    <font>
      <b/>
      <sz val="11"/>
      <color indexed="12"/>
      <name val="Calibri"/>
      <family val="2"/>
    </font>
    <font>
      <b/>
      <sz val="12"/>
      <color indexed="8"/>
      <name val="Arial"/>
      <family val="2"/>
    </font>
    <font>
      <sz val="12"/>
      <color indexed="8"/>
      <name val="Arial"/>
      <family val="2"/>
    </font>
    <font>
      <b/>
      <sz val="12"/>
      <color indexed="12"/>
      <name val="Arial"/>
      <family val="2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8"/>
      <name val="Calibri"/>
      <family val="2"/>
      <scheme val="minor"/>
    </font>
    <font>
      <sz val="14"/>
      <color rgb="FF3333FF"/>
      <name val="Calibri"/>
      <family val="2"/>
      <scheme val="minor"/>
    </font>
    <font>
      <b/>
      <sz val="10"/>
      <color theme="0" tint="-0.499984740745262"/>
      <name val="Arial"/>
      <family val="2"/>
    </font>
    <font>
      <b/>
      <sz val="12"/>
      <color theme="3"/>
      <name val="Calibri"/>
      <family val="2"/>
    </font>
    <font>
      <sz val="11"/>
      <color theme="3"/>
      <name val="Calibri"/>
      <family val="2"/>
      <scheme val="minor"/>
    </font>
    <font>
      <sz val="10"/>
      <color theme="0" tint="-0.499984740745262"/>
      <name val="Arial"/>
      <family val="2"/>
    </font>
    <font>
      <b/>
      <sz val="11"/>
      <color theme="0" tint="-0.499984740745262"/>
      <name val="Arial"/>
      <family val="2"/>
    </font>
    <font>
      <sz val="11"/>
      <color theme="0" tint="-0.499984740745262"/>
      <name val="Calibri"/>
      <family val="2"/>
      <scheme val="minor"/>
    </font>
    <font>
      <sz val="11"/>
      <name val="Tahoma"/>
      <family val="2"/>
    </font>
    <font>
      <sz val="11"/>
      <color rgb="FF3BB0C9"/>
      <name val="Calibri"/>
      <family val="2"/>
      <scheme val="minor"/>
    </font>
    <font>
      <sz val="11"/>
      <color indexed="8"/>
      <name val="Calibri"/>
      <family val="2"/>
    </font>
    <font>
      <sz val="8"/>
      <color rgb="FF000000"/>
      <name val="Segoe UI"/>
      <family val="2"/>
    </font>
    <font>
      <sz val="11"/>
      <color rgb="FFD2D3D4"/>
      <name val="Calibri"/>
      <family val="2"/>
      <scheme val="minor"/>
    </font>
    <font>
      <sz val="11"/>
      <color rgb="FF000000"/>
      <name val="Calibri"/>
      <family val="2"/>
    </font>
    <font>
      <sz val="9"/>
      <color theme="1"/>
      <name val="Calibri"/>
      <family val="2"/>
      <scheme val="minor"/>
    </font>
    <font>
      <b/>
      <sz val="8"/>
      <color theme="0"/>
      <name val="Calibri"/>
      <family val="2"/>
      <scheme val="minor"/>
    </font>
    <font>
      <b/>
      <sz val="22"/>
      <color theme="0"/>
      <name val="Calibri"/>
      <family val="2"/>
      <scheme val="minor"/>
    </font>
    <font>
      <sz val="22"/>
      <color theme="0"/>
      <name val="Calibri"/>
      <family val="2"/>
      <scheme val="minor"/>
    </font>
    <font>
      <b/>
      <sz val="28"/>
      <color theme="0"/>
      <name val="Calibri"/>
      <family val="2"/>
      <scheme val="minor"/>
    </font>
    <font>
      <b/>
      <sz val="11"/>
      <color rgb="FF1F497D"/>
      <name val="Calibri"/>
      <family val="2"/>
    </font>
    <font>
      <b/>
      <sz val="11"/>
      <color theme="3"/>
      <name val="Calibri"/>
      <family val="2"/>
      <scheme val="minor"/>
    </font>
    <font>
      <b/>
      <sz val="10"/>
      <color theme="1"/>
      <name val="Arial"/>
      <family val="2"/>
    </font>
    <font>
      <b/>
      <sz val="9"/>
      <name val="Calibri"/>
      <family val="2"/>
      <scheme val="minor"/>
    </font>
    <font>
      <sz val="11"/>
      <name val="Arial"/>
      <family val="2"/>
    </font>
    <font>
      <b/>
      <sz val="18"/>
      <color theme="1"/>
      <name val="Calibri"/>
      <family val="2"/>
      <scheme val="minor"/>
    </font>
    <font>
      <b/>
      <sz val="11"/>
      <color theme="1"/>
      <name val="Arial"/>
      <family val="2"/>
    </font>
    <font>
      <sz val="11"/>
      <color theme="1"/>
      <name val="Arial"/>
      <family val="2"/>
    </font>
    <font>
      <sz val="8"/>
      <color theme="1"/>
      <name val="Calibri"/>
      <family val="2"/>
      <scheme val="minor"/>
    </font>
    <font>
      <b/>
      <sz val="8"/>
      <color theme="0" tint="-0.499984740745262"/>
      <name val="Arial"/>
      <family val="2"/>
    </font>
    <font>
      <b/>
      <sz val="14"/>
      <color theme="3"/>
      <name val="Berlin Sans FB Demi"/>
      <family val="2"/>
    </font>
    <font>
      <sz val="10"/>
      <name val="Century Gothic"/>
      <family val="2"/>
    </font>
    <font>
      <b/>
      <sz val="11"/>
      <color theme="1"/>
      <name val="Malgun Gothic"/>
      <family val="2"/>
    </font>
    <font>
      <b/>
      <sz val="10"/>
      <color theme="0"/>
      <name val="Arial"/>
      <family val="2"/>
    </font>
    <font>
      <b/>
      <sz val="9"/>
      <color theme="1"/>
      <name val="Malgun Gothic"/>
      <family val="2"/>
    </font>
    <font>
      <b/>
      <sz val="8"/>
      <color theme="1"/>
      <name val="Malgun Gothic"/>
      <family val="2"/>
    </font>
    <font>
      <b/>
      <sz val="8"/>
      <name val="Century Gothic"/>
      <family val="2"/>
    </font>
    <font>
      <b/>
      <sz val="11"/>
      <name val="Malgun Gothic"/>
      <family val="2"/>
    </font>
    <font>
      <b/>
      <sz val="10"/>
      <color rgb="FF3BB0C9"/>
      <name val="Malgun Gothic"/>
      <family val="2"/>
    </font>
    <font>
      <b/>
      <sz val="10"/>
      <name val="Century Gothic"/>
      <family val="2"/>
    </font>
    <font>
      <b/>
      <sz val="14"/>
      <color theme="3"/>
      <name val="Malgun Gothic"/>
      <family val="2"/>
    </font>
    <font>
      <b/>
      <sz val="11"/>
      <name val="Candara"/>
      <family val="2"/>
    </font>
    <font>
      <b/>
      <sz val="13"/>
      <color rgb="FF3BB0C9"/>
      <name val="Candara"/>
      <family val="2"/>
    </font>
    <font>
      <b/>
      <sz val="12"/>
      <color theme="1"/>
      <name val="Arial"/>
      <family val="2"/>
    </font>
    <font>
      <sz val="12"/>
      <name val="Arial"/>
      <family val="2"/>
    </font>
    <font>
      <b/>
      <sz val="9"/>
      <name val="Malgun Gothic"/>
      <family val="2"/>
    </font>
    <font>
      <b/>
      <sz val="13"/>
      <name val="Arial"/>
      <family val="2"/>
    </font>
    <font>
      <b/>
      <sz val="11"/>
      <name val="Calibri"/>
      <family val="2"/>
    </font>
    <font>
      <sz val="12"/>
      <color theme="0"/>
      <name val="Calibri"/>
      <family val="2"/>
      <scheme val="minor"/>
    </font>
    <font>
      <sz val="11"/>
      <color rgb="FFFFFFFF"/>
      <name val="Calibri"/>
      <family val="2"/>
      <scheme val="minor"/>
    </font>
    <font>
      <b/>
      <sz val="10"/>
      <color theme="8" tint="-0.249977111117893"/>
      <name val="Arial"/>
      <family val="2"/>
    </font>
  </fonts>
  <fills count="2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C5DA46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rgb="FF333E48"/>
        <bgColor indexed="64"/>
      </patternFill>
    </fill>
    <fill>
      <patternFill patternType="solid">
        <fgColor rgb="FF3BB0C9"/>
        <bgColor indexed="64"/>
      </patternFill>
    </fill>
    <fill>
      <patternFill patternType="solid">
        <fgColor rgb="FFD2D3D4"/>
        <bgColor indexed="64"/>
      </patternFill>
    </fill>
    <fill>
      <patternFill patternType="solid">
        <fgColor rgb="FFEAEAEA"/>
        <bgColor indexed="64"/>
      </patternFill>
    </fill>
    <fill>
      <patternFill patternType="solid">
        <fgColor rgb="FF99A4AE"/>
        <bgColor indexed="64"/>
      </patternFill>
    </fill>
    <fill>
      <patternFill patternType="solid">
        <fgColor rgb="FFDAEEF3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</fills>
  <borders count="51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23"/>
      </left>
      <right style="medium">
        <color indexed="23"/>
      </right>
      <top style="thin">
        <color indexed="23"/>
      </top>
      <bottom style="medium">
        <color indexed="23"/>
      </bottom>
      <diagonal/>
    </border>
    <border>
      <left/>
      <right style="thin">
        <color theme="0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/>
      <right/>
      <top/>
      <bottom style="medium">
        <color auto="1"/>
      </bottom>
      <diagonal/>
    </border>
    <border>
      <left style="dashed">
        <color rgb="FFC5DA46"/>
      </left>
      <right style="dashed">
        <color rgb="FFC5DA46"/>
      </right>
      <top style="dashed">
        <color rgb="FFC5DA46"/>
      </top>
      <bottom style="dashed">
        <color rgb="FFC5DA46"/>
      </bottom>
      <diagonal/>
    </border>
    <border>
      <left style="hair">
        <color theme="3"/>
      </left>
      <right/>
      <top style="hair">
        <color theme="3"/>
      </top>
      <bottom style="hair">
        <color theme="3"/>
      </bottom>
      <diagonal/>
    </border>
    <border>
      <left/>
      <right/>
      <top style="hair">
        <color theme="3"/>
      </top>
      <bottom style="hair">
        <color theme="3"/>
      </bottom>
      <diagonal/>
    </border>
    <border>
      <left/>
      <right style="hair">
        <color theme="3"/>
      </right>
      <top style="hair">
        <color theme="3"/>
      </top>
      <bottom style="hair">
        <color theme="3"/>
      </bottom>
      <diagonal/>
    </border>
    <border>
      <left style="hair">
        <color theme="3"/>
      </left>
      <right style="hair">
        <color theme="3"/>
      </right>
      <top style="hair">
        <color theme="3"/>
      </top>
      <bottom style="hair">
        <color theme="3"/>
      </bottom>
      <diagonal/>
    </border>
    <border>
      <left style="thick">
        <color theme="4" tint="-0.24994659260841701"/>
      </left>
      <right style="thick">
        <color theme="4" tint="-0.24994659260841701"/>
      </right>
      <top style="thick">
        <color theme="4" tint="-0.24994659260841701"/>
      </top>
      <bottom style="thick">
        <color theme="4" tint="-0.24994659260841701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hair">
        <color theme="3"/>
      </left>
      <right style="hair">
        <color theme="3"/>
      </right>
      <top style="hair">
        <color theme="3"/>
      </top>
      <bottom/>
      <diagonal/>
    </border>
    <border>
      <left style="hair">
        <color theme="3"/>
      </left>
      <right style="hair">
        <color theme="3"/>
      </right>
      <top/>
      <bottom/>
      <diagonal/>
    </border>
    <border>
      <left style="hair">
        <color theme="3"/>
      </left>
      <right style="hair">
        <color theme="3"/>
      </right>
      <top/>
      <bottom style="hair">
        <color theme="3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6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2" fillId="0" borderId="0"/>
    <xf numFmtId="0" fontId="1" fillId="0" borderId="0"/>
    <xf numFmtId="43" fontId="51" fillId="0" borderId="0" applyFont="0" applyFill="0" applyBorder="0" applyAlignment="0" applyProtection="0"/>
  </cellStyleXfs>
  <cellXfs count="472">
    <xf numFmtId="0" fontId="0" fillId="0" borderId="0" xfId="0"/>
    <xf numFmtId="0" fontId="3" fillId="3" borderId="8" xfId="3" applyFont="1" applyFill="1" applyBorder="1" applyAlignment="1">
      <alignment horizontal="center" vertical="center" wrapText="1"/>
    </xf>
    <xf numFmtId="0" fontId="20" fillId="2" borderId="0" xfId="0" applyFont="1" applyFill="1" applyBorder="1" applyProtection="1">
      <protection hidden="1"/>
    </xf>
    <xf numFmtId="0" fontId="13" fillId="2" borderId="0" xfId="0" applyFont="1" applyFill="1" applyProtection="1"/>
    <xf numFmtId="0" fontId="14" fillId="2" borderId="0" xfId="0" applyFont="1" applyFill="1" applyProtection="1"/>
    <xf numFmtId="0" fontId="39" fillId="6" borderId="0" xfId="0" applyFont="1" applyFill="1"/>
    <xf numFmtId="0" fontId="39" fillId="7" borderId="0" xfId="0" applyFont="1" applyFill="1" applyAlignment="1">
      <alignment horizontal="center"/>
    </xf>
    <xf numFmtId="2" fontId="0" fillId="8" borderId="0" xfId="0" applyNumberFormat="1" applyFill="1" applyAlignment="1">
      <alignment horizontal="center"/>
    </xf>
    <xf numFmtId="0" fontId="0" fillId="8" borderId="0" xfId="0" applyFill="1" applyAlignment="1">
      <alignment horizontal="right"/>
    </xf>
    <xf numFmtId="0" fontId="0" fillId="0" borderId="0" xfId="0" applyProtection="1"/>
    <xf numFmtId="0" fontId="0" fillId="0" borderId="0" xfId="0" applyBorder="1" applyProtection="1"/>
    <xf numFmtId="0" fontId="9" fillId="0" borderId="0" xfId="0" applyFont="1" applyAlignment="1" applyProtection="1"/>
    <xf numFmtId="0" fontId="40" fillId="0" borderId="0" xfId="0" applyFont="1" applyProtection="1">
      <protection locked="0"/>
    </xf>
    <xf numFmtId="0" fontId="10" fillId="0" borderId="0" xfId="0" applyFont="1" applyProtection="1"/>
    <xf numFmtId="0" fontId="10" fillId="0" borderId="0" xfId="0" applyFont="1" applyBorder="1" applyProtection="1"/>
    <xf numFmtId="0" fontId="17" fillId="0" borderId="0" xfId="0" applyFont="1" applyProtection="1"/>
    <xf numFmtId="0" fontId="7" fillId="0" borderId="0" xfId="0" applyFont="1" applyProtection="1"/>
    <xf numFmtId="0" fontId="2" fillId="0" borderId="0" xfId="0" applyFont="1" applyProtection="1"/>
    <xf numFmtId="0" fontId="2" fillId="0" borderId="0" xfId="0" applyFont="1" applyBorder="1" applyProtection="1"/>
    <xf numFmtId="165" fontId="0" fillId="8" borderId="0" xfId="1" applyNumberFormat="1" applyFont="1" applyFill="1" applyAlignment="1">
      <alignment horizontal="right"/>
    </xf>
    <xf numFmtId="9" fontId="0" fillId="8" borderId="0" xfId="2" applyFont="1" applyFill="1" applyAlignment="1">
      <alignment horizontal="right"/>
    </xf>
    <xf numFmtId="0" fontId="56" fillId="7" borderId="0" xfId="0" applyFont="1" applyFill="1" applyAlignment="1">
      <alignment horizontal="left"/>
    </xf>
    <xf numFmtId="0" fontId="3" fillId="3" borderId="18" xfId="3" applyFont="1" applyFill="1" applyBorder="1" applyAlignment="1">
      <alignment horizontal="center" vertical="center" wrapText="1"/>
    </xf>
    <xf numFmtId="0" fontId="0" fillId="3" borderId="0" xfId="0" applyFill="1"/>
    <xf numFmtId="43" fontId="0" fillId="0" borderId="0" xfId="1" applyFont="1"/>
    <xf numFmtId="165" fontId="0" fillId="0" borderId="0" xfId="1" applyNumberFormat="1" applyFont="1"/>
    <xf numFmtId="43" fontId="0" fillId="0" borderId="0" xfId="1" applyNumberFormat="1" applyFont="1"/>
    <xf numFmtId="43" fontId="0" fillId="0" borderId="0" xfId="0" applyNumberFormat="1"/>
    <xf numFmtId="166" fontId="0" fillId="0" borderId="0" xfId="0" applyNumberFormat="1"/>
    <xf numFmtId="1" fontId="0" fillId="0" borderId="0" xfId="1" applyNumberFormat="1" applyFont="1"/>
    <xf numFmtId="0" fontId="39" fillId="10" borderId="0" xfId="0" applyFont="1" applyFill="1" applyAlignment="1">
      <alignment horizontal="center"/>
    </xf>
    <xf numFmtId="0" fontId="0" fillId="0" borderId="22" xfId="0" applyBorder="1"/>
    <xf numFmtId="43" fontId="0" fillId="0" borderId="22" xfId="1" applyNumberFormat="1" applyFont="1" applyBorder="1"/>
    <xf numFmtId="0" fontId="0" fillId="0" borderId="20" xfId="0" applyBorder="1"/>
    <xf numFmtId="9" fontId="0" fillId="0" borderId="21" xfId="2" applyFont="1" applyBorder="1"/>
    <xf numFmtId="3" fontId="0" fillId="4" borderId="19" xfId="0" applyNumberFormat="1" applyFill="1" applyBorder="1" applyAlignment="1">
      <alignment horizontal="center"/>
    </xf>
    <xf numFmtId="164" fontId="0" fillId="4" borderId="19" xfId="0" applyNumberFormat="1" applyFill="1" applyBorder="1" applyAlignment="1">
      <alignment horizontal="center"/>
    </xf>
    <xf numFmtId="0" fontId="0" fillId="4" borderId="19" xfId="0" applyFill="1" applyBorder="1" applyAlignment="1">
      <alignment horizontal="center"/>
    </xf>
    <xf numFmtId="0" fontId="0" fillId="0" borderId="19" xfId="0" applyBorder="1" applyAlignment="1">
      <alignment horizontal="center"/>
    </xf>
    <xf numFmtId="164" fontId="0" fillId="4" borderId="19" xfId="0" quotePrefix="1" applyNumberFormat="1" applyFill="1" applyBorder="1" applyAlignment="1">
      <alignment horizontal="center"/>
    </xf>
    <xf numFmtId="0" fontId="0" fillId="0" borderId="19" xfId="0" applyBorder="1"/>
    <xf numFmtId="164" fontId="0" fillId="0" borderId="19" xfId="0" applyNumberFormat="1" applyBorder="1"/>
    <xf numFmtId="9" fontId="0" fillId="4" borderId="19" xfId="2" applyFont="1" applyFill="1" applyBorder="1" applyAlignment="1">
      <alignment horizontal="center"/>
    </xf>
    <xf numFmtId="166" fontId="0" fillId="0" borderId="19" xfId="2" applyNumberFormat="1" applyFont="1" applyBorder="1" applyAlignment="1">
      <alignment horizontal="center"/>
    </xf>
    <xf numFmtId="166" fontId="0" fillId="0" borderId="19" xfId="0" applyNumberFormat="1" applyBorder="1" applyAlignment="1">
      <alignment horizontal="center"/>
    </xf>
    <xf numFmtId="43" fontId="0" fillId="0" borderId="19" xfId="1" applyFont="1" applyBorder="1"/>
    <xf numFmtId="170" fontId="0" fillId="0" borderId="19" xfId="1" applyNumberFormat="1" applyFont="1" applyBorder="1"/>
    <xf numFmtId="171" fontId="0" fillId="4" borderId="19" xfId="0" applyNumberFormat="1" applyFill="1" applyBorder="1" applyAlignment="1">
      <alignment horizontal="center"/>
    </xf>
    <xf numFmtId="2" fontId="0" fillId="0" borderId="0" xfId="0" applyNumberFormat="1"/>
    <xf numFmtId="172" fontId="0" fillId="0" borderId="19" xfId="0" applyNumberFormat="1" applyBorder="1"/>
    <xf numFmtId="172" fontId="0" fillId="0" borderId="0" xfId="0" applyNumberFormat="1"/>
    <xf numFmtId="164" fontId="0" fillId="0" borderId="0" xfId="0" applyNumberFormat="1"/>
    <xf numFmtId="0" fontId="60" fillId="11" borderId="23" xfId="0" applyFont="1" applyFill="1" applyBorder="1" applyAlignment="1">
      <alignment horizontal="center" vertical="center" wrapText="1"/>
    </xf>
    <xf numFmtId="0" fontId="60" fillId="11" borderId="24" xfId="0" applyFont="1" applyFill="1" applyBorder="1" applyAlignment="1">
      <alignment horizontal="center" vertical="center" wrapText="1"/>
    </xf>
    <xf numFmtId="3" fontId="54" fillId="11" borderId="25" xfId="0" applyNumberFormat="1" applyFont="1" applyFill="1" applyBorder="1" applyAlignment="1">
      <alignment horizontal="center" vertical="center"/>
    </xf>
    <xf numFmtId="0" fontId="54" fillId="11" borderId="4" xfId="0" applyFont="1" applyFill="1" applyBorder="1" applyAlignment="1">
      <alignment horizontal="center" vertical="center"/>
    </xf>
    <xf numFmtId="3" fontId="54" fillId="0" borderId="25" xfId="0" applyNumberFormat="1" applyFont="1" applyBorder="1" applyAlignment="1">
      <alignment horizontal="center" vertical="center"/>
    </xf>
    <xf numFmtId="0" fontId="54" fillId="0" borderId="4" xfId="0" applyFont="1" applyBorder="1" applyAlignment="1">
      <alignment horizontal="center" vertical="center"/>
    </xf>
    <xf numFmtId="3" fontId="54" fillId="0" borderId="26" xfId="0" applyNumberFormat="1" applyFont="1" applyBorder="1" applyAlignment="1">
      <alignment horizontal="center" vertical="center"/>
    </xf>
    <xf numFmtId="0" fontId="54" fillId="0" borderId="24" xfId="0" applyFont="1" applyBorder="1" applyAlignment="1">
      <alignment horizontal="center" vertical="center"/>
    </xf>
    <xf numFmtId="0" fontId="3" fillId="3" borderId="6" xfId="3" applyFont="1" applyFill="1" applyBorder="1" applyAlignment="1">
      <alignment horizontal="center" vertical="center" wrapText="1"/>
    </xf>
    <xf numFmtId="0" fontId="62" fillId="12" borderId="19" xfId="0" applyFont="1" applyFill="1" applyBorder="1" applyAlignment="1">
      <alignment horizontal="center" vertical="center" wrapText="1"/>
    </xf>
    <xf numFmtId="0" fontId="62" fillId="12" borderId="19" xfId="0" applyFont="1" applyFill="1" applyBorder="1" applyAlignment="1">
      <alignment horizontal="center" vertical="center"/>
    </xf>
    <xf numFmtId="0" fontId="0" fillId="13" borderId="19" xfId="0" applyFill="1" applyBorder="1" applyAlignment="1">
      <alignment horizontal="center"/>
    </xf>
    <xf numFmtId="173" fontId="0" fillId="0" borderId="19" xfId="0" applyNumberFormat="1" applyBorder="1" applyAlignment="1">
      <alignment horizontal="center"/>
    </xf>
    <xf numFmtId="174" fontId="0" fillId="0" borderId="19" xfId="0" applyNumberFormat="1" applyBorder="1" applyAlignment="1">
      <alignment horizontal="center"/>
    </xf>
    <xf numFmtId="164" fontId="0" fillId="0" borderId="19" xfId="2" applyNumberFormat="1" applyFont="1" applyBorder="1" applyAlignment="1">
      <alignment horizontal="center"/>
    </xf>
    <xf numFmtId="165" fontId="0" fillId="0" borderId="19" xfId="1" applyNumberFormat="1" applyFont="1" applyBorder="1" applyAlignment="1">
      <alignment horizontal="center"/>
    </xf>
    <xf numFmtId="1" fontId="0" fillId="0" borderId="19" xfId="2" applyNumberFormat="1" applyFont="1" applyBorder="1" applyAlignment="1">
      <alignment horizontal="center"/>
    </xf>
    <xf numFmtId="166" fontId="0" fillId="14" borderId="19" xfId="2" applyNumberFormat="1" applyFont="1" applyFill="1" applyBorder="1" applyAlignment="1">
      <alignment horizontal="center"/>
    </xf>
    <xf numFmtId="1" fontId="0" fillId="13" borderId="19" xfId="0" applyNumberFormat="1" applyFill="1" applyBorder="1" applyAlignment="1">
      <alignment horizontal="center"/>
    </xf>
    <xf numFmtId="175" fontId="0" fillId="0" borderId="0" xfId="1" applyNumberFormat="1" applyFont="1"/>
    <xf numFmtId="43" fontId="0" fillId="0" borderId="0" xfId="1" applyNumberFormat="1" applyFont="1" applyBorder="1"/>
    <xf numFmtId="49" fontId="0" fillId="8" borderId="0" xfId="0" applyNumberFormat="1" applyFill="1" applyAlignment="1">
      <alignment horizontal="right"/>
    </xf>
    <xf numFmtId="14" fontId="0" fillId="0" borderId="19" xfId="0" applyNumberFormat="1" applyBorder="1" applyAlignment="1" applyProtection="1">
      <alignment horizontal="center" vertical="center"/>
    </xf>
    <xf numFmtId="0" fontId="8" fillId="0" borderId="0" xfId="0" applyFont="1" applyAlignment="1" applyProtection="1"/>
    <xf numFmtId="0" fontId="12" fillId="0" borderId="0" xfId="0" applyFont="1" applyBorder="1" applyAlignment="1" applyProtection="1">
      <alignment horizontal="left" vertical="center"/>
    </xf>
    <xf numFmtId="0" fontId="0" fillId="0" borderId="27" xfId="0" applyBorder="1"/>
    <xf numFmtId="0" fontId="0" fillId="0" borderId="0" xfId="0" applyBorder="1"/>
    <xf numFmtId="0" fontId="0" fillId="0" borderId="28" xfId="0" applyBorder="1"/>
    <xf numFmtId="0" fontId="31" fillId="0" borderId="27" xfId="0" applyFont="1" applyBorder="1" applyAlignment="1" applyProtection="1"/>
    <xf numFmtId="0" fontId="31" fillId="0" borderId="0" xfId="0" applyFont="1" applyBorder="1" applyAlignment="1" applyProtection="1"/>
    <xf numFmtId="0" fontId="67" fillId="0" borderId="0" xfId="0" applyFont="1" applyBorder="1" applyAlignment="1" applyProtection="1">
      <alignment vertical="center"/>
    </xf>
    <xf numFmtId="0" fontId="67" fillId="0" borderId="0" xfId="0" applyFont="1" applyBorder="1" applyAlignment="1" applyProtection="1">
      <alignment horizontal="left" vertical="center"/>
    </xf>
    <xf numFmtId="0" fontId="0" fillId="0" borderId="0" xfId="0" applyBorder="1" applyAlignment="1" applyProtection="1">
      <alignment vertical="center"/>
    </xf>
    <xf numFmtId="0" fontId="2" fillId="0" borderId="0" xfId="0" applyFont="1" applyBorder="1" applyAlignment="1" applyProtection="1">
      <alignment horizontal="center" vertical="center"/>
    </xf>
    <xf numFmtId="0" fontId="2" fillId="0" borderId="28" xfId="0" applyFont="1" applyFill="1" applyBorder="1" applyAlignment="1" applyProtection="1">
      <alignment horizontal="center" vertical="center"/>
    </xf>
    <xf numFmtId="0" fontId="0" fillId="0" borderId="0" xfId="0" applyBorder="1" applyAlignment="1" applyProtection="1">
      <alignment horizontal="center" vertical="center"/>
    </xf>
    <xf numFmtId="0" fontId="2" fillId="0" borderId="0" xfId="0" applyFont="1" applyFill="1" applyBorder="1" applyAlignment="1" applyProtection="1">
      <alignment vertical="center"/>
      <protection hidden="1"/>
    </xf>
    <xf numFmtId="0" fontId="2" fillId="0" borderId="0" xfId="0" applyFont="1" applyFill="1" applyBorder="1" applyAlignment="1" applyProtection="1">
      <alignment horizontal="center" vertical="center"/>
      <protection hidden="1"/>
    </xf>
    <xf numFmtId="14" fontId="2" fillId="0" borderId="28" xfId="0" applyNumberFormat="1" applyFont="1" applyFill="1" applyBorder="1" applyAlignment="1" applyProtection="1">
      <alignment horizontal="center" vertical="center"/>
      <protection hidden="1"/>
    </xf>
    <xf numFmtId="0" fontId="0" fillId="0" borderId="0" xfId="0" applyFill="1" applyBorder="1" applyAlignment="1" applyProtection="1"/>
    <xf numFmtId="0" fontId="6" fillId="0" borderId="27" xfId="0" applyFont="1" applyBorder="1" applyProtection="1"/>
    <xf numFmtId="0" fontId="6" fillId="0" borderId="0" xfId="0" applyFont="1" applyBorder="1" applyProtection="1"/>
    <xf numFmtId="49" fontId="64" fillId="0" borderId="0" xfId="0" applyNumberFormat="1" applyFont="1" applyFill="1" applyBorder="1" applyAlignment="1" applyProtection="1">
      <alignment horizontal="left" vertical="center"/>
      <protection hidden="1"/>
    </xf>
    <xf numFmtId="0" fontId="2" fillId="0" borderId="0" xfId="0" applyFont="1" applyFill="1" applyBorder="1" applyAlignment="1" applyProtection="1">
      <alignment vertical="center"/>
    </xf>
    <xf numFmtId="0" fontId="2" fillId="0" borderId="28" xfId="0" applyFont="1" applyBorder="1" applyAlignment="1" applyProtection="1">
      <alignment vertical="center"/>
    </xf>
    <xf numFmtId="0" fontId="0" fillId="0" borderId="29" xfId="0" applyBorder="1" applyProtection="1"/>
    <xf numFmtId="0" fontId="0" fillId="0" borderId="12" xfId="0" applyBorder="1" applyProtection="1"/>
    <xf numFmtId="49" fontId="64" fillId="0" borderId="12" xfId="0" applyNumberFormat="1" applyFont="1" applyFill="1" applyBorder="1" applyAlignment="1" applyProtection="1">
      <alignment horizontal="left" vertical="center"/>
      <protection hidden="1"/>
    </xf>
    <xf numFmtId="0" fontId="2" fillId="0" borderId="12" xfId="0" applyFont="1" applyFill="1" applyBorder="1" applyAlignment="1" applyProtection="1">
      <alignment vertical="center"/>
      <protection hidden="1"/>
    </xf>
    <xf numFmtId="0" fontId="2" fillId="0" borderId="12" xfId="0" applyFont="1" applyFill="1" applyBorder="1" applyAlignment="1" applyProtection="1">
      <alignment vertical="center"/>
    </xf>
    <xf numFmtId="0" fontId="2" fillId="0" borderId="12" xfId="0" applyFont="1" applyBorder="1" applyAlignment="1" applyProtection="1">
      <alignment horizontal="center" vertical="center"/>
    </xf>
    <xf numFmtId="0" fontId="2" fillId="0" borderId="30" xfId="0" applyFont="1" applyBorder="1" applyAlignment="1" applyProtection="1">
      <alignment vertical="center"/>
    </xf>
    <xf numFmtId="0" fontId="0" fillId="0" borderId="28" xfId="0" applyFill="1" applyBorder="1" applyAlignment="1">
      <alignment vertical="center"/>
    </xf>
    <xf numFmtId="0" fontId="67" fillId="0" borderId="0" xfId="0" applyFont="1" applyFill="1" applyBorder="1" applyAlignment="1">
      <alignment horizontal="center" vertical="center"/>
    </xf>
    <xf numFmtId="0" fontId="0" fillId="0" borderId="0" xfId="0" applyFill="1" applyBorder="1" applyAlignment="1">
      <alignment vertical="center"/>
    </xf>
    <xf numFmtId="0" fontId="31" fillId="0" borderId="0" xfId="0" applyFont="1" applyFill="1" applyBorder="1" applyAlignment="1" applyProtection="1">
      <alignment horizontal="center" vertical="center"/>
    </xf>
    <xf numFmtId="0" fontId="66" fillId="0" borderId="12" xfId="0" applyFont="1" applyFill="1" applyBorder="1" applyAlignment="1"/>
    <xf numFmtId="0" fontId="66" fillId="0" borderId="30" xfId="0" applyFont="1" applyFill="1" applyBorder="1" applyAlignment="1"/>
    <xf numFmtId="0" fontId="66" fillId="0" borderId="31" xfId="0" applyFont="1" applyBorder="1" applyAlignment="1">
      <alignment vertical="center"/>
    </xf>
    <xf numFmtId="0" fontId="67" fillId="0" borderId="32" xfId="0" applyFont="1" applyBorder="1" applyAlignment="1">
      <alignment vertical="center"/>
    </xf>
    <xf numFmtId="0" fontId="67" fillId="0" borderId="33" xfId="0" applyFont="1" applyBorder="1" applyAlignment="1">
      <alignment vertical="center"/>
    </xf>
    <xf numFmtId="0" fontId="67" fillId="0" borderId="31" xfId="0" applyFont="1" applyBorder="1" applyAlignment="1">
      <alignment vertical="center"/>
    </xf>
    <xf numFmtId="0" fontId="67" fillId="0" borderId="27" xfId="0" applyFont="1" applyBorder="1" applyAlignment="1">
      <alignment vertical="center"/>
    </xf>
    <xf numFmtId="0" fontId="67" fillId="0" borderId="0" xfId="0" applyFont="1" applyBorder="1" applyAlignment="1">
      <alignment vertical="center"/>
    </xf>
    <xf numFmtId="0" fontId="67" fillId="0" borderId="28" xfId="0" applyFont="1" applyBorder="1" applyAlignment="1">
      <alignment vertical="center"/>
    </xf>
    <xf numFmtId="0" fontId="67" fillId="0" borderId="0" xfId="0" quotePrefix="1" applyFont="1" applyBorder="1" applyAlignment="1">
      <alignment vertical="center"/>
    </xf>
    <xf numFmtId="0" fontId="67" fillId="0" borderId="29" xfId="0" applyFont="1" applyBorder="1" applyAlignment="1">
      <alignment vertical="center"/>
    </xf>
    <xf numFmtId="0" fontId="67" fillId="0" borderId="12" xfId="0" applyFont="1" applyBorder="1" applyAlignment="1">
      <alignment vertical="center"/>
    </xf>
    <xf numFmtId="0" fontId="67" fillId="0" borderId="30" xfId="0" applyFont="1" applyBorder="1" applyAlignment="1">
      <alignment vertical="center"/>
    </xf>
    <xf numFmtId="0" fontId="16" fillId="0" borderId="0" xfId="0" applyFont="1" applyProtection="1"/>
    <xf numFmtId="0" fontId="16" fillId="0" borderId="0" xfId="0" applyFont="1" applyBorder="1" applyProtection="1"/>
    <xf numFmtId="0" fontId="16" fillId="0" borderId="0" xfId="0" applyFont="1" applyAlignment="1" applyProtection="1">
      <alignment vertical="center"/>
    </xf>
    <xf numFmtId="0" fontId="16" fillId="0" borderId="0" xfId="0" applyFont="1" applyBorder="1" applyAlignment="1" applyProtection="1">
      <alignment vertical="center"/>
    </xf>
    <xf numFmtId="0" fontId="0" fillId="0" borderId="0" xfId="0" applyAlignment="1">
      <alignment vertical="center"/>
    </xf>
    <xf numFmtId="0" fontId="2" fillId="0" borderId="0" xfId="0" applyFont="1" applyProtection="1">
      <protection hidden="1"/>
    </xf>
    <xf numFmtId="0" fontId="2" fillId="0" borderId="0" xfId="0" applyFont="1" applyBorder="1" applyProtection="1">
      <protection hidden="1"/>
    </xf>
    <xf numFmtId="0" fontId="2" fillId="0" borderId="0" xfId="0" applyFont="1" applyBorder="1" applyAlignment="1" applyProtection="1">
      <alignment horizontal="left"/>
      <protection hidden="1"/>
    </xf>
    <xf numFmtId="0" fontId="4" fillId="0" borderId="0" xfId="0" applyFont="1" applyBorder="1" applyAlignment="1" applyProtection="1">
      <protection hidden="1"/>
    </xf>
    <xf numFmtId="0" fontId="2" fillId="0" borderId="0" xfId="0" applyFont="1" applyBorder="1" applyAlignment="1" applyProtection="1">
      <alignment horizontal="center"/>
      <protection hidden="1"/>
    </xf>
    <xf numFmtId="14" fontId="2" fillId="0" borderId="0" xfId="0" applyNumberFormat="1" applyFont="1" applyBorder="1" applyAlignment="1" applyProtection="1">
      <alignment horizontal="center"/>
      <protection hidden="1"/>
    </xf>
    <xf numFmtId="44" fontId="2" fillId="0" borderId="0" xfId="0" applyNumberFormat="1" applyFont="1" applyAlignment="1" applyProtection="1">
      <protection hidden="1"/>
    </xf>
    <xf numFmtId="44" fontId="2" fillId="0" borderId="0" xfId="0" applyNumberFormat="1" applyFont="1" applyBorder="1" applyProtection="1">
      <protection hidden="1"/>
    </xf>
    <xf numFmtId="0" fontId="18" fillId="0" borderId="0" xfId="0" applyFont="1" applyBorder="1" applyProtection="1"/>
    <xf numFmtId="0" fontId="64" fillId="0" borderId="19" xfId="0" applyFont="1" applyBorder="1" applyAlignment="1" applyProtection="1">
      <alignment horizontal="center" vertical="center"/>
      <protection hidden="1"/>
    </xf>
    <xf numFmtId="0" fontId="31" fillId="0" borderId="0" xfId="0" applyFont="1" applyProtection="1">
      <protection hidden="1"/>
    </xf>
    <xf numFmtId="44" fontId="64" fillId="0" borderId="0" xfId="0" applyNumberFormat="1" applyFont="1" applyAlignment="1" applyProtection="1">
      <alignment vertical="center"/>
      <protection hidden="1"/>
    </xf>
    <xf numFmtId="0" fontId="20" fillId="0" borderId="0" xfId="0" applyFont="1" applyFill="1" applyBorder="1" applyProtection="1">
      <protection hidden="1"/>
    </xf>
    <xf numFmtId="9" fontId="20" fillId="0" borderId="0" xfId="2" applyFont="1" applyFill="1" applyBorder="1" applyProtection="1">
      <protection hidden="1"/>
    </xf>
    <xf numFmtId="0" fontId="11" fillId="0" borderId="0" xfId="0" applyFont="1" applyBorder="1" applyAlignment="1" applyProtection="1">
      <alignment horizontal="left"/>
      <protection hidden="1"/>
    </xf>
    <xf numFmtId="0" fontId="11" fillId="0" borderId="0" xfId="0" applyFont="1" applyBorder="1" applyProtection="1">
      <protection hidden="1"/>
    </xf>
    <xf numFmtId="7" fontId="2" fillId="0" borderId="0" xfId="0" applyNumberFormat="1" applyFont="1" applyBorder="1" applyAlignment="1" applyProtection="1">
      <alignment horizontal="center"/>
      <protection hidden="1"/>
    </xf>
    <xf numFmtId="44" fontId="64" fillId="0" borderId="12" xfId="0" applyNumberFormat="1" applyFont="1" applyBorder="1" applyAlignment="1" applyProtection="1">
      <alignment vertical="center"/>
      <protection hidden="1"/>
    </xf>
    <xf numFmtId="168" fontId="2" fillId="0" borderId="0" xfId="0" applyNumberFormat="1" applyFont="1" applyBorder="1" applyAlignment="1" applyProtection="1">
      <alignment horizontal="center"/>
      <protection hidden="1"/>
    </xf>
    <xf numFmtId="44" fontId="2" fillId="0" borderId="0" xfId="0" applyNumberFormat="1" applyFont="1" applyAlignment="1" applyProtection="1">
      <alignment vertical="center"/>
      <protection hidden="1"/>
    </xf>
    <xf numFmtId="44" fontId="64" fillId="0" borderId="0" xfId="0" applyNumberFormat="1" applyFont="1" applyBorder="1" applyAlignment="1" applyProtection="1">
      <alignment horizontal="center" vertical="center"/>
      <protection hidden="1"/>
    </xf>
    <xf numFmtId="0" fontId="2" fillId="0" borderId="12" xfId="0" applyFont="1" applyBorder="1" applyProtection="1"/>
    <xf numFmtId="0" fontId="4" fillId="0" borderId="12" xfId="0" applyFont="1" applyBorder="1" applyProtection="1"/>
    <xf numFmtId="0" fontId="21" fillId="0" borderId="0" xfId="0" applyFont="1" applyBorder="1" applyProtection="1"/>
    <xf numFmtId="0" fontId="22" fillId="0" borderId="0" xfId="0" applyFont="1" applyBorder="1" applyProtection="1"/>
    <xf numFmtId="0" fontId="21" fillId="0" borderId="0" xfId="0" applyFont="1" applyProtection="1"/>
    <xf numFmtId="0" fontId="21" fillId="0" borderId="0" xfId="0" applyFont="1" applyBorder="1" applyAlignment="1" applyProtection="1">
      <alignment horizontal="center"/>
    </xf>
    <xf numFmtId="0" fontId="23" fillId="0" borderId="0" xfId="0" applyFont="1" applyBorder="1" applyAlignment="1" applyProtection="1">
      <alignment horizontal="left"/>
      <protection hidden="1"/>
    </xf>
    <xf numFmtId="0" fontId="23" fillId="0" borderId="0" xfId="0" applyFont="1" applyFill="1" applyBorder="1" applyAlignment="1" applyProtection="1"/>
    <xf numFmtId="44" fontId="23" fillId="0" borderId="0" xfId="0" applyNumberFormat="1" applyFont="1" applyBorder="1" applyProtection="1">
      <protection hidden="1"/>
    </xf>
    <xf numFmtId="0" fontId="24" fillId="0" borderId="0" xfId="0" applyFont="1" applyBorder="1" applyAlignment="1" applyProtection="1">
      <alignment horizontal="right"/>
      <protection hidden="1"/>
    </xf>
    <xf numFmtId="0" fontId="67" fillId="0" borderId="28" xfId="0" applyFont="1" applyFill="1" applyBorder="1" applyAlignment="1">
      <alignment horizontal="left" vertical="center"/>
    </xf>
    <xf numFmtId="0" fontId="31" fillId="0" borderId="0" xfId="0" applyFont="1" applyFill="1" applyBorder="1" applyAlignment="1" applyProtection="1">
      <alignment vertical="center"/>
    </xf>
    <xf numFmtId="0" fontId="65" fillId="0" borderId="0" xfId="0" applyFont="1" applyAlignment="1" applyProtection="1">
      <alignment horizontal="center" vertical="center"/>
    </xf>
    <xf numFmtId="0" fontId="65" fillId="0" borderId="0" xfId="0" applyFont="1" applyAlignment="1" applyProtection="1">
      <alignment vertical="center"/>
    </xf>
    <xf numFmtId="0" fontId="68" fillId="0" borderId="0" xfId="0" applyFont="1" applyProtection="1"/>
    <xf numFmtId="0" fontId="0" fillId="0" borderId="27" xfId="0" applyFill="1" applyBorder="1" applyAlignment="1">
      <alignment vertical="center"/>
    </xf>
    <xf numFmtId="0" fontId="64" fillId="0" borderId="19" xfId="0" applyNumberFormat="1" applyFont="1" applyBorder="1" applyAlignment="1" applyProtection="1">
      <alignment horizontal="center" vertical="center"/>
    </xf>
    <xf numFmtId="0" fontId="64" fillId="0" borderId="19" xfId="0" applyNumberFormat="1" applyFont="1" applyBorder="1" applyAlignment="1" applyProtection="1">
      <alignment horizontal="center" vertical="center"/>
      <protection hidden="1"/>
    </xf>
    <xf numFmtId="44" fontId="64" fillId="0" borderId="19" xfId="0" applyNumberFormat="1" applyFont="1" applyBorder="1" applyAlignment="1" applyProtection="1">
      <alignment horizontal="center" vertical="center"/>
      <protection hidden="1"/>
    </xf>
    <xf numFmtId="49" fontId="67" fillId="0" borderId="0" xfId="0" applyNumberFormat="1" applyFont="1" applyBorder="1" applyAlignment="1" applyProtection="1">
      <alignment horizontal="left" vertical="center"/>
    </xf>
    <xf numFmtId="49" fontId="64" fillId="0" borderId="0" xfId="0" applyNumberFormat="1" applyFont="1" applyFill="1" applyBorder="1" applyAlignment="1" applyProtection="1">
      <alignment vertical="center"/>
      <protection hidden="1"/>
    </xf>
    <xf numFmtId="175" fontId="67" fillId="0" borderId="0" xfId="1" applyNumberFormat="1" applyFont="1" applyFill="1" applyBorder="1" applyAlignment="1">
      <alignment horizontal="left" vertical="center"/>
    </xf>
    <xf numFmtId="175" fontId="67" fillId="0" borderId="28" xfId="1" applyNumberFormat="1" applyFont="1" applyFill="1" applyBorder="1" applyAlignment="1">
      <alignment horizontal="left" vertical="center"/>
    </xf>
    <xf numFmtId="175" fontId="67" fillId="0" borderId="0" xfId="1" applyNumberFormat="1" applyFont="1" applyFill="1" applyBorder="1" applyAlignment="1">
      <alignment vertical="center"/>
    </xf>
    <xf numFmtId="175" fontId="67" fillId="0" borderId="28" xfId="1" applyNumberFormat="1" applyFont="1" applyFill="1" applyBorder="1" applyAlignment="1">
      <alignment vertical="center"/>
    </xf>
    <xf numFmtId="9" fontId="67" fillId="0" borderId="0" xfId="0" applyNumberFormat="1" applyFont="1" applyFill="1" applyBorder="1" applyAlignment="1">
      <alignment horizontal="right" vertical="center"/>
    </xf>
    <xf numFmtId="6" fontId="67" fillId="0" borderId="0" xfId="1" applyNumberFormat="1" applyFont="1" applyBorder="1" applyAlignment="1">
      <alignment vertical="center"/>
    </xf>
    <xf numFmtId="14" fontId="64" fillId="0" borderId="19" xfId="0" applyNumberFormat="1" applyFont="1" applyBorder="1" applyAlignment="1" applyProtection="1">
      <alignment horizontal="center" vertical="center"/>
    </xf>
    <xf numFmtId="6" fontId="67" fillId="0" borderId="0" xfId="1" applyNumberFormat="1" applyFont="1" applyBorder="1" applyAlignment="1">
      <alignment horizontal="center" vertical="center"/>
    </xf>
    <xf numFmtId="6" fontId="67" fillId="0" borderId="28" xfId="1" applyNumberFormat="1" applyFont="1" applyBorder="1" applyAlignment="1">
      <alignment vertical="center"/>
    </xf>
    <xf numFmtId="0" fontId="31" fillId="0" borderId="27" xfId="0" applyFont="1" applyFill="1" applyBorder="1" applyAlignment="1" applyProtection="1">
      <alignment horizontal="left" vertical="center"/>
    </xf>
    <xf numFmtId="0" fontId="31" fillId="0" borderId="0" xfId="0" applyFont="1" applyFill="1" applyBorder="1" applyAlignment="1" applyProtection="1">
      <alignment horizontal="left" vertical="center"/>
    </xf>
    <xf numFmtId="6" fontId="67" fillId="0" borderId="27" xfId="1" applyNumberFormat="1" applyFont="1" applyBorder="1" applyAlignment="1">
      <alignment horizontal="center" vertical="center"/>
    </xf>
    <xf numFmtId="6" fontId="67" fillId="0" borderId="28" xfId="1" applyNumberFormat="1" applyFont="1" applyBorder="1" applyAlignment="1">
      <alignment horizontal="center" vertical="center"/>
    </xf>
    <xf numFmtId="167" fontId="31" fillId="4" borderId="19" xfId="0" applyNumberFormat="1" applyFont="1" applyFill="1" applyBorder="1" applyAlignment="1" applyProtection="1">
      <alignment horizontal="center" vertical="center" wrapText="1"/>
      <protection hidden="1"/>
    </xf>
    <xf numFmtId="167" fontId="31" fillId="4" borderId="21" xfId="0" applyNumberFormat="1" applyFont="1" applyFill="1" applyBorder="1" applyAlignment="1" applyProtection="1">
      <alignment horizontal="center" vertical="center" wrapText="1"/>
      <protection hidden="1"/>
    </xf>
    <xf numFmtId="0" fontId="2" fillId="0" borderId="35" xfId="0" applyFont="1" applyBorder="1" applyProtection="1"/>
    <xf numFmtId="0" fontId="11" fillId="0" borderId="36" xfId="0" applyFont="1" applyBorder="1" applyAlignment="1" applyProtection="1">
      <alignment horizontal="left"/>
      <protection hidden="1"/>
    </xf>
    <xf numFmtId="0" fontId="17" fillId="0" borderId="36" xfId="0" applyFont="1" applyBorder="1" applyProtection="1"/>
    <xf numFmtId="0" fontId="2" fillId="0" borderId="36" xfId="0" applyFont="1" applyBorder="1" applyAlignment="1" applyProtection="1">
      <alignment horizontal="center"/>
      <protection hidden="1"/>
    </xf>
    <xf numFmtId="0" fontId="2" fillId="0" borderId="36" xfId="0" applyFont="1" applyBorder="1" applyProtection="1">
      <protection hidden="1"/>
    </xf>
    <xf numFmtId="0" fontId="4" fillId="0" borderId="36" xfId="0" applyFont="1" applyBorder="1" applyAlignment="1" applyProtection="1">
      <alignment horizontal="left"/>
      <protection hidden="1"/>
    </xf>
    <xf numFmtId="0" fontId="2" fillId="0" borderId="37" xfId="0" applyFont="1" applyBorder="1" applyProtection="1">
      <protection hidden="1"/>
    </xf>
    <xf numFmtId="0" fontId="2" fillId="0" borderId="25" xfId="0" applyFont="1" applyBorder="1" applyProtection="1"/>
    <xf numFmtId="0" fontId="11" fillId="0" borderId="0" xfId="0" applyFont="1" applyBorder="1" applyAlignment="1" applyProtection="1">
      <alignment horizontal="center"/>
      <protection hidden="1"/>
    </xf>
    <xf numFmtId="0" fontId="4" fillId="0" borderId="4" xfId="0" applyFont="1" applyBorder="1" applyAlignment="1" applyProtection="1">
      <protection hidden="1"/>
    </xf>
    <xf numFmtId="0" fontId="17" fillId="0" borderId="0" xfId="0" applyFont="1" applyBorder="1" applyProtection="1">
      <protection hidden="1"/>
    </xf>
    <xf numFmtId="0" fontId="4" fillId="0" borderId="0" xfId="0" applyFont="1" applyBorder="1" applyProtection="1">
      <protection hidden="1"/>
    </xf>
    <xf numFmtId="0" fontId="2" fillId="0" borderId="4" xfId="0" applyFont="1" applyBorder="1" applyProtection="1">
      <protection hidden="1"/>
    </xf>
    <xf numFmtId="0" fontId="0" fillId="0" borderId="25" xfId="0" applyBorder="1"/>
    <xf numFmtId="0" fontId="0" fillId="0" borderId="4" xfId="0" applyBorder="1"/>
    <xf numFmtId="0" fontId="17" fillId="0" borderId="38" xfId="0" applyFont="1" applyBorder="1" applyProtection="1">
      <protection hidden="1"/>
    </xf>
    <xf numFmtId="168" fontId="2" fillId="0" borderId="38" xfId="0" applyNumberFormat="1" applyFont="1" applyBorder="1" applyAlignment="1" applyProtection="1">
      <alignment horizontal="center"/>
      <protection hidden="1"/>
    </xf>
    <xf numFmtId="0" fontId="4" fillId="0" borderId="38" xfId="0" applyFont="1" applyBorder="1" applyProtection="1">
      <protection hidden="1"/>
    </xf>
    <xf numFmtId="0" fontId="2" fillId="0" borderId="38" xfId="0" applyFont="1" applyBorder="1" applyProtection="1">
      <protection hidden="1"/>
    </xf>
    <xf numFmtId="0" fontId="2" fillId="0" borderId="24" xfId="0" applyFont="1" applyBorder="1" applyProtection="1">
      <protection hidden="1"/>
    </xf>
    <xf numFmtId="0" fontId="15" fillId="0" borderId="38" xfId="0" applyFont="1" applyBorder="1" applyProtection="1">
      <protection hidden="1"/>
    </xf>
    <xf numFmtId="0" fontId="31" fillId="0" borderId="26" xfId="0" applyFont="1" applyBorder="1" applyProtection="1"/>
    <xf numFmtId="0" fontId="0" fillId="0" borderId="0" xfId="0" quotePrefix="1"/>
    <xf numFmtId="43" fontId="0" fillId="2" borderId="0" xfId="1" applyFont="1" applyFill="1"/>
    <xf numFmtId="43" fontId="0" fillId="2" borderId="0" xfId="0" applyNumberFormat="1" applyFill="1"/>
    <xf numFmtId="43" fontId="0" fillId="2" borderId="0" xfId="1" applyNumberFormat="1" applyFont="1" applyFill="1"/>
    <xf numFmtId="0" fontId="0" fillId="2" borderId="0" xfId="0" applyFill="1"/>
    <xf numFmtId="44" fontId="0" fillId="0" borderId="0" xfId="0" applyNumberFormat="1" applyProtection="1"/>
    <xf numFmtId="165" fontId="0" fillId="2" borderId="0" xfId="1" applyNumberFormat="1" applyFont="1" applyFill="1" applyBorder="1" applyProtection="1">
      <protection locked="0"/>
    </xf>
    <xf numFmtId="0" fontId="48" fillId="17" borderId="0" xfId="0" applyFont="1" applyFill="1" applyProtection="1"/>
    <xf numFmtId="49" fontId="71" fillId="18" borderId="43" xfId="0" applyNumberFormat="1" applyFont="1" applyFill="1" applyBorder="1" applyAlignment="1" applyProtection="1">
      <protection locked="0"/>
    </xf>
    <xf numFmtId="0" fontId="77" fillId="2" borderId="39" xfId="0" applyFont="1" applyFill="1" applyBorder="1" applyAlignment="1" applyProtection="1">
      <alignment horizontal="right" vertical="center"/>
      <protection locked="0"/>
    </xf>
    <xf numFmtId="165" fontId="77" fillId="2" borderId="39" xfId="1" applyNumberFormat="1" applyFont="1" applyFill="1" applyBorder="1" applyAlignment="1" applyProtection="1">
      <alignment horizontal="right" vertical="center"/>
      <protection locked="0"/>
    </xf>
    <xf numFmtId="9" fontId="77" fillId="2" borderId="39" xfId="2" applyFont="1" applyFill="1" applyBorder="1" applyAlignment="1" applyProtection="1">
      <alignment horizontal="right" vertical="center"/>
      <protection locked="0"/>
    </xf>
    <xf numFmtId="16" fontId="79" fillId="0" borderId="15" xfId="0" applyNumberFormat="1" applyFont="1" applyBorder="1" applyAlignment="1" applyProtection="1">
      <alignment horizontal="left"/>
      <protection locked="0"/>
    </xf>
    <xf numFmtId="0" fontId="79" fillId="0" borderId="15" xfId="0" applyFont="1" applyBorder="1" applyAlignment="1" applyProtection="1">
      <alignment horizontal="left"/>
      <protection locked="0"/>
    </xf>
    <xf numFmtId="1" fontId="71" fillId="2" borderId="15" xfId="0" applyNumberFormat="1" applyFont="1" applyFill="1" applyBorder="1" applyAlignment="1" applyProtection="1">
      <alignment horizontal="center"/>
      <protection locked="0"/>
    </xf>
    <xf numFmtId="0" fontId="79" fillId="0" borderId="15" xfId="0" applyNumberFormat="1" applyFont="1" applyBorder="1" applyAlignment="1" applyProtection="1">
      <alignment horizontal="center"/>
      <protection locked="0"/>
    </xf>
    <xf numFmtId="9" fontId="49" fillId="18" borderId="14" xfId="2" applyFont="1" applyFill="1" applyBorder="1" applyAlignment="1" applyProtection="1">
      <alignment horizontal="center"/>
      <protection locked="0"/>
    </xf>
    <xf numFmtId="0" fontId="0" fillId="19" borderId="0" xfId="0" applyFill="1" applyProtection="1"/>
    <xf numFmtId="0" fontId="26" fillId="19" borderId="0" xfId="0" applyFont="1" applyFill="1" applyProtection="1"/>
    <xf numFmtId="14" fontId="72" fillId="16" borderId="44" xfId="0" applyNumberFormat="1" applyFont="1" applyFill="1" applyBorder="1" applyAlignment="1" applyProtection="1">
      <alignment horizontal="center" vertical="center"/>
    </xf>
    <xf numFmtId="0" fontId="40" fillId="0" borderId="0" xfId="0" applyFont="1" applyProtection="1"/>
    <xf numFmtId="0" fontId="0" fillId="9" borderId="0" xfId="0" applyFill="1" applyProtection="1"/>
    <xf numFmtId="0" fontId="9" fillId="9" borderId="0" xfId="0" applyFont="1" applyFill="1" applyAlignment="1" applyProtection="1">
      <alignment horizontal="center"/>
    </xf>
    <xf numFmtId="0" fontId="8" fillId="0" borderId="0" xfId="0" applyFont="1" applyAlignment="1" applyProtection="1">
      <alignment horizontal="center"/>
    </xf>
    <xf numFmtId="0" fontId="42" fillId="0" borderId="0" xfId="0" applyFont="1" applyProtection="1"/>
    <xf numFmtId="0" fontId="73" fillId="0" borderId="0" xfId="0" applyFont="1" applyAlignment="1" applyProtection="1">
      <alignment horizontal="left" vertical="center"/>
    </xf>
    <xf numFmtId="0" fontId="8" fillId="0" borderId="0" xfId="0" applyFont="1" applyFill="1" applyAlignment="1" applyProtection="1">
      <alignment horizontal="center"/>
    </xf>
    <xf numFmtId="9" fontId="0" fillId="0" borderId="0" xfId="0" applyNumberFormat="1" applyProtection="1"/>
    <xf numFmtId="0" fontId="70" fillId="0" borderId="0" xfId="0" applyFont="1" applyBorder="1" applyAlignment="1" applyProtection="1">
      <alignment horizontal="left" vertical="center"/>
    </xf>
    <xf numFmtId="0" fontId="44" fillId="0" borderId="0" xfId="0" applyFont="1" applyAlignment="1" applyProtection="1">
      <alignment vertical="center"/>
    </xf>
    <xf numFmtId="0" fontId="17" fillId="0" borderId="0" xfId="0" applyFont="1" applyBorder="1" applyProtection="1"/>
    <xf numFmtId="49" fontId="71" fillId="2" borderId="0" xfId="0" applyNumberFormat="1" applyFont="1" applyFill="1" applyBorder="1" applyAlignment="1" applyProtection="1">
      <alignment horizontal="left"/>
    </xf>
    <xf numFmtId="0" fontId="45" fillId="0" borderId="0" xfId="0" applyFont="1" applyBorder="1" applyProtection="1"/>
    <xf numFmtId="0" fontId="17" fillId="0" borderId="0" xfId="0" applyFont="1" applyFill="1" applyAlignment="1" applyProtection="1"/>
    <xf numFmtId="0" fontId="45" fillId="0" borderId="0" xfId="0" applyFont="1" applyFill="1" applyAlignment="1" applyProtection="1"/>
    <xf numFmtId="0" fontId="0" fillId="9" borderId="0" xfId="0" applyFill="1" applyAlignment="1" applyProtection="1">
      <alignment horizontal="center"/>
    </xf>
    <xf numFmtId="0" fontId="0" fillId="9" borderId="0" xfId="0" applyFill="1" applyBorder="1" applyProtection="1"/>
    <xf numFmtId="0" fontId="40" fillId="0" borderId="0" xfId="0" applyFont="1" applyBorder="1" applyProtection="1"/>
    <xf numFmtId="0" fontId="11" fillId="0" borderId="0" xfId="0" applyFont="1" applyBorder="1" applyAlignment="1" applyProtection="1">
      <alignment horizontal="center"/>
    </xf>
    <xf numFmtId="49" fontId="2" fillId="2" borderId="0" xfId="0" applyNumberFormat="1" applyFont="1" applyFill="1" applyBorder="1" applyAlignment="1" applyProtection="1"/>
    <xf numFmtId="0" fontId="4" fillId="0" borderId="0" xfId="0" applyFont="1" applyBorder="1" applyAlignment="1" applyProtection="1">
      <alignment horizontal="center" vertical="center"/>
    </xf>
    <xf numFmtId="0" fontId="11" fillId="0" borderId="0" xfId="0" applyFont="1" applyBorder="1" applyAlignment="1" applyProtection="1">
      <alignment horizontal="right"/>
    </xf>
    <xf numFmtId="49" fontId="2" fillId="0" borderId="0" xfId="0" applyNumberFormat="1" applyFont="1" applyFill="1" applyBorder="1" applyAlignment="1" applyProtection="1"/>
    <xf numFmtId="0" fontId="15" fillId="0" borderId="0" xfId="0" applyFont="1" applyBorder="1" applyAlignment="1" applyProtection="1">
      <alignment horizontal="center" vertical="top"/>
    </xf>
    <xf numFmtId="0" fontId="74" fillId="16" borderId="44" xfId="0" applyFont="1" applyFill="1" applyBorder="1" applyAlignment="1" applyProtection="1">
      <alignment horizontal="center" vertical="center"/>
    </xf>
    <xf numFmtId="0" fontId="11" fillId="0" borderId="0" xfId="0" applyFont="1" applyBorder="1" applyAlignment="1" applyProtection="1">
      <alignment horizontal="center" vertical="center"/>
    </xf>
    <xf numFmtId="0" fontId="46" fillId="0" borderId="0" xfId="0" applyFont="1" applyBorder="1" applyAlignment="1" applyProtection="1">
      <alignment horizontal="center" vertical="center"/>
    </xf>
    <xf numFmtId="0" fontId="47" fillId="0" borderId="0" xfId="0" applyFont="1" applyBorder="1" applyAlignment="1" applyProtection="1">
      <alignment horizontal="center" vertical="center"/>
    </xf>
    <xf numFmtId="0" fontId="48" fillId="0" borderId="0" xfId="0" applyFont="1" applyAlignment="1" applyProtection="1">
      <alignment horizontal="center"/>
    </xf>
    <xf numFmtId="0" fontId="75" fillId="16" borderId="44" xfId="0" applyFont="1" applyFill="1" applyBorder="1" applyAlignment="1" applyProtection="1">
      <alignment horizontal="center" vertical="center" wrapText="1"/>
    </xf>
    <xf numFmtId="0" fontId="69" fillId="0" borderId="0" xfId="0" applyFont="1" applyBorder="1" applyAlignment="1" applyProtection="1">
      <alignment vertical="center" wrapText="1"/>
    </xf>
    <xf numFmtId="0" fontId="43" fillId="0" borderId="0" xfId="0" applyFont="1" applyBorder="1" applyAlignment="1" applyProtection="1">
      <alignment horizontal="center" vertical="center" wrapText="1"/>
    </xf>
    <xf numFmtId="0" fontId="43" fillId="0" borderId="0" xfId="0" applyFont="1" applyBorder="1" applyAlignment="1" applyProtection="1">
      <alignment horizontal="center" vertical="center"/>
    </xf>
    <xf numFmtId="0" fontId="43" fillId="0" borderId="0" xfId="0" applyFont="1" applyBorder="1" applyAlignment="1" applyProtection="1">
      <alignment vertical="center"/>
    </xf>
    <xf numFmtId="0" fontId="4" fillId="0" borderId="0" xfId="0" applyFont="1" applyBorder="1" applyAlignment="1" applyProtection="1">
      <alignment vertical="center"/>
    </xf>
    <xf numFmtId="0" fontId="78" fillId="0" borderId="0" xfId="0" applyFont="1" applyBorder="1" applyAlignment="1" applyProtection="1">
      <alignment horizontal="left" vertical="center"/>
    </xf>
    <xf numFmtId="0" fontId="50" fillId="0" borderId="0" xfId="0" applyFont="1" applyProtection="1"/>
    <xf numFmtId="0" fontId="79" fillId="0" borderId="0" xfId="0" applyFont="1" applyBorder="1" applyAlignment="1" applyProtection="1">
      <alignment horizontal="center" vertical="center"/>
    </xf>
    <xf numFmtId="44" fontId="2" fillId="0" borderId="0" xfId="0" applyNumberFormat="1" applyFont="1" applyBorder="1" applyProtection="1"/>
    <xf numFmtId="44" fontId="0" fillId="0" borderId="0" xfId="0" applyNumberFormat="1" applyBorder="1" applyProtection="1"/>
    <xf numFmtId="0" fontId="79" fillId="0" borderId="0" xfId="0" applyFont="1" applyAlignment="1" applyProtection="1">
      <alignment horizontal="left"/>
    </xf>
    <xf numFmtId="0" fontId="71" fillId="0" borderId="0" xfId="0" applyFont="1" applyBorder="1" applyProtection="1"/>
    <xf numFmtId="0" fontId="78" fillId="0" borderId="0" xfId="0" applyFont="1" applyBorder="1" applyAlignment="1" applyProtection="1">
      <alignment horizontal="left"/>
    </xf>
    <xf numFmtId="0" fontId="79" fillId="0" borderId="0" xfId="0" applyFont="1" applyProtection="1"/>
    <xf numFmtId="0" fontId="79" fillId="0" borderId="0" xfId="0" applyFont="1" applyBorder="1" applyAlignment="1" applyProtection="1">
      <alignment horizontal="center"/>
    </xf>
    <xf numFmtId="0" fontId="0" fillId="17" borderId="0" xfId="0" applyFill="1" applyBorder="1" applyProtection="1"/>
    <xf numFmtId="0" fontId="17" fillId="0" borderId="12" xfId="0" applyFont="1" applyFill="1" applyBorder="1" applyProtection="1"/>
    <xf numFmtId="0" fontId="17" fillId="0" borderId="12" xfId="0" applyFont="1" applyBorder="1" applyProtection="1"/>
    <xf numFmtId="0" fontId="19" fillId="0" borderId="0" xfId="0" applyFont="1" applyAlignment="1" applyProtection="1">
      <alignment horizontal="center"/>
    </xf>
    <xf numFmtId="0" fontId="6" fillId="0" borderId="0" xfId="0" applyFont="1" applyBorder="1" applyAlignment="1" applyProtection="1"/>
    <xf numFmtId="0" fontId="19" fillId="0" borderId="0" xfId="0" applyFont="1" applyAlignment="1" applyProtection="1"/>
    <xf numFmtId="0" fontId="42" fillId="0" borderId="0" xfId="0" applyFont="1" applyBorder="1" applyProtection="1"/>
    <xf numFmtId="0" fontId="0" fillId="19" borderId="0" xfId="0" applyFill="1" applyBorder="1" applyProtection="1"/>
    <xf numFmtId="0" fontId="0" fillId="19" borderId="0" xfId="0" applyFill="1" applyBorder="1" applyAlignment="1" applyProtection="1"/>
    <xf numFmtId="43" fontId="0" fillId="19" borderId="0" xfId="1" applyFont="1" applyFill="1" applyBorder="1" applyProtection="1"/>
    <xf numFmtId="0" fontId="53" fillId="19" borderId="0" xfId="0" applyFont="1" applyFill="1" applyBorder="1" applyProtection="1"/>
    <xf numFmtId="0" fontId="0" fillId="19" borderId="0" xfId="0" applyFont="1" applyFill="1" applyBorder="1" applyAlignment="1" applyProtection="1"/>
    <xf numFmtId="0" fontId="26" fillId="0" borderId="0" xfId="0" applyFont="1" applyBorder="1" applyProtection="1"/>
    <xf numFmtId="44" fontId="27" fillId="0" borderId="0" xfId="0" applyNumberFormat="1" applyFont="1" applyProtection="1"/>
    <xf numFmtId="0" fontId="26" fillId="0" borderId="0" xfId="0" applyFont="1" applyBorder="1" applyAlignment="1" applyProtection="1">
      <alignment horizontal="center"/>
    </xf>
    <xf numFmtId="0" fontId="0" fillId="2" borderId="0" xfId="0" applyFill="1" applyProtection="1"/>
    <xf numFmtId="0" fontId="0" fillId="2" borderId="0" xfId="0" applyFill="1" applyBorder="1" applyProtection="1"/>
    <xf numFmtId="0" fontId="26" fillId="2" borderId="0" xfId="0" applyFont="1" applyFill="1" applyProtection="1"/>
    <xf numFmtId="0" fontId="0" fillId="0" borderId="0" xfId="0" applyFill="1" applyBorder="1" applyProtection="1"/>
    <xf numFmtId="0" fontId="26" fillId="0" borderId="0" xfId="0" applyFont="1" applyProtection="1"/>
    <xf numFmtId="168" fontId="27" fillId="0" borderId="0" xfId="0" applyNumberFormat="1" applyFont="1" applyProtection="1"/>
    <xf numFmtId="0" fontId="32" fillId="0" borderId="0" xfId="0" applyFont="1" applyBorder="1" applyAlignment="1" applyProtection="1">
      <alignment horizontal="center"/>
    </xf>
    <xf numFmtId="167" fontId="31" fillId="0" borderId="0" xfId="0" applyNumberFormat="1" applyFont="1" applyFill="1" applyBorder="1" applyAlignment="1" applyProtection="1">
      <alignment horizontal="center"/>
    </xf>
    <xf numFmtId="0" fontId="30" fillId="0" borderId="0" xfId="0" applyFont="1" applyProtection="1"/>
    <xf numFmtId="169" fontId="31" fillId="0" borderId="0" xfId="0" applyNumberFormat="1" applyFont="1" applyAlignment="1" applyProtection="1">
      <alignment horizontal="center"/>
    </xf>
    <xf numFmtId="0" fontId="27" fillId="0" borderId="0" xfId="0" applyFont="1" applyFill="1" applyAlignment="1" applyProtection="1"/>
    <xf numFmtId="0" fontId="43" fillId="0" borderId="1" xfId="0" applyFont="1" applyBorder="1" applyAlignment="1" applyProtection="1">
      <alignment vertical="center"/>
    </xf>
    <xf numFmtId="0" fontId="43" fillId="0" borderId="34" xfId="0" applyFont="1" applyBorder="1" applyAlignment="1" applyProtection="1">
      <alignment vertical="center"/>
    </xf>
    <xf numFmtId="0" fontId="33" fillId="0" borderId="0" xfId="0" applyFont="1" applyProtection="1"/>
    <xf numFmtId="0" fontId="34" fillId="0" borderId="0" xfId="0" applyFont="1" applyProtection="1"/>
    <xf numFmtId="0" fontId="33" fillId="0" borderId="0" xfId="0" applyFont="1" applyAlignment="1" applyProtection="1">
      <alignment horizontal="center"/>
    </xf>
    <xf numFmtId="44" fontId="28" fillId="0" borderId="0" xfId="0" applyNumberFormat="1" applyFont="1" applyProtection="1"/>
    <xf numFmtId="0" fontId="29" fillId="0" borderId="0" xfId="0" applyFont="1" applyProtection="1"/>
    <xf numFmtId="0" fontId="25" fillId="0" borderId="0" xfId="0" applyFont="1" applyAlignment="1" applyProtection="1">
      <alignment horizontal="left"/>
    </xf>
    <xf numFmtId="0" fontId="25" fillId="0" borderId="0" xfId="0" applyFont="1" applyProtection="1"/>
    <xf numFmtId="9" fontId="27" fillId="0" borderId="0" xfId="0" applyNumberFormat="1" applyFont="1" applyFill="1" applyBorder="1" applyAlignment="1" applyProtection="1">
      <alignment horizontal="center"/>
    </xf>
    <xf numFmtId="42" fontId="25" fillId="0" borderId="0" xfId="0" applyNumberFormat="1" applyFont="1" applyProtection="1"/>
    <xf numFmtId="44" fontId="28" fillId="0" borderId="0" xfId="0" applyNumberFormat="1" applyFont="1" applyBorder="1" applyProtection="1"/>
    <xf numFmtId="44" fontId="35" fillId="0" borderId="0" xfId="0" applyNumberFormat="1" applyFont="1" applyFill="1" applyProtection="1"/>
    <xf numFmtId="0" fontId="19" fillId="0" borderId="0" xfId="0" applyFont="1" applyProtection="1"/>
    <xf numFmtId="0" fontId="36" fillId="0" borderId="0" xfId="0" applyFont="1" applyProtection="1"/>
    <xf numFmtId="0" fontId="37" fillId="0" borderId="0" xfId="0" applyFont="1" applyProtection="1"/>
    <xf numFmtId="44" fontId="38" fillId="0" borderId="0" xfId="0" applyNumberFormat="1" applyFont="1" applyAlignment="1" applyProtection="1">
      <alignment horizontal="right"/>
    </xf>
    <xf numFmtId="9" fontId="0" fillId="0" borderId="0" xfId="0" applyNumberFormat="1" applyBorder="1" applyProtection="1"/>
    <xf numFmtId="44" fontId="36" fillId="0" borderId="0" xfId="0" applyNumberFormat="1" applyFont="1" applyBorder="1" applyAlignment="1" applyProtection="1">
      <alignment horizontal="right"/>
    </xf>
    <xf numFmtId="3" fontId="0" fillId="0" borderId="0" xfId="0" applyNumberFormat="1" applyProtection="1"/>
    <xf numFmtId="0" fontId="48" fillId="17" borderId="0" xfId="0" applyFont="1" applyFill="1" applyProtection="1">
      <protection locked="0"/>
    </xf>
    <xf numFmtId="0" fontId="82" fillId="0" borderId="0" xfId="0" applyFont="1" applyBorder="1" applyAlignment="1" applyProtection="1">
      <alignment horizontal="right"/>
    </xf>
    <xf numFmtId="165" fontId="67" fillId="0" borderId="0" xfId="1" applyNumberFormat="1" applyFont="1" applyFill="1" applyBorder="1" applyAlignment="1">
      <alignment horizontal="right" vertical="center"/>
    </xf>
    <xf numFmtId="0" fontId="83" fillId="0" borderId="31" xfId="0" applyFont="1" applyBorder="1" applyAlignment="1">
      <alignment vertical="center"/>
    </xf>
    <xf numFmtId="0" fontId="0" fillId="20" borderId="19" xfId="0" applyFill="1" applyBorder="1"/>
    <xf numFmtId="0" fontId="39" fillId="22" borderId="0" xfId="0" applyFont="1" applyFill="1" applyAlignment="1">
      <alignment vertical="center"/>
    </xf>
    <xf numFmtId="0" fontId="0" fillId="20" borderId="0" xfId="0" applyFill="1"/>
    <xf numFmtId="0" fontId="0" fillId="23" borderId="19" xfId="0" applyFill="1" applyBorder="1"/>
    <xf numFmtId="164" fontId="0" fillId="23" borderId="19" xfId="0" applyNumberFormat="1" applyFill="1" applyBorder="1"/>
    <xf numFmtId="0" fontId="66" fillId="0" borderId="29" xfId="0" applyFont="1" applyFill="1" applyBorder="1" applyAlignment="1">
      <alignment horizontal="left"/>
    </xf>
    <xf numFmtId="0" fontId="66" fillId="0" borderId="12" xfId="0" applyFont="1" applyFill="1" applyBorder="1" applyAlignment="1">
      <alignment horizontal="left"/>
    </xf>
    <xf numFmtId="0" fontId="67" fillId="0" borderId="12" xfId="0" applyFont="1" applyFill="1" applyBorder="1" applyAlignment="1">
      <alignment horizontal="left" vertical="center"/>
    </xf>
    <xf numFmtId="0" fontId="66" fillId="0" borderId="0" xfId="0" applyFont="1" applyFill="1" applyBorder="1" applyAlignment="1">
      <alignment horizontal="left" vertical="center"/>
    </xf>
    <xf numFmtId="0" fontId="66" fillId="0" borderId="0" xfId="0" applyFont="1" applyFill="1" applyBorder="1" applyAlignment="1"/>
    <xf numFmtId="0" fontId="66" fillId="0" borderId="28" xfId="0" applyFont="1" applyFill="1" applyBorder="1" applyAlignment="1"/>
    <xf numFmtId="165" fontId="0" fillId="4" borderId="19" xfId="1" applyNumberFormat="1" applyFont="1" applyFill="1" applyBorder="1" applyAlignment="1">
      <alignment horizontal="center"/>
    </xf>
    <xf numFmtId="0" fontId="79" fillId="0" borderId="0" xfId="0" applyFont="1" applyBorder="1" applyAlignment="1" applyProtection="1">
      <alignment horizontal="left"/>
      <protection locked="0"/>
    </xf>
    <xf numFmtId="1" fontId="71" fillId="2" borderId="0" xfId="0" applyNumberFormat="1" applyFont="1" applyFill="1" applyBorder="1" applyAlignment="1" applyProtection="1">
      <alignment horizontal="center"/>
      <protection locked="0"/>
    </xf>
    <xf numFmtId="0" fontId="79" fillId="0" borderId="0" xfId="0" applyNumberFormat="1" applyFont="1" applyBorder="1" applyAlignment="1" applyProtection="1">
      <alignment horizontal="center"/>
      <protection locked="0"/>
    </xf>
    <xf numFmtId="0" fontId="84" fillId="0" borderId="0" xfId="0" applyFont="1" applyAlignment="1" applyProtection="1">
      <alignment horizontal="center"/>
    </xf>
    <xf numFmtId="0" fontId="7" fillId="0" borderId="0" xfId="0" applyFont="1" applyBorder="1" applyProtection="1"/>
    <xf numFmtId="0" fontId="31" fillId="0" borderId="0" xfId="0" applyFont="1" applyBorder="1" applyAlignment="1" applyProtection="1">
      <alignment horizontal="center" vertical="top"/>
    </xf>
    <xf numFmtId="0" fontId="85" fillId="16" borderId="44" xfId="0" applyFont="1" applyFill="1" applyBorder="1" applyAlignment="1" applyProtection="1">
      <alignment horizontal="center" vertical="center"/>
    </xf>
    <xf numFmtId="0" fontId="64" fillId="2" borderId="0" xfId="0" applyFont="1" applyFill="1" applyProtection="1"/>
    <xf numFmtId="0" fontId="64" fillId="0" borderId="0" xfId="0" applyFont="1" applyProtection="1"/>
    <xf numFmtId="168" fontId="31" fillId="0" borderId="0" xfId="0" applyNumberFormat="1" applyFont="1" applyProtection="1"/>
    <xf numFmtId="0" fontId="31" fillId="0" borderId="0" xfId="0" applyFont="1" applyFill="1" applyAlignment="1" applyProtection="1"/>
    <xf numFmtId="0" fontId="4" fillId="0" borderId="1" xfId="0" applyFont="1" applyBorder="1" applyAlignment="1" applyProtection="1">
      <alignment vertical="center"/>
    </xf>
    <xf numFmtId="0" fontId="86" fillId="0" borderId="0" xfId="0" applyFont="1" applyProtection="1"/>
    <xf numFmtId="0" fontId="31" fillId="0" borderId="0" xfId="0" applyFont="1" applyProtection="1"/>
    <xf numFmtId="0" fontId="87" fillId="0" borderId="0" xfId="0" applyFont="1" applyProtection="1"/>
    <xf numFmtId="0" fontId="84" fillId="0" borderId="0" xfId="0" applyFont="1" applyProtection="1"/>
    <xf numFmtId="0" fontId="43" fillId="0" borderId="27" xfId="0" applyFont="1" applyBorder="1" applyAlignment="1" applyProtection="1">
      <alignment horizontal="center" vertical="center" wrapText="1"/>
    </xf>
    <xf numFmtId="0" fontId="43" fillId="0" borderId="28" xfId="0" applyFont="1" applyBorder="1" applyAlignment="1" applyProtection="1">
      <alignment horizontal="center" vertical="center" wrapText="1"/>
    </xf>
    <xf numFmtId="0" fontId="0" fillId="0" borderId="27" xfId="0" applyBorder="1" applyProtection="1"/>
    <xf numFmtId="0" fontId="0" fillId="0" borderId="28" xfId="0" applyBorder="1" applyProtection="1"/>
    <xf numFmtId="44" fontId="0" fillId="0" borderId="27" xfId="0" applyNumberFormat="1" applyBorder="1" applyProtection="1"/>
    <xf numFmtId="44" fontId="0" fillId="0" borderId="28" xfId="0" applyNumberFormat="1" applyBorder="1" applyProtection="1"/>
    <xf numFmtId="0" fontId="0" fillId="0" borderId="30" xfId="0" applyBorder="1" applyProtection="1"/>
    <xf numFmtId="0" fontId="88" fillId="0" borderId="0" xfId="0" applyFont="1" applyProtection="1">
      <protection locked="0"/>
    </xf>
    <xf numFmtId="0" fontId="88" fillId="0" borderId="0" xfId="0" applyFont="1" applyAlignment="1" applyProtection="1">
      <alignment horizontal="center"/>
      <protection locked="0"/>
    </xf>
    <xf numFmtId="14" fontId="4" fillId="8" borderId="15" xfId="0" applyNumberFormat="1" applyFont="1" applyFill="1" applyBorder="1" applyAlignment="1" applyProtection="1">
      <alignment horizontal="center"/>
      <protection locked="0"/>
    </xf>
    <xf numFmtId="0" fontId="72" fillId="16" borderId="44" xfId="0" applyFont="1" applyFill="1" applyBorder="1" applyAlignment="1" applyProtection="1">
      <alignment horizontal="center" vertical="center"/>
      <protection locked="0"/>
    </xf>
    <xf numFmtId="3" fontId="0" fillId="0" borderId="19" xfId="0" applyNumberFormat="1" applyFill="1" applyBorder="1"/>
    <xf numFmtId="0" fontId="0" fillId="0" borderId="19" xfId="0" applyFill="1" applyBorder="1"/>
    <xf numFmtId="0" fontId="89" fillId="0" borderId="0" xfId="0" applyFont="1" applyProtection="1">
      <protection locked="0"/>
    </xf>
    <xf numFmtId="0" fontId="89" fillId="0" borderId="0" xfId="0" applyFont="1" applyProtection="1"/>
    <xf numFmtId="0" fontId="90" fillId="0" borderId="0" xfId="0" applyFont="1" applyBorder="1" applyAlignment="1" applyProtection="1">
      <alignment vertical="center"/>
    </xf>
    <xf numFmtId="0" fontId="7" fillId="0" borderId="0" xfId="0" applyFont="1" applyBorder="1" applyProtection="1">
      <protection locked="0"/>
    </xf>
    <xf numFmtId="0" fontId="14" fillId="2" borderId="19" xfId="0" applyFont="1" applyFill="1" applyBorder="1" applyProtection="1"/>
    <xf numFmtId="44" fontId="2" fillId="0" borderId="0" xfId="0" applyNumberFormat="1" applyFont="1" applyProtection="1">
      <protection hidden="1"/>
    </xf>
    <xf numFmtId="10" fontId="14" fillId="2" borderId="19" xfId="0" applyNumberFormat="1" applyFont="1" applyFill="1" applyBorder="1" applyProtection="1"/>
    <xf numFmtId="0" fontId="0" fillId="24" borderId="19" xfId="0" applyFill="1" applyBorder="1"/>
    <xf numFmtId="0" fontId="39" fillId="10" borderId="19" xfId="0" applyFont="1" applyFill="1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172" fontId="0" fillId="0" borderId="19" xfId="0" applyNumberFormat="1" applyBorder="1" applyAlignment="1">
      <alignment horizontal="center" vertical="center"/>
    </xf>
    <xf numFmtId="0" fontId="0" fillId="24" borderId="19" xfId="0" applyFill="1" applyBorder="1" applyAlignment="1">
      <alignment horizontal="center"/>
    </xf>
    <xf numFmtId="172" fontId="0" fillId="24" borderId="19" xfId="0" applyNumberFormat="1" applyFill="1" applyBorder="1" applyAlignment="1">
      <alignment horizontal="center"/>
    </xf>
    <xf numFmtId="0" fontId="0" fillId="24" borderId="0" xfId="0" applyFill="1" applyAlignment="1">
      <alignment horizontal="center"/>
    </xf>
    <xf numFmtId="172" fontId="0" fillId="0" borderId="19" xfId="0" applyNumberFormat="1" applyBorder="1" applyAlignment="1">
      <alignment horizontal="center"/>
    </xf>
    <xf numFmtId="0" fontId="0" fillId="0" borderId="0" xfId="0" applyAlignment="1">
      <alignment horizontal="center"/>
    </xf>
    <xf numFmtId="0" fontId="60" fillId="11" borderId="50" xfId="0" applyFont="1" applyFill="1" applyBorder="1" applyAlignment="1">
      <alignment horizontal="center" vertical="center" wrapText="1"/>
    </xf>
    <xf numFmtId="0" fontId="54" fillId="11" borderId="0" xfId="0" applyFont="1" applyFill="1" applyBorder="1" applyAlignment="1">
      <alignment horizontal="center" vertical="center"/>
    </xf>
    <xf numFmtId="0" fontId="54" fillId="0" borderId="0" xfId="0" applyFont="1" applyBorder="1" applyAlignment="1">
      <alignment horizontal="center" vertical="center"/>
    </xf>
    <xf numFmtId="0" fontId="54" fillId="0" borderId="38" xfId="0" applyFont="1" applyBorder="1" applyAlignment="1">
      <alignment horizontal="center" vertical="center"/>
    </xf>
    <xf numFmtId="0" fontId="54" fillId="11" borderId="37" xfId="0" applyFont="1" applyFill="1" applyBorder="1" applyAlignment="1">
      <alignment horizontal="center" vertical="center"/>
    </xf>
    <xf numFmtId="0" fontId="54" fillId="11" borderId="36" xfId="0" applyFont="1" applyFill="1" applyBorder="1" applyAlignment="1">
      <alignment horizontal="center" vertical="center"/>
    </xf>
    <xf numFmtId="0" fontId="0" fillId="25" borderId="19" xfId="0" applyFill="1" applyBorder="1" applyAlignment="1">
      <alignment horizontal="center" vertical="center"/>
    </xf>
    <xf numFmtId="172" fontId="0" fillId="25" borderId="19" xfId="0" applyNumberFormat="1" applyFill="1" applyBorder="1" applyAlignment="1">
      <alignment horizontal="center" vertical="center"/>
    </xf>
    <xf numFmtId="0" fontId="0" fillId="25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3" fillId="3" borderId="6" xfId="3" applyFont="1" applyFill="1" applyBorder="1" applyAlignment="1">
      <alignment horizontal="center" vertical="center" wrapText="1"/>
    </xf>
    <xf numFmtId="0" fontId="41" fillId="2" borderId="7" xfId="3" applyFont="1" applyFill="1" applyBorder="1" applyAlignment="1">
      <alignment horizontal="center" vertical="top" wrapText="1"/>
    </xf>
    <xf numFmtId="0" fontId="41" fillId="2" borderId="13" xfId="3" applyFont="1" applyFill="1" applyBorder="1" applyAlignment="1">
      <alignment horizontal="center" vertical="top" wrapText="1"/>
    </xf>
    <xf numFmtId="0" fontId="41" fillId="24" borderId="7" xfId="3" applyFont="1" applyFill="1" applyBorder="1" applyAlignment="1">
      <alignment horizontal="center" vertical="top" wrapText="1"/>
    </xf>
    <xf numFmtId="0" fontId="41" fillId="24" borderId="13" xfId="3" applyFont="1" applyFill="1" applyBorder="1" applyAlignment="1">
      <alignment horizontal="center" vertical="top" wrapText="1"/>
    </xf>
    <xf numFmtId="0" fontId="60" fillId="3" borderId="2" xfId="0" applyFont="1" applyFill="1" applyBorder="1" applyAlignment="1">
      <alignment horizontal="center" vertical="center" wrapText="1"/>
    </xf>
    <xf numFmtId="0" fontId="60" fillId="3" borderId="5" xfId="0" applyFont="1" applyFill="1" applyBorder="1" applyAlignment="1">
      <alignment horizontal="center" vertical="center" wrapText="1"/>
    </xf>
    <xf numFmtId="0" fontId="60" fillId="3" borderId="3" xfId="0" applyFont="1" applyFill="1" applyBorder="1" applyAlignment="1">
      <alignment horizontal="center" vertical="center" wrapText="1"/>
    </xf>
    <xf numFmtId="0" fontId="63" fillId="0" borderId="7" xfId="3" applyFont="1" applyFill="1" applyBorder="1" applyAlignment="1">
      <alignment horizontal="center" vertical="top" wrapText="1"/>
    </xf>
    <xf numFmtId="0" fontId="63" fillId="0" borderId="13" xfId="3" applyFont="1" applyFill="1" applyBorder="1" applyAlignment="1">
      <alignment horizontal="center" vertical="top" wrapText="1"/>
    </xf>
    <xf numFmtId="0" fontId="3" fillId="3" borderId="45" xfId="3" applyFont="1" applyFill="1" applyBorder="1" applyAlignment="1">
      <alignment horizontal="center" vertical="center" wrapText="1"/>
    </xf>
    <xf numFmtId="0" fontId="3" fillId="3" borderId="46" xfId="3" applyFont="1" applyFill="1" applyBorder="1" applyAlignment="1">
      <alignment horizontal="center" vertical="center" wrapText="1"/>
    </xf>
    <xf numFmtId="0" fontId="3" fillId="3" borderId="17" xfId="3" applyFont="1" applyFill="1" applyBorder="1" applyAlignment="1">
      <alignment horizontal="center" vertical="center" wrapText="1"/>
    </xf>
    <xf numFmtId="0" fontId="41" fillId="2" borderId="16" xfId="3" applyFont="1" applyFill="1" applyBorder="1" applyAlignment="1">
      <alignment horizontal="center" vertical="top" wrapText="1"/>
    </xf>
    <xf numFmtId="0" fontId="41" fillId="2" borderId="20" xfId="3" applyFont="1" applyFill="1" applyBorder="1" applyAlignment="1">
      <alignment horizontal="center" vertical="top" wrapText="1"/>
    </xf>
    <xf numFmtId="0" fontId="41" fillId="2" borderId="21" xfId="3" applyFont="1" applyFill="1" applyBorder="1" applyAlignment="1">
      <alignment horizontal="center" vertical="top" wrapText="1"/>
    </xf>
    <xf numFmtId="0" fontId="55" fillId="3" borderId="0" xfId="0" applyFont="1" applyFill="1" applyAlignment="1">
      <alignment horizontal="center"/>
    </xf>
    <xf numFmtId="0" fontId="57" fillId="7" borderId="0" xfId="0" applyFont="1" applyFill="1" applyAlignment="1">
      <alignment horizontal="center" vertical="top" textRotation="255"/>
    </xf>
    <xf numFmtId="0" fontId="58" fillId="7" borderId="0" xfId="0" applyFont="1" applyFill="1" applyAlignment="1">
      <alignment horizontal="center" vertical="top" textRotation="255"/>
    </xf>
    <xf numFmtId="0" fontId="59" fillId="7" borderId="0" xfId="0" applyFont="1" applyFill="1" applyAlignment="1">
      <alignment horizontal="center" vertical="top" textRotation="255"/>
    </xf>
    <xf numFmtId="0" fontId="39" fillId="6" borderId="0" xfId="0" applyFont="1" applyFill="1" applyAlignment="1">
      <alignment horizontal="center"/>
    </xf>
    <xf numFmtId="0" fontId="5" fillId="5" borderId="9" xfId="3" applyFont="1" applyFill="1" applyBorder="1" applyAlignment="1">
      <alignment horizontal="center" vertical="center" wrapText="1"/>
    </xf>
    <xf numFmtId="0" fontId="5" fillId="5" borderId="10" xfId="3" applyFont="1" applyFill="1" applyBorder="1" applyAlignment="1">
      <alignment horizontal="center" vertical="center" wrapText="1"/>
    </xf>
    <xf numFmtId="0" fontId="5" fillId="5" borderId="11" xfId="3" applyFont="1" applyFill="1" applyBorder="1" applyAlignment="1">
      <alignment horizontal="center" vertical="center" wrapText="1"/>
    </xf>
    <xf numFmtId="0" fontId="41" fillId="0" borderId="7" xfId="3" applyFont="1" applyFill="1" applyBorder="1" applyAlignment="1">
      <alignment horizontal="center" vertical="top" wrapText="1"/>
    </xf>
    <xf numFmtId="0" fontId="41" fillId="0" borderId="13" xfId="3" applyFont="1" applyFill="1" applyBorder="1" applyAlignment="1">
      <alignment horizontal="center" vertical="top" wrapText="1"/>
    </xf>
    <xf numFmtId="0" fontId="61" fillId="3" borderId="2" xfId="0" applyFont="1" applyFill="1" applyBorder="1" applyAlignment="1">
      <alignment horizontal="center" vertical="center" wrapText="1"/>
    </xf>
    <xf numFmtId="0" fontId="61" fillId="3" borderId="5" xfId="0" applyFont="1" applyFill="1" applyBorder="1" applyAlignment="1">
      <alignment horizontal="center" vertical="center" wrapText="1"/>
    </xf>
    <xf numFmtId="0" fontId="61" fillId="3" borderId="3" xfId="0" applyFont="1" applyFill="1" applyBorder="1" applyAlignment="1">
      <alignment horizontal="center" vertical="center" wrapText="1"/>
    </xf>
    <xf numFmtId="0" fontId="43" fillId="0" borderId="31" xfId="0" applyFont="1" applyBorder="1" applyAlignment="1" applyProtection="1">
      <alignment horizontal="center"/>
    </xf>
    <xf numFmtId="0" fontId="43" fillId="0" borderId="32" xfId="0" applyFont="1" applyBorder="1" applyAlignment="1" applyProtection="1">
      <alignment horizontal="center"/>
    </xf>
    <xf numFmtId="0" fontId="43" fillId="0" borderId="33" xfId="0" applyFont="1" applyBorder="1" applyAlignment="1" applyProtection="1">
      <alignment horizontal="center"/>
    </xf>
    <xf numFmtId="0" fontId="6" fillId="0" borderId="0" xfId="0" applyFont="1" applyBorder="1" applyAlignment="1" applyProtection="1">
      <alignment horizontal="center"/>
    </xf>
    <xf numFmtId="0" fontId="81" fillId="3" borderId="39" xfId="0" applyFont="1" applyFill="1" applyBorder="1" applyAlignment="1" applyProtection="1">
      <alignment horizontal="center"/>
    </xf>
    <xf numFmtId="0" fontId="76" fillId="3" borderId="39" xfId="0" applyFont="1" applyFill="1" applyBorder="1" applyAlignment="1" applyProtection="1">
      <alignment horizontal="left" vertical="center"/>
    </xf>
    <xf numFmtId="49" fontId="71" fillId="4" borderId="40" xfId="0" applyNumberFormat="1" applyFont="1" applyFill="1" applyBorder="1" applyAlignment="1" applyProtection="1">
      <alignment horizontal="left"/>
      <protection locked="0"/>
    </xf>
    <xf numFmtId="49" fontId="71" fillId="4" borderId="41" xfId="0" applyNumberFormat="1" applyFont="1" applyFill="1" applyBorder="1" applyAlignment="1" applyProtection="1">
      <alignment horizontal="left"/>
      <protection locked="0"/>
    </xf>
    <xf numFmtId="49" fontId="71" fillId="4" borderId="42" xfId="0" applyNumberFormat="1" applyFont="1" applyFill="1" applyBorder="1" applyAlignment="1" applyProtection="1">
      <alignment horizontal="left"/>
      <protection locked="0"/>
    </xf>
    <xf numFmtId="0" fontId="8" fillId="0" borderId="0" xfId="0" applyFont="1" applyAlignment="1" applyProtection="1">
      <alignment horizontal="center"/>
    </xf>
    <xf numFmtId="0" fontId="80" fillId="0" borderId="0" xfId="0" applyFont="1" applyBorder="1" applyAlignment="1" applyProtection="1">
      <alignment horizontal="left" vertical="center"/>
    </xf>
    <xf numFmtId="0" fontId="70" fillId="0" borderId="0" xfId="0" applyFont="1" applyBorder="1" applyAlignment="1" applyProtection="1">
      <alignment horizontal="left" vertical="center"/>
    </xf>
    <xf numFmtId="49" fontId="71" fillId="18" borderId="47" xfId="0" applyNumberFormat="1" applyFont="1" applyFill="1" applyBorder="1" applyAlignment="1" applyProtection="1">
      <alignment horizontal="center"/>
      <protection locked="0"/>
    </xf>
    <xf numFmtId="49" fontId="71" fillId="18" borderId="48" xfId="0" applyNumberFormat="1" applyFont="1" applyFill="1" applyBorder="1" applyAlignment="1" applyProtection="1">
      <alignment horizontal="center"/>
      <protection locked="0"/>
    </xf>
    <xf numFmtId="49" fontId="71" fillId="18" borderId="49" xfId="0" applyNumberFormat="1" applyFont="1" applyFill="1" applyBorder="1" applyAlignment="1" applyProtection="1">
      <alignment horizontal="center"/>
      <protection locked="0"/>
    </xf>
    <xf numFmtId="0" fontId="65" fillId="0" borderId="0" xfId="0" applyFont="1" applyAlignment="1" applyProtection="1">
      <alignment horizontal="right" vertical="center"/>
    </xf>
    <xf numFmtId="0" fontId="66" fillId="15" borderId="19" xfId="0" applyFont="1" applyFill="1" applyBorder="1" applyAlignment="1" applyProtection="1">
      <alignment horizontal="left"/>
    </xf>
    <xf numFmtId="0" fontId="31" fillId="15" borderId="20" xfId="0" applyFont="1" applyFill="1" applyBorder="1" applyAlignment="1" applyProtection="1">
      <alignment horizontal="left" vertical="center"/>
    </xf>
    <xf numFmtId="0" fontId="31" fillId="15" borderId="21" xfId="0" applyFont="1" applyFill="1" applyBorder="1" applyAlignment="1" applyProtection="1">
      <alignment horizontal="left" vertical="center"/>
    </xf>
    <xf numFmtId="0" fontId="64" fillId="0" borderId="20" xfId="0" applyFont="1" applyBorder="1" applyAlignment="1" applyProtection="1">
      <alignment horizontal="center" vertical="center"/>
    </xf>
    <xf numFmtId="0" fontId="64" fillId="0" borderId="21" xfId="0" applyFont="1" applyBorder="1" applyAlignment="1" applyProtection="1">
      <alignment horizontal="center" vertical="center"/>
    </xf>
    <xf numFmtId="0" fontId="31" fillId="15" borderId="19" xfId="0" applyFont="1" applyFill="1" applyBorder="1" applyAlignment="1" applyProtection="1">
      <alignment horizontal="left" vertical="center"/>
    </xf>
    <xf numFmtId="0" fontId="64" fillId="0" borderId="19" xfId="0" applyFont="1" applyBorder="1" applyAlignment="1" applyProtection="1">
      <alignment horizontal="center" vertical="center"/>
      <protection locked="0"/>
    </xf>
    <xf numFmtId="0" fontId="31" fillId="0" borderId="27" xfId="0" applyFont="1" applyFill="1" applyBorder="1" applyAlignment="1" applyProtection="1">
      <alignment horizontal="left" vertical="center"/>
    </xf>
    <xf numFmtId="0" fontId="31" fillId="0" borderId="0" xfId="0" applyFont="1" applyFill="1" applyBorder="1" applyAlignment="1" applyProtection="1">
      <alignment horizontal="left" vertical="center"/>
    </xf>
    <xf numFmtId="0" fontId="66" fillId="0" borderId="27" xfId="0" applyFont="1" applyFill="1" applyBorder="1" applyAlignment="1">
      <alignment horizontal="left"/>
    </xf>
    <xf numFmtId="0" fontId="66" fillId="0" borderId="0" xfId="0" applyFont="1" applyFill="1" applyBorder="1" applyAlignment="1">
      <alignment horizontal="left"/>
    </xf>
    <xf numFmtId="0" fontId="67" fillId="0" borderId="0" xfId="0" applyFont="1" applyFill="1" applyBorder="1" applyAlignment="1">
      <alignment horizontal="left" vertical="center"/>
    </xf>
    <xf numFmtId="0" fontId="31" fillId="15" borderId="19" xfId="0" applyFont="1" applyFill="1" applyBorder="1" applyAlignment="1" applyProtection="1">
      <alignment horizontal="center" vertical="center"/>
    </xf>
    <xf numFmtId="0" fontId="31" fillId="0" borderId="27" xfId="0" applyFont="1" applyBorder="1" applyAlignment="1" applyProtection="1">
      <alignment horizontal="left"/>
    </xf>
    <xf numFmtId="0" fontId="31" fillId="0" borderId="0" xfId="0" applyFont="1" applyBorder="1" applyAlignment="1" applyProtection="1">
      <alignment horizontal="left"/>
    </xf>
    <xf numFmtId="6" fontId="67" fillId="0" borderId="27" xfId="1" applyNumberFormat="1" applyFont="1" applyBorder="1" applyAlignment="1">
      <alignment horizontal="center" vertical="center"/>
    </xf>
    <xf numFmtId="6" fontId="67" fillId="0" borderId="28" xfId="1" applyNumberFormat="1" applyFont="1" applyBorder="1" applyAlignment="1">
      <alignment horizontal="center" vertical="center"/>
    </xf>
    <xf numFmtId="0" fontId="31" fillId="16" borderId="19" xfId="0" applyFont="1" applyFill="1" applyBorder="1" applyAlignment="1" applyProtection="1">
      <alignment horizontal="center"/>
    </xf>
    <xf numFmtId="0" fontId="31" fillId="16" borderId="20" xfId="0" applyFont="1" applyFill="1" applyBorder="1" applyAlignment="1" applyProtection="1">
      <alignment horizontal="center"/>
      <protection hidden="1"/>
    </xf>
    <xf numFmtId="0" fontId="31" fillId="16" borderId="21" xfId="0" applyFont="1" applyFill="1" applyBorder="1" applyAlignment="1" applyProtection="1">
      <alignment horizontal="center"/>
      <protection hidden="1"/>
    </xf>
    <xf numFmtId="0" fontId="31" fillId="16" borderId="19" xfId="0" applyFont="1" applyFill="1" applyBorder="1" applyAlignment="1" applyProtection="1">
      <alignment horizontal="center"/>
      <protection hidden="1"/>
    </xf>
    <xf numFmtId="0" fontId="67" fillId="0" borderId="31" xfId="0" applyFont="1" applyBorder="1" applyAlignment="1">
      <alignment horizontal="center" vertical="center"/>
    </xf>
    <xf numFmtId="0" fontId="67" fillId="0" borderId="33" xfId="0" applyFont="1" applyBorder="1" applyAlignment="1">
      <alignment horizontal="center" vertical="center"/>
    </xf>
    <xf numFmtId="0" fontId="31" fillId="4" borderId="20" xfId="0" applyFont="1" applyFill="1" applyBorder="1" applyAlignment="1" applyProtection="1">
      <alignment horizontal="center" vertical="center"/>
    </xf>
    <xf numFmtId="0" fontId="31" fillId="4" borderId="34" xfId="0" applyFont="1" applyFill="1" applyBorder="1" applyAlignment="1" applyProtection="1">
      <alignment horizontal="center" vertical="center"/>
    </xf>
    <xf numFmtId="0" fontId="31" fillId="4" borderId="21" xfId="0" applyFont="1" applyFill="1" applyBorder="1" applyAlignment="1" applyProtection="1">
      <alignment horizontal="center" vertical="center"/>
    </xf>
    <xf numFmtId="0" fontId="64" fillId="0" borderId="20" xfId="0" applyNumberFormat="1" applyFont="1" applyBorder="1" applyAlignment="1" applyProtection="1">
      <alignment horizontal="center" vertical="center"/>
    </xf>
    <xf numFmtId="0" fontId="64" fillId="0" borderId="34" xfId="0" applyNumberFormat="1" applyFont="1" applyBorder="1" applyAlignment="1" applyProtection="1">
      <alignment horizontal="center" vertical="center"/>
    </xf>
    <xf numFmtId="0" fontId="64" fillId="0" borderId="21" xfId="0" applyNumberFormat="1" applyFont="1" applyBorder="1" applyAlignment="1" applyProtection="1">
      <alignment horizontal="center" vertical="center"/>
    </xf>
    <xf numFmtId="1" fontId="64" fillId="0" borderId="20" xfId="0" applyNumberFormat="1" applyFont="1" applyBorder="1" applyAlignment="1" applyProtection="1">
      <alignment horizontal="center" vertical="center"/>
    </xf>
    <xf numFmtId="0" fontId="64" fillId="0" borderId="0" xfId="0" applyFont="1" applyBorder="1" applyAlignment="1" applyProtection="1">
      <alignment horizontal="justify" vertical="center" wrapText="1"/>
      <protection hidden="1"/>
    </xf>
    <xf numFmtId="0" fontId="31" fillId="15" borderId="19" xfId="0" applyFont="1" applyFill="1" applyBorder="1" applyAlignment="1" applyProtection="1">
      <alignment horizontal="left"/>
    </xf>
    <xf numFmtId="0" fontId="2" fillId="0" borderId="12" xfId="0" applyFont="1" applyBorder="1" applyAlignment="1" applyProtection="1">
      <alignment horizontal="center" vertical="center" wrapText="1"/>
    </xf>
    <xf numFmtId="0" fontId="31" fillId="15" borderId="19" xfId="0" applyFont="1" applyFill="1" applyBorder="1" applyAlignment="1" applyProtection="1">
      <alignment horizontal="center"/>
      <protection hidden="1"/>
    </xf>
    <xf numFmtId="0" fontId="31" fillId="0" borderId="0" xfId="0" applyFont="1" applyFill="1" applyBorder="1" applyAlignment="1" applyProtection="1">
      <alignment horizontal="left"/>
    </xf>
    <xf numFmtId="0" fontId="31" fillId="15" borderId="20" xfId="0" applyFont="1" applyFill="1" applyBorder="1" applyAlignment="1" applyProtection="1">
      <alignment horizontal="center"/>
    </xf>
    <xf numFmtId="0" fontId="31" fillId="15" borderId="34" xfId="0" applyFont="1" applyFill="1" applyBorder="1" applyAlignment="1" applyProtection="1">
      <alignment horizontal="center"/>
    </xf>
    <xf numFmtId="0" fontId="31" fillId="15" borderId="21" xfId="0" applyFont="1" applyFill="1" applyBorder="1" applyAlignment="1" applyProtection="1">
      <alignment horizontal="center"/>
    </xf>
    <xf numFmtId="0" fontId="64" fillId="0" borderId="0" xfId="0" applyFont="1" applyBorder="1" applyAlignment="1" applyProtection="1">
      <alignment horizontal="justify"/>
      <protection hidden="1"/>
    </xf>
    <xf numFmtId="0" fontId="39" fillId="21" borderId="0" xfId="0" applyFont="1" applyFill="1" applyAlignment="1">
      <alignment horizontal="center" vertical="center"/>
    </xf>
  </cellXfs>
  <cellStyles count="6">
    <cellStyle name="Millares" xfId="1" builtinId="3"/>
    <cellStyle name="Millares 2" xfId="5"/>
    <cellStyle name="Normal" xfId="0" builtinId="0"/>
    <cellStyle name="Normal 2 2" xfId="3"/>
    <cellStyle name="Normal 3" xfId="4"/>
    <cellStyle name="Porcentaje" xfId="2" builtinId="5"/>
  </cellStyles>
  <dxfs count="9">
    <dxf>
      <font>
        <color theme="0"/>
      </font>
    </dxf>
    <dxf>
      <font>
        <color indexed="9"/>
      </font>
    </dxf>
    <dxf>
      <font>
        <strike/>
        <color theme="0"/>
      </font>
    </dxf>
    <dxf>
      <font>
        <color auto="1"/>
      </font>
      <fill>
        <patternFill patternType="lightTrellis">
          <fgColor theme="0" tint="-0.24994659260841701"/>
          <bgColor rgb="FFC4D600"/>
        </patternFill>
      </fill>
    </dxf>
    <dxf>
      <font>
        <strike/>
        <color theme="0"/>
      </font>
    </dxf>
    <dxf>
      <font>
        <color auto="1"/>
      </font>
      <fill>
        <patternFill patternType="lightTrellis">
          <fgColor theme="0" tint="-0.24994659260841701"/>
          <bgColor rgb="FFC4D600"/>
        </patternFill>
      </fill>
    </dxf>
    <dxf>
      <font>
        <strike/>
        <color theme="0"/>
      </font>
    </dxf>
    <dxf>
      <font>
        <color auto="1"/>
      </font>
      <fill>
        <patternFill patternType="lightTrellis">
          <fgColor theme="0" tint="-0.24994659260841701"/>
          <bgColor rgb="FFC4D600"/>
        </patternFill>
      </fill>
    </dxf>
    <dxf>
      <font>
        <color theme="0"/>
      </font>
    </dxf>
  </dxfs>
  <tableStyles count="0" defaultTableStyle="TableStyleMedium2" defaultPivotStyle="PivotStyleLight16"/>
  <colors>
    <mruColors>
      <color rgb="FFFFFFFF"/>
      <color rgb="FFD2D3D4"/>
      <color rgb="FFC5DA46"/>
      <color rgb="FF99CC00"/>
      <color rgb="FF3BB0C9"/>
      <color rgb="FF99A4AE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3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2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GBox"/>
</file>

<file path=xl/ctrlProps/ctrlProp2.xml><?xml version="1.0" encoding="utf-8"?>
<formControlPr xmlns="http://schemas.microsoft.com/office/spreadsheetml/2009/9/main" objectType="GBox"/>
</file>

<file path=xl/ctrlProps/ctrlProp3.xml><?xml version="1.0" encoding="utf-8"?>
<formControlPr xmlns="http://schemas.microsoft.com/office/spreadsheetml/2009/9/main" objectType="GBox"/>
</file>

<file path=xl/ctrlProps/ctrlProp4.xml><?xml version="1.0" encoding="utf-8"?>
<formControlPr xmlns="http://schemas.microsoft.com/office/spreadsheetml/2009/9/main" objectType="GBox"/>
</file>

<file path=xl/ctrlProps/ctrlProp5.xml><?xml version="1.0" encoding="utf-8"?>
<formControlPr xmlns="http://schemas.microsoft.com/office/spreadsheetml/2009/9/main" objectType="GBox"/>
</file>

<file path=xl/ctrlProps/ctrlProp6.xml><?xml version="1.0" encoding="utf-8"?>
<formControlPr xmlns="http://schemas.microsoft.com/office/spreadsheetml/2009/9/main" objectType="GBox"/>
</file>

<file path=xl/ctrlProps/ctrlProp7.xml><?xml version="1.0" encoding="utf-8"?>
<formControlPr xmlns="http://schemas.microsoft.com/office/spreadsheetml/2009/9/main" objectType="CheckBox" fmlaLink="$J$50" lockText="1" noThreeD="1"/>
</file>

<file path=xl/ctrlProps/ctrlProp8.xml><?xml version="1.0" encoding="utf-8"?>
<formControlPr xmlns="http://schemas.microsoft.com/office/spreadsheetml/2009/9/main" objectType="CheckBox" fmlaLink="$J$53" lockText="1" noThreeD="1"/>
</file>

<file path=xl/ctrlProps/ctrlProp9.xml><?xml version="1.0" encoding="utf-8"?>
<formControlPr xmlns="http://schemas.microsoft.com/office/spreadsheetml/2009/9/main" objectType="CheckBox" fmlaLink="$J$51" lockText="1" noThreeD="1"/>
</file>

<file path=xl/ctrlProps/ctrlProp10.xml><?xml version="1.0" encoding="utf-8"?>
<formControlPr xmlns="http://schemas.microsoft.com/office/spreadsheetml/2009/9/main" objectType="CheckBox" fmlaLink="$J$52" lockText="1" noThreeD="1"/>
</file>

<file path=xl/ctrlProps/ctrlProp11.xml><?xml version="1.0" encoding="utf-8"?>
<formControlPr xmlns="http://schemas.microsoft.com/office/spreadsheetml/2009/9/main" objectType="CheckBox" fmlaLink="$J$55" lockText="1" noThreeD="1"/>
</file>

<file path=xl/ctrlProps/ctrlProp12.xml><?xml version="1.0" encoding="utf-8"?>
<formControlPr xmlns="http://schemas.microsoft.com/office/spreadsheetml/2009/9/main" objectType="CheckBox" fmlaLink="$J$54" lockText="1" noThreeD="1"/>
</file>

<file path=xl/ctrlProps/ctrlProp13.xml><?xml version="1.0" encoding="utf-8"?>
<formControlPr xmlns="http://schemas.microsoft.com/office/spreadsheetml/2009/9/main" objectType="CheckBox" fmlaLink="$J$56" lockText="1" noThreeD="1"/>
</file>

<file path=xl/ctrlProps/ctrlProp14.xml><?xml version="1.0" encoding="utf-8"?>
<formControlPr xmlns="http://schemas.microsoft.com/office/spreadsheetml/2009/9/main" objectType="CheckBox" fmlaLink="$J$48" lockText="1" noThreeD="1"/>
</file>

<file path=xl/ctrlProps/ctrlProp15.xml><?xml version="1.0" encoding="utf-8"?>
<formControlPr xmlns="http://schemas.microsoft.com/office/spreadsheetml/2009/9/main" objectType="CheckBox" fmlaLink="$J$47" lockText="1" noThreeD="1"/>
</file>

<file path=xl/ctrlProps/ctrlProp16.xml><?xml version="1.0" encoding="utf-8"?>
<formControlPr xmlns="http://schemas.microsoft.com/office/spreadsheetml/2009/9/main" objectType="CheckBox" fmlaLink="$J$49" lockText="1" noThreeD="1"/>
</file>

<file path=xl/ctrlProps/ctrlProp17.xml><?xml version="1.0" encoding="utf-8"?>
<formControlPr xmlns="http://schemas.microsoft.com/office/spreadsheetml/2009/9/main" objectType="CheckBox" fmlaLink="$J$57" lockText="1" noThreeD="1"/>
</file>

<file path=xl/ctrlProps/ctrlProp18.xml><?xml version="1.0" encoding="utf-8"?>
<formControlPr xmlns="http://schemas.microsoft.com/office/spreadsheetml/2009/9/main" objectType="CheckBox" fmlaLink="$J$58" lockText="1" noThreeD="1"/>
</file>

<file path=xl/ctrlProps/ctrlProp19.xml><?xml version="1.0" encoding="utf-8"?>
<formControlPr xmlns="http://schemas.microsoft.com/office/spreadsheetml/2009/9/main" objectType="GBox"/>
</file>

<file path=xl/ctrlProps/ctrlProp20.xml><?xml version="1.0" encoding="utf-8"?>
<formControlPr xmlns="http://schemas.microsoft.com/office/spreadsheetml/2009/9/main" objectType="GBox"/>
</file>

<file path=xl/ctrlProps/ctrlProp21.xml><?xml version="1.0" encoding="utf-8"?>
<formControlPr xmlns="http://schemas.microsoft.com/office/spreadsheetml/2009/9/main" objectType="GBox"/>
</file>

<file path=xl/ctrlProps/ctrlProp22.xml><?xml version="1.0" encoding="utf-8"?>
<formControlPr xmlns="http://schemas.microsoft.com/office/spreadsheetml/2009/9/main" objectType="GBox"/>
</file>

<file path=xl/ctrlProps/ctrlProp23.xml><?xml version="1.0" encoding="utf-8"?>
<formControlPr xmlns="http://schemas.microsoft.com/office/spreadsheetml/2009/9/main" objectType="GBox"/>
</file>

<file path=xl/ctrlProps/ctrlProp24.xml><?xml version="1.0" encoding="utf-8"?>
<formControlPr xmlns="http://schemas.microsoft.com/office/spreadsheetml/2009/9/main" objectType="GBox"/>
</file>

<file path=xl/ctrlProps/ctrlProp25.xml><?xml version="1.0" encoding="utf-8"?>
<formControlPr xmlns="http://schemas.microsoft.com/office/spreadsheetml/2009/9/main" objectType="GBox"/>
</file>

<file path=xl/ctrlProps/ctrlProp26.xml><?xml version="1.0" encoding="utf-8"?>
<formControlPr xmlns="http://schemas.microsoft.com/office/spreadsheetml/2009/9/main" objectType="GBox"/>
</file>

<file path=xl/ctrlProps/ctrlProp27.xml><?xml version="1.0" encoding="utf-8"?>
<formControlPr xmlns="http://schemas.microsoft.com/office/spreadsheetml/2009/9/main" objectType="GBox"/>
</file>

<file path=xl/ctrlProps/ctrlProp28.xml><?xml version="1.0" encoding="utf-8"?>
<formControlPr xmlns="http://schemas.microsoft.com/office/spreadsheetml/2009/9/main" objectType="GBox"/>
</file>

<file path=xl/ctrlProps/ctrlProp29.xml><?xml version="1.0" encoding="utf-8"?>
<formControlPr xmlns="http://schemas.microsoft.com/office/spreadsheetml/2009/9/main" objectType="GBox"/>
</file>

<file path=xl/ctrlProps/ctrlProp30.xml><?xml version="1.0" encoding="utf-8"?>
<formControlPr xmlns="http://schemas.microsoft.com/office/spreadsheetml/2009/9/main" objectType="GBox"/>
</file>

<file path=xl/ctrlProps/ctrlProp31.xml><?xml version="1.0" encoding="utf-8"?>
<formControlPr xmlns="http://schemas.microsoft.com/office/spreadsheetml/2009/9/main" objectType="GBox"/>
</file>

<file path=xl/ctrlProps/ctrlProp32.xml><?xml version="1.0" encoding="utf-8"?>
<formControlPr xmlns="http://schemas.microsoft.com/office/spreadsheetml/2009/9/main" objectType="GBox"/>
</file>

<file path=xl/ctrlProps/ctrlProp33.xml><?xml version="1.0" encoding="utf-8"?>
<formControlPr xmlns="http://schemas.microsoft.com/office/spreadsheetml/2009/9/main" objectType="GBox"/>
</file>

<file path=xl/ctrlProps/ctrlProp34.xml><?xml version="1.0" encoding="utf-8"?>
<formControlPr xmlns="http://schemas.microsoft.com/office/spreadsheetml/2009/9/main" objectType="GBox"/>
</file>

<file path=xl/ctrlProps/ctrlProp35.xml><?xml version="1.0" encoding="utf-8"?>
<formControlPr xmlns="http://schemas.microsoft.com/office/spreadsheetml/2009/9/main" objectType="GBox"/>
</file>

<file path=xl/ctrlProps/ctrlProp36.xml><?xml version="1.0" encoding="utf-8"?>
<formControlPr xmlns="http://schemas.microsoft.com/office/spreadsheetml/2009/9/main" objectType="GBox"/>
</file>

<file path=xl/ctrlProps/ctrlProp37.xml><?xml version="1.0" encoding="utf-8"?>
<formControlPr xmlns="http://schemas.microsoft.com/office/spreadsheetml/2009/9/main" objectType="GBox"/>
</file>

<file path=xl/ctrlProps/ctrlProp38.xml><?xml version="1.0" encoding="utf-8"?>
<formControlPr xmlns="http://schemas.microsoft.com/office/spreadsheetml/2009/9/main" objectType="GBox"/>
</file>

<file path=xl/ctrlProps/ctrlProp39.xml><?xml version="1.0" encoding="utf-8"?>
<formControlPr xmlns="http://schemas.microsoft.com/office/spreadsheetml/2009/9/main" objectType="CheckBox" fmlaLink="$J$46" lockText="1" noThreeD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CheckBox" fmlaLink="$J$45" lockText="1" noThreeD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CheckBox" fmlaLink="$J$59" lockText="1" noThreeD="1"/>
</file>

<file path=xl/ctrlProps/ctrlProp44.xml><?xml version="1.0" encoding="utf-8"?>
<formControlPr xmlns="http://schemas.microsoft.com/office/spreadsheetml/2009/9/main" objectType="Radio" checked="Checked" firstButton="1" fmlaLink="$Q$12" lockText="1" noThreeD="1"/>
</file>

<file path=xl/ctrlProps/ctrlProp45.xml><?xml version="1.0" encoding="utf-8"?>
<formControlPr xmlns="http://schemas.microsoft.com/office/spreadsheetml/2009/9/main" objectType="Radio" lockText="1" noThreeD="1"/>
</file>

<file path=xl/ctrlProps/ctrlProp46.xml><?xml version="1.0" encoding="utf-8"?>
<formControlPr xmlns="http://schemas.microsoft.com/office/spreadsheetml/2009/9/main" objectType="GBox"/>
</file>

<file path=xl/ctrlProps/ctrlProp47.xml><?xml version="1.0" encoding="utf-8"?>
<formControlPr xmlns="http://schemas.microsoft.com/office/spreadsheetml/2009/9/main" objectType="GBox"/>
</file>

<file path=xl/ctrlProps/ctrlProp48.xml><?xml version="1.0" encoding="utf-8"?>
<formControlPr xmlns="http://schemas.microsoft.com/office/spreadsheetml/2009/9/main" objectType="GBox"/>
</file>

<file path=xl/ctrlProps/ctrlProp49.xml><?xml version="1.0" encoding="utf-8"?>
<formControlPr xmlns="http://schemas.microsoft.com/office/spreadsheetml/2009/9/main" objectType="GBox"/>
</file>

<file path=xl/ctrlProps/ctrlProp50.xml><?xml version="1.0" encoding="utf-8"?>
<formControlPr xmlns="http://schemas.microsoft.com/office/spreadsheetml/2009/9/main" objectType="GBox"/>
</file>

<file path=xl/ctrlProps/ctrlProp51.xml><?xml version="1.0" encoding="utf-8"?>
<formControlPr xmlns="http://schemas.microsoft.com/office/spreadsheetml/2009/9/main" objectType="GBox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12700</xdr:colOff>
          <xdr:row>15</xdr:row>
          <xdr:rowOff>0</xdr:rowOff>
        </xdr:from>
        <xdr:to>
          <xdr:col>12</xdr:col>
          <xdr:colOff>260350</xdr:colOff>
          <xdr:row>15</xdr:row>
          <xdr:rowOff>279400</xdr:rowOff>
        </xdr:to>
        <xdr:sp macro="" textlink="">
          <xdr:nvSpPr>
            <xdr:cNvPr id="13313" name="Group Box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2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31750</xdr:colOff>
          <xdr:row>36</xdr:row>
          <xdr:rowOff>0</xdr:rowOff>
        </xdr:from>
        <xdr:to>
          <xdr:col>12</xdr:col>
          <xdr:colOff>88900</xdr:colOff>
          <xdr:row>37</xdr:row>
          <xdr:rowOff>95250</xdr:rowOff>
        </xdr:to>
        <xdr:sp macro="" textlink="">
          <xdr:nvSpPr>
            <xdr:cNvPr id="13314" name="Group Box 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2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31750</xdr:colOff>
          <xdr:row>36</xdr:row>
          <xdr:rowOff>0</xdr:rowOff>
        </xdr:from>
        <xdr:to>
          <xdr:col>12</xdr:col>
          <xdr:colOff>88900</xdr:colOff>
          <xdr:row>37</xdr:row>
          <xdr:rowOff>69850</xdr:rowOff>
        </xdr:to>
        <xdr:sp macro="" textlink="">
          <xdr:nvSpPr>
            <xdr:cNvPr id="13315" name="Group Box 3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:a16="http://schemas.microsoft.com/office/drawing/2014/main" id="{00000000-0008-0000-0200-00000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31750</xdr:colOff>
          <xdr:row>36</xdr:row>
          <xdr:rowOff>0</xdr:rowOff>
        </xdr:from>
        <xdr:to>
          <xdr:col>12</xdr:col>
          <xdr:colOff>88900</xdr:colOff>
          <xdr:row>37</xdr:row>
          <xdr:rowOff>95250</xdr:rowOff>
        </xdr:to>
        <xdr:sp macro="" textlink="">
          <xdr:nvSpPr>
            <xdr:cNvPr id="13316" name="Group Box 4" hidden="1">
              <a:extLst>
                <a:ext uri="{63B3BB69-23CF-44E3-9099-C40C66FF867C}">
                  <a14:compatExt spid="_x0000_s13316"/>
                </a:ext>
                <a:ext uri="{FF2B5EF4-FFF2-40B4-BE49-F238E27FC236}">
                  <a16:creationId xmlns:a16="http://schemas.microsoft.com/office/drawing/2014/main" id="{00000000-0008-0000-0200-000004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31750</xdr:colOff>
          <xdr:row>36</xdr:row>
          <xdr:rowOff>0</xdr:rowOff>
        </xdr:from>
        <xdr:to>
          <xdr:col>12</xdr:col>
          <xdr:colOff>88900</xdr:colOff>
          <xdr:row>37</xdr:row>
          <xdr:rowOff>38100</xdr:rowOff>
        </xdr:to>
        <xdr:sp macro="" textlink="">
          <xdr:nvSpPr>
            <xdr:cNvPr id="13317" name="Group Box 5" hidden="1">
              <a:extLst>
                <a:ext uri="{63B3BB69-23CF-44E3-9099-C40C66FF867C}">
                  <a14:compatExt spid="_x0000_s13317"/>
                </a:ext>
                <a:ext uri="{FF2B5EF4-FFF2-40B4-BE49-F238E27FC236}">
                  <a16:creationId xmlns:a16="http://schemas.microsoft.com/office/drawing/2014/main" id="{00000000-0008-0000-0200-000005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31750</xdr:colOff>
          <xdr:row>36</xdr:row>
          <xdr:rowOff>0</xdr:rowOff>
        </xdr:from>
        <xdr:to>
          <xdr:col>12</xdr:col>
          <xdr:colOff>88900</xdr:colOff>
          <xdr:row>37</xdr:row>
          <xdr:rowOff>95250</xdr:rowOff>
        </xdr:to>
        <xdr:sp macro="" textlink="">
          <xdr:nvSpPr>
            <xdr:cNvPr id="13318" name="Group Box 6" hidden="1">
              <a:extLst>
                <a:ext uri="{63B3BB69-23CF-44E3-9099-C40C66FF867C}">
                  <a14:compatExt spid="_x0000_s13318"/>
                </a:ext>
                <a:ext uri="{FF2B5EF4-FFF2-40B4-BE49-F238E27FC236}">
                  <a16:creationId xmlns:a16="http://schemas.microsoft.com/office/drawing/2014/main" id="{00000000-0008-0000-0200-000006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49</xdr:row>
          <xdr:rowOff>69850</xdr:rowOff>
        </xdr:from>
        <xdr:to>
          <xdr:col>4</xdr:col>
          <xdr:colOff>2222500</xdr:colOff>
          <xdr:row>49</xdr:row>
          <xdr:rowOff>247650</xdr:rowOff>
        </xdr:to>
        <xdr:sp macro="" textlink="">
          <xdr:nvSpPr>
            <xdr:cNvPr id="13325" name="Check Box 13" hidden="1">
              <a:extLst>
                <a:ext uri="{63B3BB69-23CF-44E3-9099-C40C66FF867C}">
                  <a14:compatExt spid="_x0000_s13325"/>
                </a:ext>
                <a:ext uri="{FF2B5EF4-FFF2-40B4-BE49-F238E27FC236}">
                  <a16:creationId xmlns:a16="http://schemas.microsoft.com/office/drawing/2014/main" id="{00000000-0008-0000-0200-00000D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00B0F0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Maternidad Plus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52</xdr:row>
          <xdr:rowOff>50800</xdr:rowOff>
        </xdr:from>
        <xdr:to>
          <xdr:col>5</xdr:col>
          <xdr:colOff>0</xdr:colOff>
          <xdr:row>52</xdr:row>
          <xdr:rowOff>228600</xdr:rowOff>
        </xdr:to>
        <xdr:sp macro="" textlink="">
          <xdr:nvSpPr>
            <xdr:cNvPr id="13326" name="Check Box 14" hidden="1">
              <a:extLst>
                <a:ext uri="{63B3BB69-23CF-44E3-9099-C40C66FF867C}">
                  <a14:compatExt spid="_x0000_s13326"/>
                </a:ext>
                <a:ext uri="{FF2B5EF4-FFF2-40B4-BE49-F238E27FC236}">
                  <a16:creationId xmlns:a16="http://schemas.microsoft.com/office/drawing/2014/main" id="{00000000-0008-0000-0200-00000E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00B0F0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Emergencia Médica en el Extranjero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50</xdr:row>
          <xdr:rowOff>50800</xdr:rowOff>
        </xdr:from>
        <xdr:to>
          <xdr:col>4</xdr:col>
          <xdr:colOff>2889250</xdr:colOff>
          <xdr:row>51</xdr:row>
          <xdr:rowOff>0</xdr:rowOff>
        </xdr:to>
        <xdr:sp macro="" textlink="">
          <xdr:nvSpPr>
            <xdr:cNvPr id="13327" name="Check Box 15" hidden="1">
              <a:extLst>
                <a:ext uri="{63B3BB69-23CF-44E3-9099-C40C66FF867C}">
                  <a14:compatExt spid="_x0000_s13327"/>
                </a:ext>
                <a:ext uri="{FF2B5EF4-FFF2-40B4-BE49-F238E27FC236}">
                  <a16:creationId xmlns:a16="http://schemas.microsoft.com/office/drawing/2014/main" id="{00000000-0008-0000-0200-00000F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00B0F0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Multiregión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51</xdr:row>
          <xdr:rowOff>57150</xdr:rowOff>
        </xdr:from>
        <xdr:to>
          <xdr:col>4</xdr:col>
          <xdr:colOff>2889250</xdr:colOff>
          <xdr:row>51</xdr:row>
          <xdr:rowOff>247650</xdr:rowOff>
        </xdr:to>
        <xdr:sp macro="" textlink="">
          <xdr:nvSpPr>
            <xdr:cNvPr id="13328" name="Check Box 16" hidden="1">
              <a:extLst>
                <a:ext uri="{63B3BB69-23CF-44E3-9099-C40C66FF867C}">
                  <a14:compatExt spid="_x0000_s13328"/>
                </a:ext>
                <a:ext uri="{FF2B5EF4-FFF2-40B4-BE49-F238E27FC236}">
                  <a16:creationId xmlns:a16="http://schemas.microsoft.com/office/drawing/2014/main" id="{00000000-0008-0000-0200-000010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00B0F0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Beneficio Hospitalario VIP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54</xdr:row>
          <xdr:rowOff>31750</xdr:rowOff>
        </xdr:from>
        <xdr:to>
          <xdr:col>5</xdr:col>
          <xdr:colOff>0</xdr:colOff>
          <xdr:row>54</xdr:row>
          <xdr:rowOff>222250</xdr:rowOff>
        </xdr:to>
        <xdr:sp macro="" textlink="">
          <xdr:nvSpPr>
            <xdr:cNvPr id="13329" name="Check Box 17" hidden="1">
              <a:extLst>
                <a:ext uri="{63B3BB69-23CF-44E3-9099-C40C66FF867C}">
                  <a14:compatExt spid="_x0000_s13329"/>
                </a:ext>
                <a:ext uri="{FF2B5EF4-FFF2-40B4-BE49-F238E27FC236}">
                  <a16:creationId xmlns:a16="http://schemas.microsoft.com/office/drawing/2014/main" id="{00000000-0008-0000-0200-00001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00B0F0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Cobertura Internacional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53</xdr:row>
          <xdr:rowOff>38100</xdr:rowOff>
        </xdr:from>
        <xdr:to>
          <xdr:col>4</xdr:col>
          <xdr:colOff>2889250</xdr:colOff>
          <xdr:row>53</xdr:row>
          <xdr:rowOff>228600</xdr:rowOff>
        </xdr:to>
        <xdr:sp macro="" textlink="">
          <xdr:nvSpPr>
            <xdr:cNvPr id="13330" name="Check Box 18" hidden="1">
              <a:extLst>
                <a:ext uri="{63B3BB69-23CF-44E3-9099-C40C66FF867C}">
                  <a14:compatExt spid="_x0000_s13330"/>
                </a:ext>
                <a:ext uri="{FF2B5EF4-FFF2-40B4-BE49-F238E27FC236}">
                  <a16:creationId xmlns:a16="http://schemas.microsoft.com/office/drawing/2014/main" id="{00000000-0008-0000-0200-00001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00B0F0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Enfermedades Graves en el Extrajero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55</xdr:row>
          <xdr:rowOff>31750</xdr:rowOff>
        </xdr:from>
        <xdr:to>
          <xdr:col>4</xdr:col>
          <xdr:colOff>2889250</xdr:colOff>
          <xdr:row>55</xdr:row>
          <xdr:rowOff>209550</xdr:rowOff>
        </xdr:to>
        <xdr:sp macro="" textlink="">
          <xdr:nvSpPr>
            <xdr:cNvPr id="13331" name="Check Box 19" hidden="1">
              <a:extLst>
                <a:ext uri="{63B3BB69-23CF-44E3-9099-C40C66FF867C}">
                  <a14:compatExt spid="_x0000_s13331"/>
                </a:ext>
                <a:ext uri="{FF2B5EF4-FFF2-40B4-BE49-F238E27FC236}">
                  <a16:creationId xmlns:a16="http://schemas.microsoft.com/office/drawing/2014/main" id="{00000000-0008-0000-0200-00001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00B0F0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Ampliación de Servicios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47</xdr:row>
          <xdr:rowOff>95250</xdr:rowOff>
        </xdr:from>
        <xdr:to>
          <xdr:col>5</xdr:col>
          <xdr:colOff>0</xdr:colOff>
          <xdr:row>48</xdr:row>
          <xdr:rowOff>31750</xdr:rowOff>
        </xdr:to>
        <xdr:sp macro="" textlink="">
          <xdr:nvSpPr>
            <xdr:cNvPr id="13332" name="Check Box 20" hidden="1">
              <a:extLst>
                <a:ext uri="{63B3BB69-23CF-44E3-9099-C40C66FF867C}">
                  <a14:compatExt spid="_x0000_s13332"/>
                </a:ext>
                <a:ext uri="{FF2B5EF4-FFF2-40B4-BE49-F238E27FC236}">
                  <a16:creationId xmlns:a16="http://schemas.microsoft.com/office/drawing/2014/main" id="{00000000-0008-0000-0200-000014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00B0F0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Padecimientos Preexistentes Declarados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46</xdr:row>
          <xdr:rowOff>95250</xdr:rowOff>
        </xdr:from>
        <xdr:to>
          <xdr:col>4</xdr:col>
          <xdr:colOff>2876550</xdr:colOff>
          <xdr:row>47</xdr:row>
          <xdr:rowOff>38100</xdr:rowOff>
        </xdr:to>
        <xdr:sp macro="" textlink="">
          <xdr:nvSpPr>
            <xdr:cNvPr id="13333" name="Check Box 21" hidden="1">
              <a:extLst>
                <a:ext uri="{63B3BB69-23CF-44E3-9099-C40C66FF867C}">
                  <a14:compatExt spid="_x0000_s13333"/>
                </a:ext>
                <a:ext uri="{FF2B5EF4-FFF2-40B4-BE49-F238E27FC236}">
                  <a16:creationId xmlns:a16="http://schemas.microsoft.com/office/drawing/2014/main" id="{00000000-0008-0000-0200-000015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00B0F0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Complicaciones de Tratamientos No Amparados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48</xdr:row>
          <xdr:rowOff>76200</xdr:rowOff>
        </xdr:from>
        <xdr:to>
          <xdr:col>4</xdr:col>
          <xdr:colOff>2876550</xdr:colOff>
          <xdr:row>49</xdr:row>
          <xdr:rowOff>12700</xdr:rowOff>
        </xdr:to>
        <xdr:sp macro="" textlink="">
          <xdr:nvSpPr>
            <xdr:cNvPr id="13334" name="Check Box 22" hidden="1">
              <a:extLst>
                <a:ext uri="{63B3BB69-23CF-44E3-9099-C40C66FF867C}">
                  <a14:compatExt spid="_x0000_s13334"/>
                </a:ext>
                <a:ext uri="{FF2B5EF4-FFF2-40B4-BE49-F238E27FC236}">
                  <a16:creationId xmlns:a16="http://schemas.microsoft.com/office/drawing/2014/main" id="{00000000-0008-0000-0200-000016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00B0F0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Eliminación de Deducible por Accidente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56</xdr:row>
          <xdr:rowOff>12700</xdr:rowOff>
        </xdr:from>
        <xdr:to>
          <xdr:col>5</xdr:col>
          <xdr:colOff>0</xdr:colOff>
          <xdr:row>56</xdr:row>
          <xdr:rowOff>171450</xdr:rowOff>
        </xdr:to>
        <xdr:sp macro="" textlink="">
          <xdr:nvSpPr>
            <xdr:cNvPr id="13336" name="Check Box 24" hidden="1">
              <a:extLst>
                <a:ext uri="{63B3BB69-23CF-44E3-9099-C40C66FF867C}">
                  <a14:compatExt spid="_x0000_s13336"/>
                </a:ext>
                <a:ext uri="{FF2B5EF4-FFF2-40B4-BE49-F238E27FC236}">
                  <a16:creationId xmlns:a16="http://schemas.microsoft.com/office/drawing/2014/main" id="{00000000-0008-0000-0200-000018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00B0F0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Ayuda Diaria por Hospitalización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56</xdr:row>
          <xdr:rowOff>228600</xdr:rowOff>
        </xdr:from>
        <xdr:to>
          <xdr:col>5</xdr:col>
          <xdr:colOff>0</xdr:colOff>
          <xdr:row>57</xdr:row>
          <xdr:rowOff>184150</xdr:rowOff>
        </xdr:to>
        <xdr:sp macro="" textlink="">
          <xdr:nvSpPr>
            <xdr:cNvPr id="13337" name="Check Box 25" hidden="1">
              <a:extLst>
                <a:ext uri="{63B3BB69-23CF-44E3-9099-C40C66FF867C}">
                  <a14:compatExt spid="_x0000_s13337"/>
                </a:ext>
                <a:ext uri="{FF2B5EF4-FFF2-40B4-BE49-F238E27FC236}">
                  <a16:creationId xmlns:a16="http://schemas.microsoft.com/office/drawing/2014/main" id="{00000000-0008-0000-0200-000019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00B0F0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Indemnización de Enfermedades Graves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31750</xdr:colOff>
          <xdr:row>32</xdr:row>
          <xdr:rowOff>0</xdr:rowOff>
        </xdr:from>
        <xdr:to>
          <xdr:col>12</xdr:col>
          <xdr:colOff>88900</xdr:colOff>
          <xdr:row>33</xdr:row>
          <xdr:rowOff>95250</xdr:rowOff>
        </xdr:to>
        <xdr:sp macro="" textlink="">
          <xdr:nvSpPr>
            <xdr:cNvPr id="13338" name="Group Box 26" hidden="1">
              <a:extLst>
                <a:ext uri="{63B3BB69-23CF-44E3-9099-C40C66FF867C}">
                  <a14:compatExt spid="_x0000_s13338"/>
                </a:ext>
                <a:ext uri="{FF2B5EF4-FFF2-40B4-BE49-F238E27FC236}">
                  <a16:creationId xmlns:a16="http://schemas.microsoft.com/office/drawing/2014/main" id="{00000000-0008-0000-0200-00001A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31750</xdr:colOff>
          <xdr:row>32</xdr:row>
          <xdr:rowOff>0</xdr:rowOff>
        </xdr:from>
        <xdr:to>
          <xdr:col>12</xdr:col>
          <xdr:colOff>88900</xdr:colOff>
          <xdr:row>33</xdr:row>
          <xdr:rowOff>76200</xdr:rowOff>
        </xdr:to>
        <xdr:sp macro="" textlink="">
          <xdr:nvSpPr>
            <xdr:cNvPr id="13339" name="Group Box 27" hidden="1">
              <a:extLst>
                <a:ext uri="{63B3BB69-23CF-44E3-9099-C40C66FF867C}">
                  <a14:compatExt spid="_x0000_s13339"/>
                </a:ext>
                <a:ext uri="{FF2B5EF4-FFF2-40B4-BE49-F238E27FC236}">
                  <a16:creationId xmlns:a16="http://schemas.microsoft.com/office/drawing/2014/main" id="{00000000-0008-0000-0200-00001B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31750</xdr:colOff>
          <xdr:row>32</xdr:row>
          <xdr:rowOff>0</xdr:rowOff>
        </xdr:from>
        <xdr:to>
          <xdr:col>12</xdr:col>
          <xdr:colOff>88900</xdr:colOff>
          <xdr:row>33</xdr:row>
          <xdr:rowOff>95250</xdr:rowOff>
        </xdr:to>
        <xdr:sp macro="" textlink="">
          <xdr:nvSpPr>
            <xdr:cNvPr id="13340" name="Group Box 28" hidden="1">
              <a:extLst>
                <a:ext uri="{63B3BB69-23CF-44E3-9099-C40C66FF867C}">
                  <a14:compatExt spid="_x0000_s13340"/>
                </a:ext>
                <a:ext uri="{FF2B5EF4-FFF2-40B4-BE49-F238E27FC236}">
                  <a16:creationId xmlns:a16="http://schemas.microsoft.com/office/drawing/2014/main" id="{00000000-0008-0000-0200-00001C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31750</xdr:colOff>
          <xdr:row>32</xdr:row>
          <xdr:rowOff>0</xdr:rowOff>
        </xdr:from>
        <xdr:to>
          <xdr:col>12</xdr:col>
          <xdr:colOff>88900</xdr:colOff>
          <xdr:row>33</xdr:row>
          <xdr:rowOff>50800</xdr:rowOff>
        </xdr:to>
        <xdr:sp macro="" textlink="">
          <xdr:nvSpPr>
            <xdr:cNvPr id="13341" name="Group Box 29" hidden="1">
              <a:extLst>
                <a:ext uri="{63B3BB69-23CF-44E3-9099-C40C66FF867C}">
                  <a14:compatExt spid="_x0000_s13341"/>
                </a:ext>
                <a:ext uri="{FF2B5EF4-FFF2-40B4-BE49-F238E27FC236}">
                  <a16:creationId xmlns:a16="http://schemas.microsoft.com/office/drawing/2014/main" id="{00000000-0008-0000-0200-00001D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31750</xdr:colOff>
          <xdr:row>32</xdr:row>
          <xdr:rowOff>0</xdr:rowOff>
        </xdr:from>
        <xdr:to>
          <xdr:col>12</xdr:col>
          <xdr:colOff>88900</xdr:colOff>
          <xdr:row>33</xdr:row>
          <xdr:rowOff>107950</xdr:rowOff>
        </xdr:to>
        <xdr:sp macro="" textlink="">
          <xdr:nvSpPr>
            <xdr:cNvPr id="13342" name="Group Box 30" hidden="1">
              <a:extLst>
                <a:ext uri="{63B3BB69-23CF-44E3-9099-C40C66FF867C}">
                  <a14:compatExt spid="_x0000_s13342"/>
                </a:ext>
                <a:ext uri="{FF2B5EF4-FFF2-40B4-BE49-F238E27FC236}">
                  <a16:creationId xmlns:a16="http://schemas.microsoft.com/office/drawing/2014/main" id="{00000000-0008-0000-0200-00001E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31750</xdr:colOff>
          <xdr:row>35</xdr:row>
          <xdr:rowOff>0</xdr:rowOff>
        </xdr:from>
        <xdr:to>
          <xdr:col>12</xdr:col>
          <xdr:colOff>88900</xdr:colOff>
          <xdr:row>36</xdr:row>
          <xdr:rowOff>95250</xdr:rowOff>
        </xdr:to>
        <xdr:sp macro="" textlink="">
          <xdr:nvSpPr>
            <xdr:cNvPr id="13343" name="Group Box 31" hidden="1">
              <a:extLst>
                <a:ext uri="{63B3BB69-23CF-44E3-9099-C40C66FF867C}">
                  <a14:compatExt spid="_x0000_s13343"/>
                </a:ext>
                <a:ext uri="{FF2B5EF4-FFF2-40B4-BE49-F238E27FC236}">
                  <a16:creationId xmlns:a16="http://schemas.microsoft.com/office/drawing/2014/main" id="{00000000-0008-0000-0200-00001F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31750</xdr:colOff>
          <xdr:row>35</xdr:row>
          <xdr:rowOff>0</xdr:rowOff>
        </xdr:from>
        <xdr:to>
          <xdr:col>12</xdr:col>
          <xdr:colOff>88900</xdr:colOff>
          <xdr:row>36</xdr:row>
          <xdr:rowOff>76200</xdr:rowOff>
        </xdr:to>
        <xdr:sp macro="" textlink="">
          <xdr:nvSpPr>
            <xdr:cNvPr id="13344" name="Group Box 32" hidden="1">
              <a:extLst>
                <a:ext uri="{63B3BB69-23CF-44E3-9099-C40C66FF867C}">
                  <a14:compatExt spid="_x0000_s13344"/>
                </a:ext>
                <a:ext uri="{FF2B5EF4-FFF2-40B4-BE49-F238E27FC236}">
                  <a16:creationId xmlns:a16="http://schemas.microsoft.com/office/drawing/2014/main" id="{00000000-0008-0000-0200-000020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31750</xdr:colOff>
          <xdr:row>35</xdr:row>
          <xdr:rowOff>0</xdr:rowOff>
        </xdr:from>
        <xdr:to>
          <xdr:col>12</xdr:col>
          <xdr:colOff>88900</xdr:colOff>
          <xdr:row>36</xdr:row>
          <xdr:rowOff>95250</xdr:rowOff>
        </xdr:to>
        <xdr:sp macro="" textlink="">
          <xdr:nvSpPr>
            <xdr:cNvPr id="13345" name="Group Box 33" hidden="1">
              <a:extLst>
                <a:ext uri="{63B3BB69-23CF-44E3-9099-C40C66FF867C}">
                  <a14:compatExt spid="_x0000_s13345"/>
                </a:ext>
                <a:ext uri="{FF2B5EF4-FFF2-40B4-BE49-F238E27FC236}">
                  <a16:creationId xmlns:a16="http://schemas.microsoft.com/office/drawing/2014/main" id="{00000000-0008-0000-0200-00002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31750</xdr:colOff>
          <xdr:row>35</xdr:row>
          <xdr:rowOff>0</xdr:rowOff>
        </xdr:from>
        <xdr:to>
          <xdr:col>12</xdr:col>
          <xdr:colOff>88900</xdr:colOff>
          <xdr:row>36</xdr:row>
          <xdr:rowOff>50800</xdr:rowOff>
        </xdr:to>
        <xdr:sp macro="" textlink="">
          <xdr:nvSpPr>
            <xdr:cNvPr id="13346" name="Group Box 34" hidden="1">
              <a:extLst>
                <a:ext uri="{63B3BB69-23CF-44E3-9099-C40C66FF867C}">
                  <a14:compatExt spid="_x0000_s13346"/>
                </a:ext>
                <a:ext uri="{FF2B5EF4-FFF2-40B4-BE49-F238E27FC236}">
                  <a16:creationId xmlns:a16="http://schemas.microsoft.com/office/drawing/2014/main" id="{00000000-0008-0000-0200-00002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31750</xdr:colOff>
          <xdr:row>35</xdr:row>
          <xdr:rowOff>0</xdr:rowOff>
        </xdr:from>
        <xdr:to>
          <xdr:col>12</xdr:col>
          <xdr:colOff>88900</xdr:colOff>
          <xdr:row>36</xdr:row>
          <xdr:rowOff>107950</xdr:rowOff>
        </xdr:to>
        <xdr:sp macro="" textlink="">
          <xdr:nvSpPr>
            <xdr:cNvPr id="13347" name="Group Box 35" hidden="1">
              <a:extLst>
                <a:ext uri="{63B3BB69-23CF-44E3-9099-C40C66FF867C}">
                  <a14:compatExt spid="_x0000_s13347"/>
                </a:ext>
                <a:ext uri="{FF2B5EF4-FFF2-40B4-BE49-F238E27FC236}">
                  <a16:creationId xmlns:a16="http://schemas.microsoft.com/office/drawing/2014/main" id="{00000000-0008-0000-0200-00002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31750</xdr:colOff>
          <xdr:row>34</xdr:row>
          <xdr:rowOff>0</xdr:rowOff>
        </xdr:from>
        <xdr:to>
          <xdr:col>12</xdr:col>
          <xdr:colOff>88900</xdr:colOff>
          <xdr:row>35</xdr:row>
          <xdr:rowOff>95250</xdr:rowOff>
        </xdr:to>
        <xdr:sp macro="" textlink="">
          <xdr:nvSpPr>
            <xdr:cNvPr id="13348" name="Group Box 36" hidden="1">
              <a:extLst>
                <a:ext uri="{63B3BB69-23CF-44E3-9099-C40C66FF867C}">
                  <a14:compatExt spid="_x0000_s13348"/>
                </a:ext>
                <a:ext uri="{FF2B5EF4-FFF2-40B4-BE49-F238E27FC236}">
                  <a16:creationId xmlns:a16="http://schemas.microsoft.com/office/drawing/2014/main" id="{00000000-0008-0000-0200-000024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31750</xdr:colOff>
          <xdr:row>34</xdr:row>
          <xdr:rowOff>0</xdr:rowOff>
        </xdr:from>
        <xdr:to>
          <xdr:col>12</xdr:col>
          <xdr:colOff>88900</xdr:colOff>
          <xdr:row>35</xdr:row>
          <xdr:rowOff>69850</xdr:rowOff>
        </xdr:to>
        <xdr:sp macro="" textlink="">
          <xdr:nvSpPr>
            <xdr:cNvPr id="13349" name="Group Box 37" hidden="1">
              <a:extLst>
                <a:ext uri="{63B3BB69-23CF-44E3-9099-C40C66FF867C}">
                  <a14:compatExt spid="_x0000_s13349"/>
                </a:ext>
                <a:ext uri="{FF2B5EF4-FFF2-40B4-BE49-F238E27FC236}">
                  <a16:creationId xmlns:a16="http://schemas.microsoft.com/office/drawing/2014/main" id="{00000000-0008-0000-0200-000025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31750</xdr:colOff>
          <xdr:row>34</xdr:row>
          <xdr:rowOff>0</xdr:rowOff>
        </xdr:from>
        <xdr:to>
          <xdr:col>12</xdr:col>
          <xdr:colOff>88900</xdr:colOff>
          <xdr:row>35</xdr:row>
          <xdr:rowOff>95250</xdr:rowOff>
        </xdr:to>
        <xdr:sp macro="" textlink="">
          <xdr:nvSpPr>
            <xdr:cNvPr id="13350" name="Group Box 38" hidden="1">
              <a:extLst>
                <a:ext uri="{63B3BB69-23CF-44E3-9099-C40C66FF867C}">
                  <a14:compatExt spid="_x0000_s13350"/>
                </a:ext>
                <a:ext uri="{FF2B5EF4-FFF2-40B4-BE49-F238E27FC236}">
                  <a16:creationId xmlns:a16="http://schemas.microsoft.com/office/drawing/2014/main" id="{00000000-0008-0000-0200-000026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31750</xdr:colOff>
          <xdr:row>34</xdr:row>
          <xdr:rowOff>0</xdr:rowOff>
        </xdr:from>
        <xdr:to>
          <xdr:col>12</xdr:col>
          <xdr:colOff>88900</xdr:colOff>
          <xdr:row>35</xdr:row>
          <xdr:rowOff>38100</xdr:rowOff>
        </xdr:to>
        <xdr:sp macro="" textlink="">
          <xdr:nvSpPr>
            <xdr:cNvPr id="13351" name="Group Box 39" hidden="1">
              <a:extLst>
                <a:ext uri="{63B3BB69-23CF-44E3-9099-C40C66FF867C}">
                  <a14:compatExt spid="_x0000_s13351"/>
                </a:ext>
                <a:ext uri="{FF2B5EF4-FFF2-40B4-BE49-F238E27FC236}">
                  <a16:creationId xmlns:a16="http://schemas.microsoft.com/office/drawing/2014/main" id="{00000000-0008-0000-0200-000027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31750</xdr:colOff>
          <xdr:row>34</xdr:row>
          <xdr:rowOff>0</xdr:rowOff>
        </xdr:from>
        <xdr:to>
          <xdr:col>12</xdr:col>
          <xdr:colOff>88900</xdr:colOff>
          <xdr:row>35</xdr:row>
          <xdr:rowOff>95250</xdr:rowOff>
        </xdr:to>
        <xdr:sp macro="" textlink="">
          <xdr:nvSpPr>
            <xdr:cNvPr id="13352" name="Group Box 40" hidden="1">
              <a:extLst>
                <a:ext uri="{63B3BB69-23CF-44E3-9099-C40C66FF867C}">
                  <a14:compatExt spid="_x0000_s13352"/>
                </a:ext>
                <a:ext uri="{FF2B5EF4-FFF2-40B4-BE49-F238E27FC236}">
                  <a16:creationId xmlns:a16="http://schemas.microsoft.com/office/drawing/2014/main" id="{00000000-0008-0000-0200-000028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31750</xdr:colOff>
          <xdr:row>33</xdr:row>
          <xdr:rowOff>0</xdr:rowOff>
        </xdr:from>
        <xdr:to>
          <xdr:col>12</xdr:col>
          <xdr:colOff>88900</xdr:colOff>
          <xdr:row>34</xdr:row>
          <xdr:rowOff>95250</xdr:rowOff>
        </xdr:to>
        <xdr:sp macro="" textlink="">
          <xdr:nvSpPr>
            <xdr:cNvPr id="13353" name="Group Box 41" hidden="1">
              <a:extLst>
                <a:ext uri="{63B3BB69-23CF-44E3-9099-C40C66FF867C}">
                  <a14:compatExt spid="_x0000_s13353"/>
                </a:ext>
                <a:ext uri="{FF2B5EF4-FFF2-40B4-BE49-F238E27FC236}">
                  <a16:creationId xmlns:a16="http://schemas.microsoft.com/office/drawing/2014/main" id="{00000000-0008-0000-0200-000029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31750</xdr:colOff>
          <xdr:row>33</xdr:row>
          <xdr:rowOff>0</xdr:rowOff>
        </xdr:from>
        <xdr:to>
          <xdr:col>12</xdr:col>
          <xdr:colOff>88900</xdr:colOff>
          <xdr:row>34</xdr:row>
          <xdr:rowOff>76200</xdr:rowOff>
        </xdr:to>
        <xdr:sp macro="" textlink="">
          <xdr:nvSpPr>
            <xdr:cNvPr id="13354" name="Group Box 42" hidden="1">
              <a:extLst>
                <a:ext uri="{63B3BB69-23CF-44E3-9099-C40C66FF867C}">
                  <a14:compatExt spid="_x0000_s13354"/>
                </a:ext>
                <a:ext uri="{FF2B5EF4-FFF2-40B4-BE49-F238E27FC236}">
                  <a16:creationId xmlns:a16="http://schemas.microsoft.com/office/drawing/2014/main" id="{00000000-0008-0000-0200-00002A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31750</xdr:colOff>
          <xdr:row>33</xdr:row>
          <xdr:rowOff>0</xdr:rowOff>
        </xdr:from>
        <xdr:to>
          <xdr:col>12</xdr:col>
          <xdr:colOff>88900</xdr:colOff>
          <xdr:row>34</xdr:row>
          <xdr:rowOff>95250</xdr:rowOff>
        </xdr:to>
        <xdr:sp macro="" textlink="">
          <xdr:nvSpPr>
            <xdr:cNvPr id="13355" name="Group Box 43" hidden="1">
              <a:extLst>
                <a:ext uri="{63B3BB69-23CF-44E3-9099-C40C66FF867C}">
                  <a14:compatExt spid="_x0000_s13355"/>
                </a:ext>
                <a:ext uri="{FF2B5EF4-FFF2-40B4-BE49-F238E27FC236}">
                  <a16:creationId xmlns:a16="http://schemas.microsoft.com/office/drawing/2014/main" id="{00000000-0008-0000-0200-00002B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31750</xdr:colOff>
          <xdr:row>33</xdr:row>
          <xdr:rowOff>0</xdr:rowOff>
        </xdr:from>
        <xdr:to>
          <xdr:col>12</xdr:col>
          <xdr:colOff>88900</xdr:colOff>
          <xdr:row>34</xdr:row>
          <xdr:rowOff>50800</xdr:rowOff>
        </xdr:to>
        <xdr:sp macro="" textlink="">
          <xdr:nvSpPr>
            <xdr:cNvPr id="13356" name="Group Box 44" hidden="1">
              <a:extLst>
                <a:ext uri="{63B3BB69-23CF-44E3-9099-C40C66FF867C}">
                  <a14:compatExt spid="_x0000_s13356"/>
                </a:ext>
                <a:ext uri="{FF2B5EF4-FFF2-40B4-BE49-F238E27FC236}">
                  <a16:creationId xmlns:a16="http://schemas.microsoft.com/office/drawing/2014/main" id="{00000000-0008-0000-0200-00002C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31750</xdr:colOff>
          <xdr:row>33</xdr:row>
          <xdr:rowOff>0</xdr:rowOff>
        </xdr:from>
        <xdr:to>
          <xdr:col>12</xdr:col>
          <xdr:colOff>88900</xdr:colOff>
          <xdr:row>34</xdr:row>
          <xdr:rowOff>107950</xdr:rowOff>
        </xdr:to>
        <xdr:sp macro="" textlink="">
          <xdr:nvSpPr>
            <xdr:cNvPr id="13357" name="Group Box 45" hidden="1">
              <a:extLst>
                <a:ext uri="{63B3BB69-23CF-44E3-9099-C40C66FF867C}">
                  <a14:compatExt spid="_x0000_s13357"/>
                </a:ext>
                <a:ext uri="{FF2B5EF4-FFF2-40B4-BE49-F238E27FC236}">
                  <a16:creationId xmlns:a16="http://schemas.microsoft.com/office/drawing/2014/main" id="{00000000-0008-0000-0200-00002D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45</xdr:row>
          <xdr:rowOff>95250</xdr:rowOff>
        </xdr:from>
        <xdr:to>
          <xdr:col>5</xdr:col>
          <xdr:colOff>0</xdr:colOff>
          <xdr:row>46</xdr:row>
          <xdr:rowOff>50800</xdr:rowOff>
        </xdr:to>
        <xdr:sp macro="" textlink="">
          <xdr:nvSpPr>
            <xdr:cNvPr id="13363" name="Check Box 51" hidden="1">
              <a:extLst>
                <a:ext uri="{63B3BB69-23CF-44E3-9099-C40C66FF867C}">
                  <a14:compatExt spid="_x0000_s13363"/>
                </a:ext>
                <a:ext uri="{FF2B5EF4-FFF2-40B4-BE49-F238E27FC236}">
                  <a16:creationId xmlns:a16="http://schemas.microsoft.com/office/drawing/2014/main" id="{00000000-0008-0000-0200-00003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00B0F0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Medicamentos Fuera del Hospital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19050</xdr:colOff>
          <xdr:row>62</xdr:row>
          <xdr:rowOff>38100</xdr:rowOff>
        </xdr:from>
        <xdr:to>
          <xdr:col>14</xdr:col>
          <xdr:colOff>0</xdr:colOff>
          <xdr:row>64</xdr:row>
          <xdr:rowOff>19050</xdr:rowOff>
        </xdr:to>
        <xdr:sp macro="" textlink="">
          <xdr:nvSpPr>
            <xdr:cNvPr id="13372" name="Button 60" hidden="1">
              <a:extLst>
                <a:ext uri="{63B3BB69-23CF-44E3-9099-C40C66FF867C}">
                  <a14:compatExt spid="_x0000_s13372"/>
                </a:ext>
                <a:ext uri="{FF2B5EF4-FFF2-40B4-BE49-F238E27FC236}">
                  <a16:creationId xmlns:a16="http://schemas.microsoft.com/office/drawing/2014/main" id="{00000000-0008-0000-0200-00003C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Borrar Datos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44</xdr:row>
          <xdr:rowOff>88900</xdr:rowOff>
        </xdr:from>
        <xdr:to>
          <xdr:col>5</xdr:col>
          <xdr:colOff>0</xdr:colOff>
          <xdr:row>45</xdr:row>
          <xdr:rowOff>38100</xdr:rowOff>
        </xdr:to>
        <xdr:sp macro="" textlink="">
          <xdr:nvSpPr>
            <xdr:cNvPr id="13374" name="Check Box 62" hidden="1">
              <a:extLst>
                <a:ext uri="{63B3BB69-23CF-44E3-9099-C40C66FF867C}">
                  <a14:compatExt spid="_x0000_s13374"/>
                </a:ext>
                <a:ext uri="{FF2B5EF4-FFF2-40B4-BE49-F238E27FC236}">
                  <a16:creationId xmlns:a16="http://schemas.microsoft.com/office/drawing/2014/main" id="{00000000-0008-0000-0200-00003E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00B0F0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Reconocimiento de Antiguedad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1047750</xdr:colOff>
          <xdr:row>62</xdr:row>
          <xdr:rowOff>69850</xdr:rowOff>
        </xdr:from>
        <xdr:to>
          <xdr:col>11</xdr:col>
          <xdr:colOff>869950</xdr:colOff>
          <xdr:row>64</xdr:row>
          <xdr:rowOff>31750</xdr:rowOff>
        </xdr:to>
        <xdr:sp macro="" textlink="">
          <xdr:nvSpPr>
            <xdr:cNvPr id="13379" name="Button 67" hidden="1">
              <a:extLst>
                <a:ext uri="{63B3BB69-23CF-44E3-9099-C40C66FF867C}">
                  <a14:compatExt spid="_x0000_s13379"/>
                </a:ext>
                <a:ext uri="{FF2B5EF4-FFF2-40B4-BE49-F238E27FC236}">
                  <a16:creationId xmlns:a16="http://schemas.microsoft.com/office/drawing/2014/main" id="{00000000-0008-0000-0200-00004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Cotizar 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0</xdr:row>
      <xdr:rowOff>0</xdr:rowOff>
    </xdr:from>
    <xdr:to>
      <xdr:col>11</xdr:col>
      <xdr:colOff>1240292</xdr:colOff>
      <xdr:row>2</xdr:row>
      <xdr:rowOff>234043</xdr:rowOff>
    </xdr:to>
    <xdr:pic>
      <xdr:nvPicPr>
        <xdr:cNvPr id="50" name="Imagen 49">
          <a:extLst>
            <a:ext uri="{FF2B5EF4-FFF2-40B4-BE49-F238E27FC236}">
              <a16:creationId xmlns:a16="http://schemas.microsoft.com/office/drawing/2014/main" id="{00000000-0008-0000-0200-00003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9496425" cy="7239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2502692</xdr:colOff>
      <xdr:row>0</xdr:row>
      <xdr:rowOff>0</xdr:rowOff>
    </xdr:from>
    <xdr:to>
      <xdr:col>16</xdr:col>
      <xdr:colOff>0</xdr:colOff>
      <xdr:row>2</xdr:row>
      <xdr:rowOff>234043</xdr:rowOff>
    </xdr:to>
    <xdr:pic>
      <xdr:nvPicPr>
        <xdr:cNvPr id="51" name="Imagen 50">
          <a:extLst>
            <a:ext uri="{FF2B5EF4-FFF2-40B4-BE49-F238E27FC236}">
              <a16:creationId xmlns:a16="http://schemas.microsoft.com/office/drawing/2014/main" id="{00000000-0008-0000-0200-000033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214"/>
        <a:stretch/>
      </xdr:blipFill>
      <xdr:spPr bwMode="auto">
        <a:xfrm>
          <a:off x="4336255" y="0"/>
          <a:ext cx="7153276" cy="72219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6</xdr:col>
      <xdr:colOff>59533</xdr:colOff>
      <xdr:row>0</xdr:row>
      <xdr:rowOff>119063</xdr:rowOff>
    </xdr:from>
    <xdr:to>
      <xdr:col>7</xdr:col>
      <xdr:colOff>843546</xdr:colOff>
      <xdr:row>2</xdr:row>
      <xdr:rowOff>98920</xdr:rowOff>
    </xdr:to>
    <xdr:sp macro="" textlink="">
      <xdr:nvSpPr>
        <xdr:cNvPr id="52" name="Rectángulo 51">
          <a:extLst>
            <a:ext uri="{FF2B5EF4-FFF2-40B4-BE49-F238E27FC236}">
              <a16:creationId xmlns:a16="http://schemas.microsoft.com/office/drawing/2014/main" id="{00000000-0008-0000-0200-000034000000}"/>
            </a:ext>
          </a:extLst>
        </xdr:cNvPr>
        <xdr:cNvSpPr/>
      </xdr:nvSpPr>
      <xdr:spPr>
        <a:xfrm>
          <a:off x="4917283" y="119063"/>
          <a:ext cx="1819857" cy="468013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>
          <a:defPPr>
            <a:defRPr lang="es-MX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s-ES" sz="24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Corbel" panose="020B0503020204020204" pitchFamily="34" charset="0"/>
            </a:rPr>
            <a:t>Cotizador</a:t>
          </a:r>
        </a:p>
      </xdr:txBody>
    </xdr:sp>
    <xdr:clientData/>
  </xdr:twoCellAnchor>
  <xdr:twoCellAnchor>
    <xdr:from>
      <xdr:col>11</xdr:col>
      <xdr:colOff>678656</xdr:colOff>
      <xdr:row>4</xdr:row>
      <xdr:rowOff>0</xdr:rowOff>
    </xdr:from>
    <xdr:to>
      <xdr:col>12</xdr:col>
      <xdr:colOff>14287</xdr:colOff>
      <xdr:row>5</xdr:row>
      <xdr:rowOff>23812</xdr:rowOff>
    </xdr:to>
    <xdr:sp macro="" textlink="">
      <xdr:nvSpPr>
        <xdr:cNvPr id="53" name="CuadroTexto 52">
          <a:extLst>
            <a:ext uri="{FF2B5EF4-FFF2-40B4-BE49-F238E27FC236}">
              <a16:creationId xmlns:a16="http://schemas.microsoft.com/office/drawing/2014/main" id="{00000000-0008-0000-0200-000035000000}"/>
            </a:ext>
          </a:extLst>
        </xdr:cNvPr>
        <xdr:cNvSpPr txBox="1"/>
      </xdr:nvSpPr>
      <xdr:spPr>
        <a:xfrm>
          <a:off x="8929687" y="1095375"/>
          <a:ext cx="740569" cy="3333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s-MX" sz="1100" b="1">
              <a:solidFill>
                <a:srgbClr val="3BB0C9"/>
              </a:solidFill>
              <a:latin typeface="Malgun Gothic" panose="020B0503020000020004" pitchFamily="34" charset="-127"/>
              <a:ea typeface="Malgun Gothic" panose="020B0503020000020004" pitchFamily="34" charset="-127"/>
            </a:rPr>
            <a:t>Fecha:</a:t>
          </a:r>
        </a:p>
      </xdr:txBody>
    </xdr:sp>
    <xdr:clientData/>
  </xdr:twoCellAnchor>
  <xdr:twoCellAnchor>
    <xdr:from>
      <xdr:col>11</xdr:col>
      <xdr:colOff>690563</xdr:colOff>
      <xdr:row>4</xdr:row>
      <xdr:rowOff>273844</xdr:rowOff>
    </xdr:from>
    <xdr:to>
      <xdr:col>11</xdr:col>
      <xdr:colOff>1400175</xdr:colOff>
      <xdr:row>6</xdr:row>
      <xdr:rowOff>7144</xdr:rowOff>
    </xdr:to>
    <xdr:sp macro="" textlink="">
      <xdr:nvSpPr>
        <xdr:cNvPr id="54" name="CuadroTexto 53">
          <a:extLst>
            <a:ext uri="{FF2B5EF4-FFF2-40B4-BE49-F238E27FC236}">
              <a16:creationId xmlns:a16="http://schemas.microsoft.com/office/drawing/2014/main" id="{00000000-0008-0000-0200-000036000000}"/>
            </a:ext>
          </a:extLst>
        </xdr:cNvPr>
        <xdr:cNvSpPr txBox="1"/>
      </xdr:nvSpPr>
      <xdr:spPr>
        <a:xfrm>
          <a:off x="8941594" y="1369219"/>
          <a:ext cx="709612" cy="3524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s-MX" sz="1100" b="1">
              <a:solidFill>
                <a:srgbClr val="3BB0C9"/>
              </a:solidFill>
              <a:latin typeface="Malgun Gothic" panose="020B0503020000020004" pitchFamily="34" charset="-127"/>
              <a:ea typeface="Malgun Gothic" panose="020B0503020000020004" pitchFamily="34" charset="-127"/>
            </a:rPr>
            <a:t>Folio:</a:t>
          </a:r>
        </a:p>
      </xdr:txBody>
    </xdr:sp>
    <xdr:clientData/>
  </xdr:twoCellAnchor>
  <xdr:twoCellAnchor>
    <xdr:from>
      <xdr:col>1</xdr:col>
      <xdr:colOff>178593</xdr:colOff>
      <xdr:row>14</xdr:row>
      <xdr:rowOff>83344</xdr:rowOff>
    </xdr:from>
    <xdr:to>
      <xdr:col>12</xdr:col>
      <xdr:colOff>130968</xdr:colOff>
      <xdr:row>32</xdr:row>
      <xdr:rowOff>157162</xdr:rowOff>
    </xdr:to>
    <xdr:sp macro="" textlink="">
      <xdr:nvSpPr>
        <xdr:cNvPr id="55" name="Rectángulo 54">
          <a:extLst>
            <a:ext uri="{FF2B5EF4-FFF2-40B4-BE49-F238E27FC236}">
              <a16:creationId xmlns:a16="http://schemas.microsoft.com/office/drawing/2014/main" id="{00000000-0008-0000-0200-000037000000}"/>
            </a:ext>
          </a:extLst>
        </xdr:cNvPr>
        <xdr:cNvSpPr/>
      </xdr:nvSpPr>
      <xdr:spPr>
        <a:xfrm>
          <a:off x="297656" y="3476625"/>
          <a:ext cx="9489281" cy="3038475"/>
        </a:xfrm>
        <a:prstGeom prst="rect">
          <a:avLst/>
        </a:prstGeom>
        <a:noFill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MX" sz="1100"/>
        </a:p>
      </xdr:txBody>
    </xdr:sp>
    <xdr:clientData/>
  </xdr:twoCellAnchor>
  <xdr:twoCellAnchor editAs="oneCell">
    <xdr:from>
      <xdr:col>9</xdr:col>
      <xdr:colOff>141022</xdr:colOff>
      <xdr:row>37</xdr:row>
      <xdr:rowOff>68215</xdr:rowOff>
    </xdr:from>
    <xdr:to>
      <xdr:col>13</xdr:col>
      <xdr:colOff>285750</xdr:colOff>
      <xdr:row>60</xdr:row>
      <xdr:rowOff>18525</xdr:rowOff>
    </xdr:to>
    <xdr:pic>
      <xdr:nvPicPr>
        <xdr:cNvPr id="56" name="Imagen 55">
          <a:extLst>
            <a:ext uri="{FF2B5EF4-FFF2-40B4-BE49-F238E27FC236}">
              <a16:creationId xmlns:a16="http://schemas.microsoft.com/office/drawing/2014/main" id="{00000000-0008-0000-0200-00003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115439" y="8481965"/>
          <a:ext cx="3838311" cy="513614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250030</xdr:colOff>
      <xdr:row>34</xdr:row>
      <xdr:rowOff>71437</xdr:rowOff>
    </xdr:from>
    <xdr:to>
      <xdr:col>4</xdr:col>
      <xdr:colOff>2516980</xdr:colOff>
      <xdr:row>35</xdr:row>
      <xdr:rowOff>164306</xdr:rowOff>
    </xdr:to>
    <xdr:sp macro="" textlink="">
      <xdr:nvSpPr>
        <xdr:cNvPr id="57" name="CuadroTexto 56">
          <a:extLst>
            <a:ext uri="{FF2B5EF4-FFF2-40B4-BE49-F238E27FC236}">
              <a16:creationId xmlns:a16="http://schemas.microsoft.com/office/drawing/2014/main" id="{00000000-0008-0000-0200-000039000000}"/>
            </a:ext>
          </a:extLst>
        </xdr:cNvPr>
        <xdr:cNvSpPr txBox="1"/>
      </xdr:nvSpPr>
      <xdr:spPr>
        <a:xfrm>
          <a:off x="369093" y="6810375"/>
          <a:ext cx="3981450" cy="2952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MX" sz="1100" b="1">
              <a:solidFill>
                <a:srgbClr val="C5DA46"/>
              </a:solidFill>
              <a:latin typeface="Century Gothic" panose="020B0502020202020204" pitchFamily="34" charset="0"/>
              <a:ea typeface="+mn-ea"/>
              <a:cs typeface="+mn-cs"/>
            </a:rPr>
            <a:t>Elegibles:</a:t>
          </a:r>
        </a:p>
      </xdr:txBody>
    </xdr:sp>
    <xdr:clientData/>
  </xdr:twoCellAnchor>
  <xdr:twoCellAnchor>
    <xdr:from>
      <xdr:col>1</xdr:col>
      <xdr:colOff>238124</xdr:colOff>
      <xdr:row>42</xdr:row>
      <xdr:rowOff>119063</xdr:rowOff>
    </xdr:from>
    <xdr:to>
      <xdr:col>4</xdr:col>
      <xdr:colOff>2505074</xdr:colOff>
      <xdr:row>43</xdr:row>
      <xdr:rowOff>223838</xdr:rowOff>
    </xdr:to>
    <xdr:sp macro="" textlink="">
      <xdr:nvSpPr>
        <xdr:cNvPr id="58" name="CuadroTexto 57">
          <a:extLst>
            <a:ext uri="{FF2B5EF4-FFF2-40B4-BE49-F238E27FC236}">
              <a16:creationId xmlns:a16="http://schemas.microsoft.com/office/drawing/2014/main" id="{00000000-0008-0000-0200-00003A000000}"/>
            </a:ext>
          </a:extLst>
        </xdr:cNvPr>
        <xdr:cNvSpPr txBox="1"/>
      </xdr:nvSpPr>
      <xdr:spPr>
        <a:xfrm>
          <a:off x="357187" y="8489157"/>
          <a:ext cx="3981450" cy="2952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MX" sz="1100" b="1">
              <a:solidFill>
                <a:srgbClr val="C5DA46"/>
              </a:solidFill>
              <a:latin typeface="Century Gothic" panose="020B0502020202020204" pitchFamily="34" charset="0"/>
              <a:ea typeface="+mn-ea"/>
              <a:cs typeface="+mn-cs"/>
            </a:rPr>
            <a:t>Coberturas Adicionales</a:t>
          </a:r>
          <a:r>
            <a:rPr lang="es-MX" sz="1100" b="1">
              <a:solidFill>
                <a:srgbClr val="C5DA46"/>
              </a:solidFill>
              <a:latin typeface="Century Gothic" panose="020B0502020202020204" pitchFamily="34" charset="0"/>
            </a:rPr>
            <a:t>:</a:t>
          </a:r>
        </a:p>
      </xdr:txBody>
    </xdr:sp>
    <xdr:clientData/>
  </xdr:twoCellAnchor>
  <xdr:twoCellAnchor editAs="oneCell">
    <xdr:from>
      <xdr:col>0</xdr:col>
      <xdr:colOff>71437</xdr:colOff>
      <xdr:row>2</xdr:row>
      <xdr:rowOff>285750</xdr:rowOff>
    </xdr:from>
    <xdr:to>
      <xdr:col>4</xdr:col>
      <xdr:colOff>256711</xdr:colOff>
      <xdr:row>4</xdr:row>
      <xdr:rowOff>36628</xdr:rowOff>
    </xdr:to>
    <xdr:pic>
      <xdr:nvPicPr>
        <xdr:cNvPr id="60" name="Imagen 59">
          <a:extLst>
            <a:ext uri="{FF2B5EF4-FFF2-40B4-BE49-F238E27FC236}">
              <a16:creationId xmlns:a16="http://schemas.microsoft.com/office/drawing/2014/main" id="{00000000-0008-0000-02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71437" y="773906"/>
          <a:ext cx="2018837" cy="358097"/>
        </a:xfrm>
        <a:prstGeom prst="rect">
          <a:avLst/>
        </a:prstGeom>
      </xdr:spPr>
    </xdr:pic>
    <xdr:clientData/>
  </xdr:twoCellAnchor>
  <xdr:twoCellAnchor>
    <xdr:from>
      <xdr:col>2</xdr:col>
      <xdr:colOff>189984</xdr:colOff>
      <xdr:row>44</xdr:row>
      <xdr:rowOff>85725</xdr:rowOff>
    </xdr:from>
    <xdr:to>
      <xdr:col>4</xdr:col>
      <xdr:colOff>2892314</xdr:colOff>
      <xdr:row>45</xdr:row>
      <xdr:rowOff>39160</xdr:rowOff>
    </xdr:to>
    <xdr:sp macro="" textlink="">
      <xdr:nvSpPr>
        <xdr:cNvPr id="61" name="Rectángulo redondeado 60">
          <a:extLst>
            <a:ext uri="{FF2B5EF4-FFF2-40B4-BE49-F238E27FC236}">
              <a16:creationId xmlns:a16="http://schemas.microsoft.com/office/drawing/2014/main" id="{00000000-0008-0000-0200-00003D000000}"/>
            </a:ext>
          </a:extLst>
        </xdr:cNvPr>
        <xdr:cNvSpPr/>
      </xdr:nvSpPr>
      <xdr:spPr>
        <a:xfrm>
          <a:off x="609084" y="9925050"/>
          <a:ext cx="4102505" cy="201085"/>
        </a:xfrm>
        <a:prstGeom prst="roundRect">
          <a:avLst/>
        </a:prstGeom>
        <a:solidFill>
          <a:srgbClr val="00B0F0"/>
        </a:solidFill>
        <a:ln>
          <a:solidFill>
            <a:srgbClr val="00B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defPPr>
            <a:defRPr lang="es-MX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r>
            <a:rPr lang="es-MX" sz="1100" b="0">
              <a:latin typeface="Century Gothic" panose="020B0502020202020204" pitchFamily="34" charset="0"/>
            </a:rPr>
            <a:t>Reconocimiento de Antigüedad </a:t>
          </a:r>
        </a:p>
      </xdr:txBody>
    </xdr:sp>
    <xdr:clientData/>
  </xdr:twoCellAnchor>
  <xdr:twoCellAnchor>
    <xdr:from>
      <xdr:col>2</xdr:col>
      <xdr:colOff>189984</xdr:colOff>
      <xdr:row>45</xdr:row>
      <xdr:rowOff>78368</xdr:rowOff>
    </xdr:from>
    <xdr:to>
      <xdr:col>4</xdr:col>
      <xdr:colOff>2892314</xdr:colOff>
      <xdr:row>46</xdr:row>
      <xdr:rowOff>31803</xdr:rowOff>
    </xdr:to>
    <xdr:sp macro="" textlink="">
      <xdr:nvSpPr>
        <xdr:cNvPr id="62" name="Rectángulo redondeado 61">
          <a:extLst>
            <a:ext uri="{FF2B5EF4-FFF2-40B4-BE49-F238E27FC236}">
              <a16:creationId xmlns:a16="http://schemas.microsoft.com/office/drawing/2014/main" id="{00000000-0008-0000-0200-00003E000000}"/>
            </a:ext>
          </a:extLst>
        </xdr:cNvPr>
        <xdr:cNvSpPr/>
      </xdr:nvSpPr>
      <xdr:spPr>
        <a:xfrm>
          <a:off x="609084" y="10165343"/>
          <a:ext cx="4102505" cy="201085"/>
        </a:xfrm>
        <a:prstGeom prst="roundRect">
          <a:avLst/>
        </a:prstGeom>
        <a:solidFill>
          <a:srgbClr val="00B0F0"/>
        </a:solidFill>
        <a:ln>
          <a:solidFill>
            <a:srgbClr val="00B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defPPr>
            <a:defRPr lang="es-MX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es-MX" sz="1100">
              <a:latin typeface="Century Gothic" panose="020B0502020202020204" pitchFamily="34" charset="0"/>
            </a:rPr>
            <a:t>Medicamentos Fuera del Hospital </a:t>
          </a:r>
        </a:p>
      </xdr:txBody>
    </xdr:sp>
    <xdr:clientData/>
  </xdr:twoCellAnchor>
  <xdr:twoCellAnchor>
    <xdr:from>
      <xdr:col>2</xdr:col>
      <xdr:colOff>189984</xdr:colOff>
      <xdr:row>46</xdr:row>
      <xdr:rowOff>71011</xdr:rowOff>
    </xdr:from>
    <xdr:to>
      <xdr:col>5</xdr:col>
      <xdr:colOff>6893</xdr:colOff>
      <xdr:row>47</xdr:row>
      <xdr:rowOff>42223</xdr:rowOff>
    </xdr:to>
    <xdr:sp macro="" textlink="">
      <xdr:nvSpPr>
        <xdr:cNvPr id="65" name="Rectángulo redondeado 64">
          <a:extLst>
            <a:ext uri="{FF2B5EF4-FFF2-40B4-BE49-F238E27FC236}">
              <a16:creationId xmlns:a16="http://schemas.microsoft.com/office/drawing/2014/main" id="{00000000-0008-0000-0200-000041000000}"/>
            </a:ext>
          </a:extLst>
        </xdr:cNvPr>
        <xdr:cNvSpPr/>
      </xdr:nvSpPr>
      <xdr:spPr>
        <a:xfrm>
          <a:off x="609084" y="10405636"/>
          <a:ext cx="4112684" cy="218862"/>
        </a:xfrm>
        <a:prstGeom prst="roundRect">
          <a:avLst/>
        </a:prstGeom>
        <a:solidFill>
          <a:srgbClr val="00B0F0"/>
        </a:solidFill>
        <a:ln>
          <a:solidFill>
            <a:srgbClr val="00B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defPPr>
            <a:defRPr lang="es-MX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es-MX" sz="1100">
              <a:latin typeface="Century Gothic" panose="020B0502020202020204" pitchFamily="34" charset="0"/>
            </a:rPr>
            <a:t>Complicaciones de Tratamientos No Amparados</a:t>
          </a:r>
        </a:p>
      </xdr:txBody>
    </xdr:sp>
    <xdr:clientData/>
  </xdr:twoCellAnchor>
  <xdr:twoCellAnchor>
    <xdr:from>
      <xdr:col>2</xdr:col>
      <xdr:colOff>189984</xdr:colOff>
      <xdr:row>47</xdr:row>
      <xdr:rowOff>81431</xdr:rowOff>
    </xdr:from>
    <xdr:to>
      <xdr:col>4</xdr:col>
      <xdr:colOff>2888080</xdr:colOff>
      <xdr:row>48</xdr:row>
      <xdr:rowOff>34866</xdr:rowOff>
    </xdr:to>
    <xdr:sp macro="" textlink="">
      <xdr:nvSpPr>
        <xdr:cNvPr id="66" name="Rectángulo redondeado 65">
          <a:extLst>
            <a:ext uri="{FF2B5EF4-FFF2-40B4-BE49-F238E27FC236}">
              <a16:creationId xmlns:a16="http://schemas.microsoft.com/office/drawing/2014/main" id="{00000000-0008-0000-0200-000042000000}"/>
            </a:ext>
          </a:extLst>
        </xdr:cNvPr>
        <xdr:cNvSpPr/>
      </xdr:nvSpPr>
      <xdr:spPr>
        <a:xfrm>
          <a:off x="609084" y="10663706"/>
          <a:ext cx="4098271" cy="201085"/>
        </a:xfrm>
        <a:prstGeom prst="roundRect">
          <a:avLst/>
        </a:prstGeom>
        <a:solidFill>
          <a:srgbClr val="00B0F0"/>
        </a:solidFill>
        <a:ln>
          <a:solidFill>
            <a:srgbClr val="00B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defPPr>
            <a:defRPr lang="es-MX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es-MX" sz="1100">
              <a:latin typeface="Century Gothic" panose="020B0502020202020204" pitchFamily="34" charset="0"/>
            </a:rPr>
            <a:t>Padecimientos Preexistentes Declarados </a:t>
          </a:r>
        </a:p>
      </xdr:txBody>
    </xdr:sp>
    <xdr:clientData/>
  </xdr:twoCellAnchor>
  <xdr:twoCellAnchor>
    <xdr:from>
      <xdr:col>2</xdr:col>
      <xdr:colOff>189984</xdr:colOff>
      <xdr:row>48</xdr:row>
      <xdr:rowOff>74074</xdr:rowOff>
    </xdr:from>
    <xdr:to>
      <xdr:col>4</xdr:col>
      <xdr:colOff>2894430</xdr:colOff>
      <xdr:row>49</xdr:row>
      <xdr:rowOff>27509</xdr:rowOff>
    </xdr:to>
    <xdr:sp macro="" textlink="">
      <xdr:nvSpPr>
        <xdr:cNvPr id="67" name="Rectángulo redondeado 66">
          <a:extLst>
            <a:ext uri="{FF2B5EF4-FFF2-40B4-BE49-F238E27FC236}">
              <a16:creationId xmlns:a16="http://schemas.microsoft.com/office/drawing/2014/main" id="{00000000-0008-0000-0200-000043000000}"/>
            </a:ext>
          </a:extLst>
        </xdr:cNvPr>
        <xdr:cNvSpPr/>
      </xdr:nvSpPr>
      <xdr:spPr>
        <a:xfrm>
          <a:off x="609084" y="10903999"/>
          <a:ext cx="4104621" cy="201085"/>
        </a:xfrm>
        <a:prstGeom prst="roundRect">
          <a:avLst/>
        </a:prstGeom>
        <a:solidFill>
          <a:srgbClr val="00B0F0"/>
        </a:solidFill>
        <a:ln>
          <a:solidFill>
            <a:srgbClr val="00B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defPPr>
            <a:defRPr lang="es-MX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es-MX" sz="1100">
              <a:latin typeface="Century Gothic" panose="020B0502020202020204" pitchFamily="34" charset="0"/>
            </a:rPr>
            <a:t>Eliminación de Deducible por Accidente </a:t>
          </a:r>
        </a:p>
      </xdr:txBody>
    </xdr:sp>
    <xdr:clientData/>
  </xdr:twoCellAnchor>
  <xdr:twoCellAnchor>
    <xdr:from>
      <xdr:col>2</xdr:col>
      <xdr:colOff>189984</xdr:colOff>
      <xdr:row>49</xdr:row>
      <xdr:rowOff>66717</xdr:rowOff>
    </xdr:from>
    <xdr:to>
      <xdr:col>4</xdr:col>
      <xdr:colOff>2892314</xdr:colOff>
      <xdr:row>50</xdr:row>
      <xdr:rowOff>20152</xdr:rowOff>
    </xdr:to>
    <xdr:sp macro="" textlink="">
      <xdr:nvSpPr>
        <xdr:cNvPr id="68" name="Rectángulo redondeado 67">
          <a:extLst>
            <a:ext uri="{FF2B5EF4-FFF2-40B4-BE49-F238E27FC236}">
              <a16:creationId xmlns:a16="http://schemas.microsoft.com/office/drawing/2014/main" id="{00000000-0008-0000-0200-000044000000}"/>
            </a:ext>
          </a:extLst>
        </xdr:cNvPr>
        <xdr:cNvSpPr/>
      </xdr:nvSpPr>
      <xdr:spPr>
        <a:xfrm>
          <a:off x="609084" y="11144292"/>
          <a:ext cx="4102505" cy="201085"/>
        </a:xfrm>
        <a:prstGeom prst="roundRect">
          <a:avLst/>
        </a:prstGeom>
        <a:solidFill>
          <a:srgbClr val="00B0F0"/>
        </a:solidFill>
        <a:ln>
          <a:solidFill>
            <a:srgbClr val="00B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defPPr>
            <a:defRPr lang="es-MX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es-MX" sz="1100">
              <a:latin typeface="Century Gothic" panose="020B0502020202020204" pitchFamily="34" charset="0"/>
            </a:rPr>
            <a:t>Maternidad Plus </a:t>
          </a:r>
        </a:p>
      </xdr:txBody>
    </xdr:sp>
    <xdr:clientData/>
  </xdr:twoCellAnchor>
  <xdr:twoCellAnchor>
    <xdr:from>
      <xdr:col>2</xdr:col>
      <xdr:colOff>189984</xdr:colOff>
      <xdr:row>50</xdr:row>
      <xdr:rowOff>59360</xdr:rowOff>
    </xdr:from>
    <xdr:to>
      <xdr:col>4</xdr:col>
      <xdr:colOff>2894430</xdr:colOff>
      <xdr:row>51</xdr:row>
      <xdr:rowOff>12795</xdr:rowOff>
    </xdr:to>
    <xdr:sp macro="" textlink="">
      <xdr:nvSpPr>
        <xdr:cNvPr id="69" name="Rectángulo redondeado 68">
          <a:extLst>
            <a:ext uri="{FF2B5EF4-FFF2-40B4-BE49-F238E27FC236}">
              <a16:creationId xmlns:a16="http://schemas.microsoft.com/office/drawing/2014/main" id="{00000000-0008-0000-0200-000045000000}"/>
            </a:ext>
          </a:extLst>
        </xdr:cNvPr>
        <xdr:cNvSpPr/>
      </xdr:nvSpPr>
      <xdr:spPr>
        <a:xfrm>
          <a:off x="609084" y="11384585"/>
          <a:ext cx="4104621" cy="201085"/>
        </a:xfrm>
        <a:prstGeom prst="roundRect">
          <a:avLst/>
        </a:prstGeom>
        <a:solidFill>
          <a:srgbClr val="00B0F0"/>
        </a:solidFill>
        <a:ln>
          <a:solidFill>
            <a:srgbClr val="00B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defPPr>
            <a:defRPr lang="es-MX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es-MX" sz="1100">
              <a:latin typeface="Century Gothic" panose="020B0502020202020204" pitchFamily="34" charset="0"/>
            </a:rPr>
            <a:t>Multiregión </a:t>
          </a:r>
        </a:p>
      </xdr:txBody>
    </xdr:sp>
    <xdr:clientData/>
  </xdr:twoCellAnchor>
  <xdr:twoCellAnchor>
    <xdr:from>
      <xdr:col>2</xdr:col>
      <xdr:colOff>189984</xdr:colOff>
      <xdr:row>51</xdr:row>
      <xdr:rowOff>52003</xdr:rowOff>
    </xdr:from>
    <xdr:to>
      <xdr:col>4</xdr:col>
      <xdr:colOff>2892314</xdr:colOff>
      <xdr:row>52</xdr:row>
      <xdr:rowOff>5438</xdr:rowOff>
    </xdr:to>
    <xdr:sp macro="" textlink="">
      <xdr:nvSpPr>
        <xdr:cNvPr id="70" name="Rectángulo redondeado 69">
          <a:extLst>
            <a:ext uri="{FF2B5EF4-FFF2-40B4-BE49-F238E27FC236}">
              <a16:creationId xmlns:a16="http://schemas.microsoft.com/office/drawing/2014/main" id="{00000000-0008-0000-0200-000046000000}"/>
            </a:ext>
          </a:extLst>
        </xdr:cNvPr>
        <xdr:cNvSpPr/>
      </xdr:nvSpPr>
      <xdr:spPr>
        <a:xfrm>
          <a:off x="609084" y="11624878"/>
          <a:ext cx="4102505" cy="201085"/>
        </a:xfrm>
        <a:prstGeom prst="roundRect">
          <a:avLst/>
        </a:prstGeom>
        <a:solidFill>
          <a:srgbClr val="00B0F0"/>
        </a:solidFill>
        <a:ln>
          <a:solidFill>
            <a:srgbClr val="00B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defPPr>
            <a:defRPr lang="es-MX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es-MX" sz="1100">
              <a:latin typeface="Century Gothic" panose="020B0502020202020204" pitchFamily="34" charset="0"/>
            </a:rPr>
            <a:t>Beneficio Hospitalario VIP</a:t>
          </a:r>
        </a:p>
      </xdr:txBody>
    </xdr:sp>
    <xdr:clientData/>
  </xdr:twoCellAnchor>
  <xdr:twoCellAnchor>
    <xdr:from>
      <xdr:col>2</xdr:col>
      <xdr:colOff>189984</xdr:colOff>
      <xdr:row>52</xdr:row>
      <xdr:rowOff>44646</xdr:rowOff>
    </xdr:from>
    <xdr:to>
      <xdr:col>5</xdr:col>
      <xdr:colOff>948</xdr:colOff>
      <xdr:row>52</xdr:row>
      <xdr:rowOff>245731</xdr:rowOff>
    </xdr:to>
    <xdr:sp macro="" textlink="">
      <xdr:nvSpPr>
        <xdr:cNvPr id="72" name="Rectángulo redondeado 71">
          <a:extLst>
            <a:ext uri="{FF2B5EF4-FFF2-40B4-BE49-F238E27FC236}">
              <a16:creationId xmlns:a16="http://schemas.microsoft.com/office/drawing/2014/main" id="{00000000-0008-0000-0200-000048000000}"/>
            </a:ext>
          </a:extLst>
        </xdr:cNvPr>
        <xdr:cNvSpPr/>
      </xdr:nvSpPr>
      <xdr:spPr>
        <a:xfrm>
          <a:off x="609084" y="11865171"/>
          <a:ext cx="4106739" cy="201085"/>
        </a:xfrm>
        <a:prstGeom prst="roundRect">
          <a:avLst/>
        </a:prstGeom>
        <a:solidFill>
          <a:srgbClr val="00B0F0"/>
        </a:solidFill>
        <a:ln>
          <a:solidFill>
            <a:srgbClr val="00B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defPPr>
            <a:defRPr lang="es-MX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es-MX" sz="1100">
              <a:latin typeface="Century Gothic" panose="020B0502020202020204" pitchFamily="34" charset="0"/>
            </a:rPr>
            <a:t>Emergencia Médica en el Extranjero </a:t>
          </a:r>
        </a:p>
      </xdr:txBody>
    </xdr:sp>
    <xdr:clientData/>
  </xdr:twoCellAnchor>
  <xdr:twoCellAnchor>
    <xdr:from>
      <xdr:col>2</xdr:col>
      <xdr:colOff>189984</xdr:colOff>
      <xdr:row>54</xdr:row>
      <xdr:rowOff>29932</xdr:rowOff>
    </xdr:from>
    <xdr:to>
      <xdr:col>4</xdr:col>
      <xdr:colOff>2892314</xdr:colOff>
      <xdr:row>54</xdr:row>
      <xdr:rowOff>231017</xdr:rowOff>
    </xdr:to>
    <xdr:sp macro="" textlink="">
      <xdr:nvSpPr>
        <xdr:cNvPr id="73" name="Rectángulo redondeado 72">
          <a:extLst>
            <a:ext uri="{FF2B5EF4-FFF2-40B4-BE49-F238E27FC236}">
              <a16:creationId xmlns:a16="http://schemas.microsoft.com/office/drawing/2014/main" id="{00000000-0008-0000-0200-000049000000}"/>
            </a:ext>
          </a:extLst>
        </xdr:cNvPr>
        <xdr:cNvSpPr/>
      </xdr:nvSpPr>
      <xdr:spPr>
        <a:xfrm>
          <a:off x="609084" y="12345757"/>
          <a:ext cx="4102505" cy="201085"/>
        </a:xfrm>
        <a:prstGeom prst="roundRect">
          <a:avLst/>
        </a:prstGeom>
        <a:solidFill>
          <a:srgbClr val="00B0F0"/>
        </a:solidFill>
        <a:ln>
          <a:solidFill>
            <a:srgbClr val="00B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defPPr>
            <a:defRPr lang="es-MX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es-MX" sz="1100">
              <a:latin typeface="Century Gothic" panose="020B0502020202020204" pitchFamily="34" charset="0"/>
            </a:rPr>
            <a:t>Cobertura Internacional </a:t>
          </a:r>
        </a:p>
      </xdr:txBody>
    </xdr:sp>
    <xdr:clientData/>
  </xdr:twoCellAnchor>
  <xdr:twoCellAnchor>
    <xdr:from>
      <xdr:col>2</xdr:col>
      <xdr:colOff>189984</xdr:colOff>
      <xdr:row>55</xdr:row>
      <xdr:rowOff>22575</xdr:rowOff>
    </xdr:from>
    <xdr:to>
      <xdr:col>4</xdr:col>
      <xdr:colOff>2892314</xdr:colOff>
      <xdr:row>55</xdr:row>
      <xdr:rowOff>223660</xdr:rowOff>
    </xdr:to>
    <xdr:sp macro="" textlink="">
      <xdr:nvSpPr>
        <xdr:cNvPr id="74" name="Rectángulo redondeado 73">
          <a:extLst>
            <a:ext uri="{FF2B5EF4-FFF2-40B4-BE49-F238E27FC236}">
              <a16:creationId xmlns:a16="http://schemas.microsoft.com/office/drawing/2014/main" id="{00000000-0008-0000-0200-00004A000000}"/>
            </a:ext>
          </a:extLst>
        </xdr:cNvPr>
        <xdr:cNvSpPr/>
      </xdr:nvSpPr>
      <xdr:spPr>
        <a:xfrm>
          <a:off x="609084" y="12586050"/>
          <a:ext cx="4102505" cy="201085"/>
        </a:xfrm>
        <a:prstGeom prst="roundRect">
          <a:avLst/>
        </a:prstGeom>
        <a:solidFill>
          <a:srgbClr val="00B0F0"/>
        </a:solidFill>
        <a:ln>
          <a:solidFill>
            <a:srgbClr val="00B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defPPr>
            <a:defRPr lang="es-MX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es-MX" sz="1100">
              <a:latin typeface="Century Gothic" panose="020B0502020202020204" pitchFamily="34" charset="0"/>
            </a:rPr>
            <a:t>Ampliación de Servicios</a:t>
          </a:r>
        </a:p>
      </xdr:txBody>
    </xdr:sp>
    <xdr:clientData/>
  </xdr:twoCellAnchor>
  <xdr:twoCellAnchor>
    <xdr:from>
      <xdr:col>2</xdr:col>
      <xdr:colOff>189984</xdr:colOff>
      <xdr:row>56</xdr:row>
      <xdr:rowOff>15218</xdr:rowOff>
    </xdr:from>
    <xdr:to>
      <xdr:col>5</xdr:col>
      <xdr:colOff>431</xdr:colOff>
      <xdr:row>56</xdr:row>
      <xdr:rowOff>215321</xdr:rowOff>
    </xdr:to>
    <xdr:sp macro="" textlink="">
      <xdr:nvSpPr>
        <xdr:cNvPr id="75" name="Rectángulo redondeado 74">
          <a:extLst>
            <a:ext uri="{FF2B5EF4-FFF2-40B4-BE49-F238E27FC236}">
              <a16:creationId xmlns:a16="http://schemas.microsoft.com/office/drawing/2014/main" id="{00000000-0008-0000-0200-00004B000000}"/>
            </a:ext>
          </a:extLst>
        </xdr:cNvPr>
        <xdr:cNvSpPr/>
      </xdr:nvSpPr>
      <xdr:spPr>
        <a:xfrm>
          <a:off x="609084" y="12826343"/>
          <a:ext cx="4106222" cy="200103"/>
        </a:xfrm>
        <a:prstGeom prst="roundRect">
          <a:avLst/>
        </a:prstGeom>
        <a:solidFill>
          <a:srgbClr val="00B0F0"/>
        </a:solidFill>
        <a:ln>
          <a:solidFill>
            <a:srgbClr val="00B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defPPr>
            <a:defRPr lang="es-MX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es-MX" sz="1100">
              <a:latin typeface="Century Gothic" panose="020B0502020202020204" pitchFamily="34" charset="0"/>
            </a:rPr>
            <a:t>Ayuda Diaria por Hospitalización </a:t>
          </a:r>
        </a:p>
      </xdr:txBody>
    </xdr:sp>
    <xdr:clientData/>
  </xdr:twoCellAnchor>
  <xdr:twoCellAnchor>
    <xdr:from>
      <xdr:col>2</xdr:col>
      <xdr:colOff>189984</xdr:colOff>
      <xdr:row>57</xdr:row>
      <xdr:rowOff>6879</xdr:rowOff>
    </xdr:from>
    <xdr:to>
      <xdr:col>4</xdr:col>
      <xdr:colOff>2891375</xdr:colOff>
      <xdr:row>57</xdr:row>
      <xdr:rowOff>208479</xdr:rowOff>
    </xdr:to>
    <xdr:sp macro="" textlink="">
      <xdr:nvSpPr>
        <xdr:cNvPr id="76" name="Rectángulo redondeado 75">
          <a:extLst>
            <a:ext uri="{FF2B5EF4-FFF2-40B4-BE49-F238E27FC236}">
              <a16:creationId xmlns:a16="http://schemas.microsoft.com/office/drawing/2014/main" id="{00000000-0008-0000-0200-00004C000000}"/>
            </a:ext>
          </a:extLst>
        </xdr:cNvPr>
        <xdr:cNvSpPr/>
      </xdr:nvSpPr>
      <xdr:spPr>
        <a:xfrm>
          <a:off x="609084" y="13065654"/>
          <a:ext cx="4101566" cy="201600"/>
        </a:xfrm>
        <a:prstGeom prst="roundRect">
          <a:avLst/>
        </a:prstGeom>
        <a:solidFill>
          <a:srgbClr val="00B0F0"/>
        </a:solidFill>
        <a:ln>
          <a:solidFill>
            <a:srgbClr val="00B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defPPr>
            <a:defRPr lang="es-MX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es-MX" sz="1100">
              <a:latin typeface="Century Gothic" panose="020B0502020202020204" pitchFamily="34" charset="0"/>
            </a:rPr>
            <a:t>Indemnización Enfermedades Graves </a:t>
          </a:r>
        </a:p>
      </xdr:txBody>
    </xdr:sp>
    <xdr:clientData/>
  </xdr:twoCellAnchor>
  <xdr:twoCellAnchor>
    <xdr:from>
      <xdr:col>2</xdr:col>
      <xdr:colOff>189984</xdr:colOff>
      <xdr:row>53</xdr:row>
      <xdr:rowOff>37289</xdr:rowOff>
    </xdr:from>
    <xdr:to>
      <xdr:col>4</xdr:col>
      <xdr:colOff>2892314</xdr:colOff>
      <xdr:row>53</xdr:row>
      <xdr:rowOff>238374</xdr:rowOff>
    </xdr:to>
    <xdr:sp macro="" textlink="">
      <xdr:nvSpPr>
        <xdr:cNvPr id="77" name="Rectángulo redondeado 76">
          <a:extLst>
            <a:ext uri="{FF2B5EF4-FFF2-40B4-BE49-F238E27FC236}">
              <a16:creationId xmlns:a16="http://schemas.microsoft.com/office/drawing/2014/main" id="{00000000-0008-0000-0200-00004D000000}"/>
            </a:ext>
          </a:extLst>
        </xdr:cNvPr>
        <xdr:cNvSpPr/>
      </xdr:nvSpPr>
      <xdr:spPr>
        <a:xfrm>
          <a:off x="609084" y="12105464"/>
          <a:ext cx="4102505" cy="201085"/>
        </a:xfrm>
        <a:prstGeom prst="roundRect">
          <a:avLst/>
        </a:prstGeom>
        <a:solidFill>
          <a:srgbClr val="00B0F0"/>
        </a:solidFill>
        <a:ln>
          <a:solidFill>
            <a:srgbClr val="00B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defPPr>
            <a:defRPr lang="es-MX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es-MX" sz="1100">
              <a:latin typeface="Century Gothic" panose="020B0502020202020204" pitchFamily="34" charset="0"/>
            </a:rPr>
            <a:t>Enfermedades</a:t>
          </a:r>
          <a:r>
            <a:rPr lang="es-MX" sz="1100" baseline="0">
              <a:latin typeface="Century Gothic" panose="020B0502020202020204" pitchFamily="34" charset="0"/>
            </a:rPr>
            <a:t> Graves en el Extranjero</a:t>
          </a:r>
          <a:r>
            <a:rPr lang="es-MX" sz="1100">
              <a:latin typeface="Century Gothic" panose="020B0502020202020204" pitchFamily="34" charset="0"/>
            </a:rPr>
            <a:t> </a:t>
          </a:r>
        </a:p>
      </xdr:txBody>
    </xdr:sp>
    <xdr:clientData/>
  </xdr:twoCellAnchor>
  <xdr:twoCellAnchor>
    <xdr:from>
      <xdr:col>4</xdr:col>
      <xdr:colOff>2581275</xdr:colOff>
      <xdr:row>48</xdr:row>
      <xdr:rowOff>161925</xdr:rowOff>
    </xdr:from>
    <xdr:to>
      <xdr:col>6</xdr:col>
      <xdr:colOff>1019175</xdr:colOff>
      <xdr:row>50</xdr:row>
      <xdr:rowOff>0</xdr:rowOff>
    </xdr:to>
    <xdr:sp macro="" textlink="">
      <xdr:nvSpPr>
        <xdr:cNvPr id="2" name="CuadroTexto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/>
      </xdr:nvSpPr>
      <xdr:spPr>
        <a:xfrm>
          <a:off x="4400550" y="9982200"/>
          <a:ext cx="1466850" cy="238125"/>
        </a:xfrm>
        <a:prstGeom prst="rect">
          <a:avLst/>
        </a:prstGeom>
        <a:solidFill>
          <a:srgbClr val="00B0F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r>
            <a:rPr lang="es-MX" sz="1100" b="1">
              <a:solidFill>
                <a:schemeClr val="bg1"/>
              </a:solidFill>
              <a:latin typeface="Century Gothic" panose="020B0502020202020204" pitchFamily="34" charset="0"/>
            </a:rPr>
            <a:t>Suma</a:t>
          </a:r>
          <a:r>
            <a:rPr lang="es-MX" sz="1100" b="1" baseline="0">
              <a:solidFill>
                <a:schemeClr val="bg1"/>
              </a:solidFill>
              <a:latin typeface="Century Gothic" panose="020B0502020202020204" pitchFamily="34" charset="0"/>
            </a:rPr>
            <a:t> Asegurada:</a:t>
          </a:r>
          <a:endParaRPr lang="es-MX" sz="1100" b="1">
            <a:solidFill>
              <a:schemeClr val="bg1"/>
            </a:solidFill>
            <a:latin typeface="Century Gothic" panose="020B0502020202020204" pitchFamily="34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57</xdr:row>
          <xdr:rowOff>228600</xdr:rowOff>
        </xdr:from>
        <xdr:to>
          <xdr:col>5</xdr:col>
          <xdr:colOff>0</xdr:colOff>
          <xdr:row>58</xdr:row>
          <xdr:rowOff>184150</xdr:rowOff>
        </xdr:to>
        <xdr:sp macro="" textlink="">
          <xdr:nvSpPr>
            <xdr:cNvPr id="13381" name="Check Box 69" descr="Xtensuz Bx+" hidden="1">
              <a:extLst>
                <a:ext uri="{63B3BB69-23CF-44E3-9099-C40C66FF867C}">
                  <a14:compatExt spid="_x0000_s13381"/>
                </a:ext>
                <a:ext uri="{FF2B5EF4-FFF2-40B4-BE49-F238E27FC236}">
                  <a16:creationId xmlns:a16="http://schemas.microsoft.com/office/drawing/2014/main" id="{00000000-0008-0000-0200-000045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00B0F0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Xtensuz Bx+</a:t>
              </a:r>
            </a:p>
          </xdr:txBody>
        </xdr:sp>
        <xdr:clientData/>
      </xdr:twoCellAnchor>
    </mc:Choice>
    <mc:Fallback/>
  </mc:AlternateContent>
  <xdr:twoCellAnchor>
    <xdr:from>
      <xdr:col>2</xdr:col>
      <xdr:colOff>221734</xdr:colOff>
      <xdr:row>58</xdr:row>
      <xdr:rowOff>37</xdr:rowOff>
    </xdr:from>
    <xdr:to>
      <xdr:col>5</xdr:col>
      <xdr:colOff>23291</xdr:colOff>
      <xdr:row>58</xdr:row>
      <xdr:rowOff>201637</xdr:rowOff>
    </xdr:to>
    <xdr:sp macro="" textlink="">
      <xdr:nvSpPr>
        <xdr:cNvPr id="78" name="Rectángulo redondeado 77">
          <a:extLst>
            <a:ext uri="{FF2B5EF4-FFF2-40B4-BE49-F238E27FC236}">
              <a16:creationId xmlns:a16="http://schemas.microsoft.com/office/drawing/2014/main" id="{00000000-0008-0000-0200-00004E000000}"/>
            </a:ext>
          </a:extLst>
        </xdr:cNvPr>
        <xdr:cNvSpPr/>
      </xdr:nvSpPr>
      <xdr:spPr>
        <a:xfrm>
          <a:off x="645067" y="13292704"/>
          <a:ext cx="4098391" cy="201600"/>
        </a:xfrm>
        <a:prstGeom prst="roundRect">
          <a:avLst/>
        </a:prstGeom>
        <a:solidFill>
          <a:srgbClr val="00B0F0"/>
        </a:solidFill>
        <a:ln>
          <a:solidFill>
            <a:srgbClr val="00B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defPPr>
            <a:defRPr lang="es-MX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es-MX" sz="1100">
              <a:latin typeface="Century Gothic" panose="020B0502020202020204" pitchFamily="34" charset="0"/>
            </a:rPr>
            <a:t>Xtensuz Bx+</a:t>
          </a:r>
        </a:p>
      </xdr:txBody>
    </xdr:sp>
    <xdr:clientData/>
  </xdr:twoCellAnchor>
  <xdr:twoCellAnchor>
    <xdr:from>
      <xdr:col>4</xdr:col>
      <xdr:colOff>2543175</xdr:colOff>
      <xdr:row>57</xdr:row>
      <xdr:rowOff>171450</xdr:rowOff>
    </xdr:from>
    <xdr:to>
      <xdr:col>6</xdr:col>
      <xdr:colOff>981075</xdr:colOff>
      <xdr:row>59</xdr:row>
      <xdr:rowOff>9525</xdr:rowOff>
    </xdr:to>
    <xdr:sp macro="" textlink="">
      <xdr:nvSpPr>
        <xdr:cNvPr id="80" name="CuadroTexto 79">
          <a:extLst>
            <a:ext uri="{FF2B5EF4-FFF2-40B4-BE49-F238E27FC236}">
              <a16:creationId xmlns:a16="http://schemas.microsoft.com/office/drawing/2014/main" id="{00000000-0008-0000-0200-000050000000}"/>
            </a:ext>
          </a:extLst>
        </xdr:cNvPr>
        <xdr:cNvSpPr txBox="1"/>
      </xdr:nvSpPr>
      <xdr:spPr>
        <a:xfrm>
          <a:off x="4362450" y="13230225"/>
          <a:ext cx="1466850" cy="333375"/>
        </a:xfrm>
        <a:prstGeom prst="rect">
          <a:avLst/>
        </a:prstGeom>
        <a:solidFill>
          <a:srgbClr val="00B0F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r>
            <a:rPr lang="es-MX" sz="1100" b="1">
              <a:solidFill>
                <a:schemeClr val="bg1"/>
              </a:solidFill>
              <a:latin typeface="Century Gothic" panose="020B0502020202020204" pitchFamily="34" charset="0"/>
            </a:rPr>
            <a:t>Deducible</a:t>
          </a:r>
          <a:r>
            <a:rPr lang="es-MX" sz="1100" b="1" baseline="0">
              <a:solidFill>
                <a:schemeClr val="bg1"/>
              </a:solidFill>
              <a:latin typeface="Century Gothic" panose="020B0502020202020204" pitchFamily="34" charset="0"/>
            </a:rPr>
            <a:t>:</a:t>
          </a:r>
          <a:endParaRPr lang="es-MX" sz="1100" b="1">
            <a:solidFill>
              <a:schemeClr val="bg1"/>
            </a:solidFill>
            <a:latin typeface="Century Gothic" panose="020B0502020202020204" pitchFamily="34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57150</xdr:colOff>
          <xdr:row>11</xdr:row>
          <xdr:rowOff>31750</xdr:rowOff>
        </xdr:from>
        <xdr:to>
          <xdr:col>11</xdr:col>
          <xdr:colOff>1155700</xdr:colOff>
          <xdr:row>12</xdr:row>
          <xdr:rowOff>31750</xdr:rowOff>
        </xdr:to>
        <xdr:sp macro="" textlink="">
          <xdr:nvSpPr>
            <xdr:cNvPr id="13382" name="Option Button 70" descr="Póliza Nueva" hidden="1">
              <a:extLst>
                <a:ext uri="{63B3BB69-23CF-44E3-9099-C40C66FF867C}">
                  <a14:compatExt spid="_x0000_s13382"/>
                </a:ext>
                <a:ext uri="{FF2B5EF4-FFF2-40B4-BE49-F238E27FC236}">
                  <a16:creationId xmlns:a16="http://schemas.microsoft.com/office/drawing/2014/main" id="{00000000-0008-0000-0200-000046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Póliza Nueva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38100</xdr:colOff>
          <xdr:row>12</xdr:row>
          <xdr:rowOff>146050</xdr:rowOff>
        </xdr:from>
        <xdr:to>
          <xdr:col>11</xdr:col>
          <xdr:colOff>1143000</xdr:colOff>
          <xdr:row>13</xdr:row>
          <xdr:rowOff>133350</xdr:rowOff>
        </xdr:to>
        <xdr:sp macro="" textlink="">
          <xdr:nvSpPr>
            <xdr:cNvPr id="13383" name="Option Button 71" descr="Póliza de Renovación" hidden="1">
              <a:extLst>
                <a:ext uri="{63B3BB69-23CF-44E3-9099-C40C66FF867C}">
                  <a14:compatExt spid="_x0000_s13383"/>
                </a:ext>
                <a:ext uri="{FF2B5EF4-FFF2-40B4-BE49-F238E27FC236}">
                  <a16:creationId xmlns:a16="http://schemas.microsoft.com/office/drawing/2014/main" id="{00000000-0008-0000-0200-000047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Póliza de Renovación</a:t>
              </a:r>
            </a:p>
          </xdr:txBody>
        </xdr:sp>
        <xdr:clientData/>
      </xdr:twoCellAnchor>
    </mc:Choice>
    <mc:Fallback/>
  </mc:AlternateContent>
  <xdr:twoCellAnchor>
    <xdr:from>
      <xdr:col>11</xdr:col>
      <xdr:colOff>245404</xdr:colOff>
      <xdr:row>11</xdr:row>
      <xdr:rowOff>34635</xdr:rowOff>
    </xdr:from>
    <xdr:to>
      <xdr:col>11</xdr:col>
      <xdr:colOff>1342159</xdr:colOff>
      <xdr:row>12</xdr:row>
      <xdr:rowOff>43295</xdr:rowOff>
    </xdr:to>
    <xdr:sp macro="" textlink="">
      <xdr:nvSpPr>
        <xdr:cNvPr id="79" name="Rectángulo redondeado 78">
          <a:extLst>
            <a:ext uri="{FF2B5EF4-FFF2-40B4-BE49-F238E27FC236}">
              <a16:creationId xmlns:a16="http://schemas.microsoft.com/office/drawing/2014/main" id="{00000000-0008-0000-0200-00004F000000}"/>
            </a:ext>
          </a:extLst>
        </xdr:cNvPr>
        <xdr:cNvSpPr/>
      </xdr:nvSpPr>
      <xdr:spPr>
        <a:xfrm>
          <a:off x="8494054" y="3092160"/>
          <a:ext cx="1096755" cy="227735"/>
        </a:xfrm>
        <a:prstGeom prst="roundRect">
          <a:avLst/>
        </a:prstGeom>
        <a:solidFill>
          <a:schemeClr val="bg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defPPr>
            <a:defRPr lang="es-MX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r>
            <a:rPr lang="es-MX" sz="1000" b="1">
              <a:solidFill>
                <a:srgbClr val="3BB0C9"/>
              </a:solidFill>
              <a:latin typeface="Arial" panose="020B0604020202020204" pitchFamily="34" charset="0"/>
              <a:cs typeface="Arial" panose="020B0604020202020204" pitchFamily="34" charset="0"/>
            </a:rPr>
            <a:t>Póliza Nueva</a:t>
          </a:r>
        </a:p>
      </xdr:txBody>
    </xdr:sp>
    <xdr:clientData/>
  </xdr:twoCellAnchor>
  <xdr:twoCellAnchor>
    <xdr:from>
      <xdr:col>11</xdr:col>
      <xdr:colOff>233281</xdr:colOff>
      <xdr:row>12</xdr:row>
      <xdr:rowOff>135081</xdr:rowOff>
    </xdr:from>
    <xdr:to>
      <xdr:col>11</xdr:col>
      <xdr:colOff>1316181</xdr:colOff>
      <xdr:row>13</xdr:row>
      <xdr:rowOff>143740</xdr:rowOff>
    </xdr:to>
    <xdr:sp macro="" textlink="">
      <xdr:nvSpPr>
        <xdr:cNvPr id="81" name="Rectángulo redondeado 80">
          <a:extLst>
            <a:ext uri="{FF2B5EF4-FFF2-40B4-BE49-F238E27FC236}">
              <a16:creationId xmlns:a16="http://schemas.microsoft.com/office/drawing/2014/main" id="{00000000-0008-0000-0200-000051000000}"/>
            </a:ext>
          </a:extLst>
        </xdr:cNvPr>
        <xdr:cNvSpPr/>
      </xdr:nvSpPr>
      <xdr:spPr>
        <a:xfrm>
          <a:off x="8481931" y="3411681"/>
          <a:ext cx="1082900" cy="227734"/>
        </a:xfrm>
        <a:prstGeom prst="roundRect">
          <a:avLst/>
        </a:prstGeom>
        <a:solidFill>
          <a:schemeClr val="bg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defPPr>
            <a:defRPr lang="es-MX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r>
            <a:rPr lang="es-MX" sz="1000" b="1" baseline="0">
              <a:solidFill>
                <a:srgbClr val="3BB0C9"/>
              </a:solidFill>
              <a:latin typeface="Arial" panose="020B0604020202020204" pitchFamily="34" charset="0"/>
              <a:cs typeface="Arial" panose="020B0604020202020204" pitchFamily="34" charset="0"/>
            </a:rPr>
            <a:t>Renovación</a:t>
          </a:r>
          <a:endParaRPr lang="es-MX" sz="1000" b="1">
            <a:solidFill>
              <a:srgbClr val="3BB0C9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281</xdr:col>
      <xdr:colOff>0</xdr:colOff>
      <xdr:row>9</xdr:row>
      <xdr:rowOff>152400</xdr:rowOff>
    </xdr:from>
    <xdr:to>
      <xdr:col>281</xdr:col>
      <xdr:colOff>0</xdr:colOff>
      <xdr:row>12</xdr:row>
      <xdr:rowOff>114300</xdr:rowOff>
    </xdr:to>
    <xdr:pic>
      <xdr:nvPicPr>
        <xdr:cNvPr id="2" name="Imagen 2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1563350" y="1485900"/>
          <a:ext cx="0" cy="5238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281</xdr:col>
      <xdr:colOff>0</xdr:colOff>
      <xdr:row>9</xdr:row>
      <xdr:rowOff>152400</xdr:rowOff>
    </xdr:from>
    <xdr:to>
      <xdr:col>281</xdr:col>
      <xdr:colOff>0</xdr:colOff>
      <xdr:row>12</xdr:row>
      <xdr:rowOff>114300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1563350" y="1485900"/>
          <a:ext cx="0" cy="5238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281</xdr:col>
      <xdr:colOff>0</xdr:colOff>
      <xdr:row>9</xdr:row>
      <xdr:rowOff>152400</xdr:rowOff>
    </xdr:from>
    <xdr:to>
      <xdr:col>281</xdr:col>
      <xdr:colOff>0</xdr:colOff>
      <xdr:row>12</xdr:row>
      <xdr:rowOff>114300</xdr:rowOff>
    </xdr:to>
    <xdr:pic>
      <xdr:nvPicPr>
        <xdr:cNvPr id="4" name="Imagen 2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1563350" y="1485900"/>
          <a:ext cx="0" cy="5238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281</xdr:col>
      <xdr:colOff>0</xdr:colOff>
      <xdr:row>9</xdr:row>
      <xdr:rowOff>152400</xdr:rowOff>
    </xdr:from>
    <xdr:to>
      <xdr:col>281</xdr:col>
      <xdr:colOff>0</xdr:colOff>
      <xdr:row>10</xdr:row>
      <xdr:rowOff>266700</xdr:rowOff>
    </xdr:to>
    <xdr:pic>
      <xdr:nvPicPr>
        <xdr:cNvPr id="5" name="Imagen 2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1563350" y="1485900"/>
          <a:ext cx="0" cy="2190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76200</xdr:colOff>
          <xdr:row>62</xdr:row>
          <xdr:rowOff>0</xdr:rowOff>
        </xdr:from>
        <xdr:to>
          <xdr:col>11</xdr:col>
          <xdr:colOff>1193800</xdr:colOff>
          <xdr:row>63</xdr:row>
          <xdr:rowOff>69850</xdr:rowOff>
        </xdr:to>
        <xdr:sp macro="" textlink="">
          <xdr:nvSpPr>
            <xdr:cNvPr id="20481" name="Group Box 1" hidden="1">
              <a:extLst>
                <a:ext uri="{63B3BB69-23CF-44E3-9099-C40C66FF867C}">
                  <a14:compatExt spid="_x0000_s20481"/>
                </a:ext>
                <a:ext uri="{FF2B5EF4-FFF2-40B4-BE49-F238E27FC236}">
                  <a16:creationId xmlns:a16="http://schemas.microsoft.com/office/drawing/2014/main" id="{00000000-0008-0000-0300-000001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62</xdr:row>
          <xdr:rowOff>0</xdr:rowOff>
        </xdr:from>
        <xdr:to>
          <xdr:col>11</xdr:col>
          <xdr:colOff>1295400</xdr:colOff>
          <xdr:row>64</xdr:row>
          <xdr:rowOff>50800</xdr:rowOff>
        </xdr:to>
        <xdr:sp macro="" textlink="">
          <xdr:nvSpPr>
            <xdr:cNvPr id="20482" name="Group Box 2" hidden="1">
              <a:extLst>
                <a:ext uri="{63B3BB69-23CF-44E3-9099-C40C66FF867C}">
                  <a14:compatExt spid="_x0000_s20482"/>
                </a:ext>
                <a:ext uri="{FF2B5EF4-FFF2-40B4-BE49-F238E27FC236}">
                  <a16:creationId xmlns:a16="http://schemas.microsoft.com/office/drawing/2014/main" id="{00000000-0008-0000-0300-000002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62</xdr:row>
          <xdr:rowOff>0</xdr:rowOff>
        </xdr:from>
        <xdr:to>
          <xdr:col>11</xdr:col>
          <xdr:colOff>1295400</xdr:colOff>
          <xdr:row>64</xdr:row>
          <xdr:rowOff>57150</xdr:rowOff>
        </xdr:to>
        <xdr:sp macro="" textlink="">
          <xdr:nvSpPr>
            <xdr:cNvPr id="20483" name="Group Box 3" hidden="1">
              <a:extLst>
                <a:ext uri="{63B3BB69-23CF-44E3-9099-C40C66FF867C}">
                  <a14:compatExt spid="_x0000_s20483"/>
                </a:ext>
                <a:ext uri="{FF2B5EF4-FFF2-40B4-BE49-F238E27FC236}">
                  <a16:creationId xmlns:a16="http://schemas.microsoft.com/office/drawing/2014/main" id="{00000000-0008-0000-0300-000003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62</xdr:row>
          <xdr:rowOff>0</xdr:rowOff>
        </xdr:from>
        <xdr:to>
          <xdr:col>11</xdr:col>
          <xdr:colOff>1295400</xdr:colOff>
          <xdr:row>64</xdr:row>
          <xdr:rowOff>50800</xdr:rowOff>
        </xdr:to>
        <xdr:sp macro="" textlink="">
          <xdr:nvSpPr>
            <xdr:cNvPr id="20484" name="Group Box 4" hidden="1">
              <a:extLst>
                <a:ext uri="{63B3BB69-23CF-44E3-9099-C40C66FF867C}">
                  <a14:compatExt spid="_x0000_s20484"/>
                </a:ext>
                <a:ext uri="{FF2B5EF4-FFF2-40B4-BE49-F238E27FC236}">
                  <a16:creationId xmlns:a16="http://schemas.microsoft.com/office/drawing/2014/main" id="{00000000-0008-0000-0300-000004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62</xdr:row>
          <xdr:rowOff>0</xdr:rowOff>
        </xdr:from>
        <xdr:to>
          <xdr:col>11</xdr:col>
          <xdr:colOff>1295400</xdr:colOff>
          <xdr:row>64</xdr:row>
          <xdr:rowOff>50800</xdr:rowOff>
        </xdr:to>
        <xdr:sp macro="" textlink="">
          <xdr:nvSpPr>
            <xdr:cNvPr id="20485" name="Group Box 5" hidden="1">
              <a:extLst>
                <a:ext uri="{63B3BB69-23CF-44E3-9099-C40C66FF867C}">
                  <a14:compatExt spid="_x0000_s20485"/>
                </a:ext>
                <a:ext uri="{FF2B5EF4-FFF2-40B4-BE49-F238E27FC236}">
                  <a16:creationId xmlns:a16="http://schemas.microsoft.com/office/drawing/2014/main" id="{00000000-0008-0000-0300-000005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62</xdr:row>
          <xdr:rowOff>0</xdr:rowOff>
        </xdr:from>
        <xdr:to>
          <xdr:col>11</xdr:col>
          <xdr:colOff>1295400</xdr:colOff>
          <xdr:row>65</xdr:row>
          <xdr:rowOff>76200</xdr:rowOff>
        </xdr:to>
        <xdr:sp macro="" textlink="">
          <xdr:nvSpPr>
            <xdr:cNvPr id="20486" name="Group Box 6" hidden="1">
              <a:extLst>
                <a:ext uri="{63B3BB69-23CF-44E3-9099-C40C66FF867C}">
                  <a14:compatExt spid="_x0000_s20486"/>
                </a:ext>
                <a:ext uri="{FF2B5EF4-FFF2-40B4-BE49-F238E27FC236}">
                  <a16:creationId xmlns:a16="http://schemas.microsoft.com/office/drawing/2014/main" id="{00000000-0008-0000-0300-000006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104775</xdr:colOff>
      <xdr:row>83</xdr:row>
      <xdr:rowOff>182655</xdr:rowOff>
    </xdr:from>
    <xdr:to>
      <xdr:col>14</xdr:col>
      <xdr:colOff>1171575</xdr:colOff>
      <xdr:row>87</xdr:row>
      <xdr:rowOff>73269</xdr:rowOff>
    </xdr:to>
    <xdr:sp macro="" textlink="">
      <xdr:nvSpPr>
        <xdr:cNvPr id="12" name="194 CuadroTexto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SpPr txBox="1"/>
      </xdr:nvSpPr>
      <xdr:spPr>
        <a:xfrm>
          <a:off x="152400" y="13279530"/>
          <a:ext cx="11210925" cy="579345"/>
        </a:xfrm>
        <a:prstGeom prst="rect">
          <a:avLst/>
        </a:prstGeom>
        <a:noFill/>
        <a:ln>
          <a:noFill/>
        </a:ln>
        <a:effectLst/>
      </xdr:spPr>
      <xdr:txBody>
        <a:bodyPr wrap="square" tIns="0" bIns="0" rtlCol="0" anchor="t">
          <a:noAutofit/>
        </a:bodyPr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s-MX" sz="12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Arial"/>
              <a:ea typeface="Times New Roman"/>
            </a:rPr>
            <a:t>Seguros Ve por Más, S.A., Grupo Financiero Ve por Más</a:t>
          </a: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s-MX" sz="12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Arial"/>
              <a:ea typeface="Times New Roman"/>
            </a:rPr>
            <a:t>Paseo de la Reforma 243 piso 16, Colonia Cuauhtémoc, Alcaldía Cuauhtémoc C.P. 06500 Ciudad de México.</a:t>
          </a: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s-MX" sz="12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Arial"/>
              <a:ea typeface="Times New Roman"/>
            </a:rPr>
            <a:t>Teléfono 5511021800, www.vepormas.com</a:t>
          </a:r>
          <a:endParaRPr kumimoji="0" lang="es-MX" sz="12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Times New Roman"/>
            <a:ea typeface="Times New Roman"/>
          </a:endParaRPr>
        </a:p>
      </xdr:txBody>
    </xdr:sp>
    <xdr:clientData/>
  </xdr:twoCellAnchor>
  <xdr:twoCellAnchor editAs="oneCell">
    <xdr:from>
      <xdr:col>0</xdr:col>
      <xdr:colOff>190501</xdr:colOff>
      <xdr:row>4</xdr:row>
      <xdr:rowOff>0</xdr:rowOff>
    </xdr:from>
    <xdr:to>
      <xdr:col>3</xdr:col>
      <xdr:colOff>257176</xdr:colOff>
      <xdr:row>5</xdr:row>
      <xdr:rowOff>143044</xdr:rowOff>
    </xdr:to>
    <xdr:pic>
      <xdr:nvPicPr>
        <xdr:cNvPr id="13" name="14 Imagen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1" y="857250"/>
          <a:ext cx="1981200" cy="43831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11</xdr:col>
      <xdr:colOff>323850</xdr:colOff>
      <xdr:row>1</xdr:row>
      <xdr:rowOff>276225</xdr:rowOff>
    </xdr:from>
    <xdr:to>
      <xdr:col>15</xdr:col>
      <xdr:colOff>36777</xdr:colOff>
      <xdr:row>4</xdr:row>
      <xdr:rowOff>253156</xdr:rowOff>
    </xdr:to>
    <xdr:sp macro="" textlink="">
      <xdr:nvSpPr>
        <xdr:cNvPr id="14" name="18 CuadroTexto">
          <a:extLst>
            <a:ext uri="{FF2B5EF4-FFF2-40B4-BE49-F238E27FC236}">
              <a16:creationId xmlns:a16="http://schemas.microsoft.com/office/drawing/2014/main" id="{00000000-0008-0000-0300-00000E000000}"/>
            </a:ext>
          </a:extLst>
        </xdr:cNvPr>
        <xdr:cNvSpPr txBox="1"/>
      </xdr:nvSpPr>
      <xdr:spPr>
        <a:xfrm>
          <a:off x="6276975" y="466725"/>
          <a:ext cx="5275527" cy="643681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r"/>
          <a:r>
            <a:rPr lang="es-MX" sz="1800" b="0" i="0" u="none">
              <a:solidFill>
                <a:srgbClr val="3BB0C9"/>
              </a:solidFill>
              <a:latin typeface="Arial" panose="020B0604020202020204" pitchFamily="34" charset="0"/>
              <a:cs typeface="Arial" panose="020B0604020202020204" pitchFamily="34" charset="0"/>
            </a:rPr>
            <a:t>Gastos Médicos Mayores Individual</a:t>
          </a:r>
          <a:r>
            <a:rPr lang="es-MX" sz="1800" b="0" i="0" u="none" baseline="0">
              <a:solidFill>
                <a:srgbClr val="3BB0C9"/>
              </a:solidFill>
              <a:latin typeface="Arial" panose="020B0604020202020204" pitchFamily="34" charset="0"/>
              <a:cs typeface="Arial" panose="020B0604020202020204" pitchFamily="34" charset="0"/>
            </a:rPr>
            <a:t> </a:t>
          </a:r>
        </a:p>
        <a:p>
          <a:pPr algn="r"/>
          <a:r>
            <a:rPr lang="es-MX" sz="1800" b="0" i="1" u="none" baseline="0">
              <a:solidFill>
                <a:srgbClr val="3BB0C9"/>
              </a:solidFill>
              <a:latin typeface="Arial" panose="020B0604020202020204" pitchFamily="34" charset="0"/>
              <a:cs typeface="Arial" panose="020B0604020202020204" pitchFamily="34" charset="0"/>
            </a:rPr>
            <a:t>                      </a:t>
          </a:r>
          <a:endParaRPr lang="es-MX" sz="1800" b="0" i="1" u="none">
            <a:solidFill>
              <a:srgbClr val="3BB0C9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oneCell">
    <xdr:from>
      <xdr:col>1</xdr:col>
      <xdr:colOff>0</xdr:colOff>
      <xdr:row>0</xdr:row>
      <xdr:rowOff>133350</xdr:rowOff>
    </xdr:from>
    <xdr:to>
      <xdr:col>6</xdr:col>
      <xdr:colOff>256712</xdr:colOff>
      <xdr:row>3</xdr:row>
      <xdr:rowOff>123743</xdr:rowOff>
    </xdr:to>
    <xdr:pic>
      <xdr:nvPicPr>
        <xdr:cNvPr id="16" name="Imagen 15">
          <a:extLst>
            <a:ext uri="{FF2B5EF4-FFF2-40B4-BE49-F238E27FC236}">
              <a16:creationId xmlns:a16="http://schemas.microsoft.com/office/drawing/2014/main" id="{00000000-0008-0000-03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00025" y="133350"/>
          <a:ext cx="3704762" cy="65714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946150</xdr:colOff>
          <xdr:row>167</xdr:row>
          <xdr:rowOff>76200</xdr:rowOff>
        </xdr:from>
        <xdr:to>
          <xdr:col>14</xdr:col>
          <xdr:colOff>1028700</xdr:colOff>
          <xdr:row>169</xdr:row>
          <xdr:rowOff>38100</xdr:rowOff>
        </xdr:to>
        <xdr:sp macro="" textlink="">
          <xdr:nvSpPr>
            <xdr:cNvPr id="20487" name="Button 7" hidden="1">
              <a:extLst>
                <a:ext uri="{63B3BB69-23CF-44E3-9099-C40C66FF867C}">
                  <a14:compatExt spid="_x0000_s20487"/>
                </a:ext>
                <a:ext uri="{FF2B5EF4-FFF2-40B4-BE49-F238E27FC236}">
                  <a16:creationId xmlns:a16="http://schemas.microsoft.com/office/drawing/2014/main" id="{00000000-0008-0000-0300-000007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Guardar Cotización 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1009650</xdr:colOff>
          <xdr:row>16</xdr:row>
          <xdr:rowOff>127000</xdr:rowOff>
        </xdr:from>
        <xdr:to>
          <xdr:col>3</xdr:col>
          <xdr:colOff>12700</xdr:colOff>
          <xdr:row>18</xdr:row>
          <xdr:rowOff>133350</xdr:rowOff>
        </xdr:to>
        <xdr:sp macro="" textlink="">
          <xdr:nvSpPr>
            <xdr:cNvPr id="23553" name="Button 1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04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Finalizar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S:\Users\miguel.avila\Desktop\GMI%20Proyecto\Cotizador_Gastos_Medicos_BX+_PLUS_2019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miguel.avila/Desktop/GMI%20Proyecto/Cotizador_Gastos_Medicos_BX+_PLUS_2019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alfredo.mejia/Desktop/Cesi&#243;n%20de%20comisi&#243;n/Copia%20de%20Cotizador_Gastos%20M&#233;dicos%20BX+%202019_c_DESBL_Cesi&#243;n%20de%20comisi&#243;n_041119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tizador"/>
      <sheetName val="Parametros"/>
      <sheetName val="Cotizacion"/>
      <sheetName val="Tablas"/>
    </sheetNames>
    <sheetDataSet>
      <sheetData sheetId="0" refreshError="1"/>
      <sheetData sheetId="1" refreshError="1"/>
      <sheetData sheetId="2" refreshError="1"/>
      <sheetData sheetId="3" refreshError="1">
        <row r="5">
          <cell r="Q5" t="str">
            <v>AGUASCALIENTES</v>
          </cell>
        </row>
        <row r="6">
          <cell r="Q6" t="str">
            <v>BAJA CALIFORNIA NORTE</v>
          </cell>
        </row>
        <row r="7">
          <cell r="Q7" t="str">
            <v>BAJA CALIFORNIA SUR</v>
          </cell>
        </row>
        <row r="8">
          <cell r="Q8" t="str">
            <v>CAMPECHE</v>
          </cell>
        </row>
        <row r="9">
          <cell r="Q9" t="str">
            <v>COAHUILA</v>
          </cell>
        </row>
        <row r="10">
          <cell r="Q10" t="str">
            <v>COLIMA</v>
          </cell>
        </row>
        <row r="11">
          <cell r="Q11" t="str">
            <v>CHIAPAS</v>
          </cell>
        </row>
        <row r="12">
          <cell r="Q12" t="str">
            <v>CHIHUAHUA</v>
          </cell>
        </row>
        <row r="13">
          <cell r="Q13" t="str">
            <v>CIUDAD DE MEXICO</v>
          </cell>
        </row>
        <row r="14">
          <cell r="Q14" t="str">
            <v xml:space="preserve">DURANGO </v>
          </cell>
        </row>
        <row r="15">
          <cell r="Q15" t="str">
            <v>GUANAJUATO</v>
          </cell>
        </row>
        <row r="16">
          <cell r="Q16" t="str">
            <v>GUERRERO</v>
          </cell>
        </row>
        <row r="17">
          <cell r="Q17" t="str">
            <v>HIDALGO</v>
          </cell>
        </row>
        <row r="18">
          <cell r="Q18" t="str">
            <v>JALISCO</v>
          </cell>
        </row>
        <row r="19">
          <cell r="Q19" t="str">
            <v>MEXICO</v>
          </cell>
        </row>
        <row r="20">
          <cell r="Q20" t="str">
            <v>MICHOACAN</v>
          </cell>
        </row>
        <row r="21">
          <cell r="Q21" t="str">
            <v xml:space="preserve">MORELOS </v>
          </cell>
        </row>
        <row r="22">
          <cell r="Q22" t="str">
            <v>NAYARIT</v>
          </cell>
        </row>
        <row r="23">
          <cell r="Q23" t="str">
            <v>NUEVO LEON</v>
          </cell>
        </row>
        <row r="24">
          <cell r="Q24" t="str">
            <v>OAXACA</v>
          </cell>
        </row>
        <row r="25">
          <cell r="Q25" t="str">
            <v>PUEBLA</v>
          </cell>
        </row>
        <row r="26">
          <cell r="Q26" t="str">
            <v>QUERETARO</v>
          </cell>
        </row>
        <row r="27">
          <cell r="Q27" t="str">
            <v>QUINTANA ROO</v>
          </cell>
        </row>
        <row r="28">
          <cell r="Q28" t="str">
            <v>SAN LUIS POTOSI</v>
          </cell>
        </row>
        <row r="29">
          <cell r="Q29" t="str">
            <v>SINALOA</v>
          </cell>
        </row>
        <row r="30">
          <cell r="Q30" t="str">
            <v>SONORA</v>
          </cell>
        </row>
        <row r="31">
          <cell r="Q31" t="str">
            <v>TABASCO</v>
          </cell>
        </row>
        <row r="32">
          <cell r="Q32" t="str">
            <v>TAMAULIPAS</v>
          </cell>
        </row>
        <row r="33">
          <cell r="Q33" t="str">
            <v>TLAXCALA</v>
          </cell>
        </row>
        <row r="34">
          <cell r="Q34" t="str">
            <v>VERACRUZ</v>
          </cell>
        </row>
        <row r="35">
          <cell r="Q35" t="str">
            <v>YUCATAN</v>
          </cell>
        </row>
        <row r="36">
          <cell r="Q36" t="str">
            <v>ZACATECAS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tizador"/>
      <sheetName val="Parametros"/>
      <sheetName val="Cotizacion"/>
      <sheetName val="Tablas"/>
    </sheetNames>
    <sheetDataSet>
      <sheetData sheetId="0" refreshError="1"/>
      <sheetData sheetId="1" refreshError="1"/>
      <sheetData sheetId="2" refreshError="1"/>
      <sheetData sheetId="3" refreshError="1">
        <row r="5">
          <cell r="Q5" t="str">
            <v>AGUASCALIENTES</v>
          </cell>
        </row>
        <row r="6">
          <cell r="Q6" t="str">
            <v>BAJA CALIFORNIA NORTE</v>
          </cell>
        </row>
        <row r="7">
          <cell r="Q7" t="str">
            <v>BAJA CALIFORNIA SUR</v>
          </cell>
        </row>
        <row r="8">
          <cell r="Q8" t="str">
            <v>CAMPECHE</v>
          </cell>
        </row>
        <row r="9">
          <cell r="Q9" t="str">
            <v>COAHUILA</v>
          </cell>
        </row>
        <row r="10">
          <cell r="Q10" t="str">
            <v>COLIMA</v>
          </cell>
        </row>
        <row r="11">
          <cell r="Q11" t="str">
            <v>CHIAPAS</v>
          </cell>
        </row>
        <row r="12">
          <cell r="Q12" t="str">
            <v>CHIHUAHUA</v>
          </cell>
        </row>
        <row r="13">
          <cell r="Q13" t="str">
            <v>CIUDAD DE MEXICO</v>
          </cell>
        </row>
        <row r="14">
          <cell r="Q14" t="str">
            <v xml:space="preserve">DURANGO </v>
          </cell>
        </row>
        <row r="15">
          <cell r="Q15" t="str">
            <v>GUANAJUATO</v>
          </cell>
        </row>
        <row r="16">
          <cell r="Q16" t="str">
            <v>GUERRERO</v>
          </cell>
        </row>
        <row r="17">
          <cell r="Q17" t="str">
            <v>HIDALGO</v>
          </cell>
        </row>
        <row r="18">
          <cell r="Q18" t="str">
            <v>JALISCO</v>
          </cell>
        </row>
        <row r="19">
          <cell r="Q19" t="str">
            <v>MEXICO</v>
          </cell>
        </row>
        <row r="20">
          <cell r="Q20" t="str">
            <v>MICHOACAN</v>
          </cell>
        </row>
        <row r="21">
          <cell r="Q21" t="str">
            <v xml:space="preserve">MORELOS </v>
          </cell>
        </row>
        <row r="22">
          <cell r="Q22" t="str">
            <v>NAYARIT</v>
          </cell>
        </row>
        <row r="23">
          <cell r="Q23" t="str">
            <v>NUEVO LEON</v>
          </cell>
        </row>
        <row r="24">
          <cell r="Q24" t="str">
            <v>OAXACA</v>
          </cell>
        </row>
        <row r="25">
          <cell r="Q25" t="str">
            <v>PUEBLA</v>
          </cell>
        </row>
        <row r="26">
          <cell r="Q26" t="str">
            <v>QUERETARO</v>
          </cell>
        </row>
        <row r="27">
          <cell r="Q27" t="str">
            <v>QUINTANA ROO</v>
          </cell>
        </row>
        <row r="28">
          <cell r="Q28" t="str">
            <v>SAN LUIS POTOSI</v>
          </cell>
        </row>
        <row r="29">
          <cell r="Q29" t="str">
            <v>SINALOA</v>
          </cell>
        </row>
        <row r="30">
          <cell r="Q30" t="str">
            <v>SONORA</v>
          </cell>
        </row>
        <row r="31">
          <cell r="Q31" t="str">
            <v>TABASCO</v>
          </cell>
        </row>
        <row r="32">
          <cell r="Q32" t="str">
            <v>TAMAULIPAS</v>
          </cell>
        </row>
        <row r="33">
          <cell r="Q33" t="str">
            <v>TLAXCALA</v>
          </cell>
        </row>
        <row r="34">
          <cell r="Q34" t="str">
            <v>VERACRUZ</v>
          </cell>
        </row>
        <row r="35">
          <cell r="Q35" t="str">
            <v>YUCATAN</v>
          </cell>
        </row>
        <row r="36">
          <cell r="Q36" t="str">
            <v>ZACATECAS</v>
          </cell>
        </row>
      </sheetData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tizador"/>
      <sheetName val="Parametros"/>
      <sheetName val="Cotizacion"/>
      <sheetName val="Tablas"/>
    </sheetNames>
    <sheetDataSet>
      <sheetData sheetId="0">
        <row r="11">
          <cell r="K11" t="str">
            <v>NO</v>
          </cell>
        </row>
      </sheetData>
      <sheetData sheetId="1"/>
      <sheetData sheetId="2"/>
      <sheetData sheetId="3">
        <row r="4">
          <cell r="I4">
            <v>0.45</v>
          </cell>
        </row>
        <row r="5">
          <cell r="L5">
            <v>0.27</v>
          </cell>
        </row>
      </sheetData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9" Type="http://schemas.openxmlformats.org/officeDocument/2006/relationships/ctrlProp" Target="../ctrlProps/ctrlProp36.xml"/><Relationship Id="rId21" Type="http://schemas.openxmlformats.org/officeDocument/2006/relationships/ctrlProp" Target="../ctrlProps/ctrlProp18.xml"/><Relationship Id="rId34" Type="http://schemas.openxmlformats.org/officeDocument/2006/relationships/ctrlProp" Target="../ctrlProps/ctrlProp31.xml"/><Relationship Id="rId42" Type="http://schemas.openxmlformats.org/officeDocument/2006/relationships/ctrlProp" Target="../ctrlProps/ctrlProp39.xml"/><Relationship Id="rId47" Type="http://schemas.openxmlformats.org/officeDocument/2006/relationships/ctrlProp" Target="../ctrlProps/ctrlProp44.x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9" Type="http://schemas.openxmlformats.org/officeDocument/2006/relationships/ctrlProp" Target="../ctrlProps/ctrlProp26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31" Type="http://schemas.openxmlformats.org/officeDocument/2006/relationships/ctrlProp" Target="../ctrlProps/ctrlProp28.xml"/><Relationship Id="rId44" Type="http://schemas.openxmlformats.org/officeDocument/2006/relationships/ctrlProp" Target="../ctrlProps/ctrlProp41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46" Type="http://schemas.openxmlformats.org/officeDocument/2006/relationships/ctrlProp" Target="../ctrlProps/ctrlProp43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0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49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48.xml"/><Relationship Id="rId5" Type="http://schemas.openxmlformats.org/officeDocument/2006/relationships/ctrlProp" Target="../ctrlProps/ctrlProp47.xml"/><Relationship Id="rId10" Type="http://schemas.openxmlformats.org/officeDocument/2006/relationships/ctrlProp" Target="../ctrlProps/ctrlProp52.xml"/><Relationship Id="rId4" Type="http://schemas.openxmlformats.org/officeDocument/2006/relationships/ctrlProp" Target="../ctrlProps/ctrlProp46.xml"/><Relationship Id="rId9" Type="http://schemas.openxmlformats.org/officeDocument/2006/relationships/ctrlProp" Target="../ctrlProps/ctrlProp5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EC106"/>
  <sheetViews>
    <sheetView topLeftCell="AQ25" zoomScale="80" zoomScaleNormal="80" workbookViewId="0">
      <selection activeCell="AW31" sqref="AW31"/>
    </sheetView>
  </sheetViews>
  <sheetFormatPr baseColWidth="10" defaultRowHeight="14.5" x14ac:dyDescent="0.35"/>
  <cols>
    <col min="2" max="3" width="11.453125" customWidth="1"/>
    <col min="4" max="5" width="12.26953125" bestFit="1" customWidth="1"/>
    <col min="6" max="7" width="11.453125" customWidth="1"/>
    <col min="8" max="9" width="12.54296875" bestFit="1" customWidth="1"/>
    <col min="10" max="10" width="11.453125" customWidth="1"/>
    <col min="11" max="11" width="14.54296875" customWidth="1"/>
    <col min="12" max="13" width="11.453125" customWidth="1"/>
    <col min="14" max="14" width="15.54296875" customWidth="1"/>
    <col min="15" max="15" width="12" customWidth="1"/>
    <col min="16" max="22" width="11.453125" customWidth="1"/>
    <col min="23" max="23" width="23.26953125" customWidth="1"/>
    <col min="24" max="26" width="11.453125" customWidth="1"/>
    <col min="27" max="27" width="16.1796875" customWidth="1"/>
    <col min="28" max="35" width="11.453125" customWidth="1"/>
    <col min="36" max="36" width="37.54296875" customWidth="1"/>
    <col min="37" max="37" width="11.453125" customWidth="1"/>
    <col min="38" max="38" width="30.81640625" customWidth="1"/>
    <col min="39" max="42" width="11.453125" customWidth="1"/>
    <col min="43" max="43" width="23.26953125" customWidth="1"/>
    <col min="44" max="46" width="11.453125" customWidth="1"/>
    <col min="47" max="47" width="29.7265625" customWidth="1"/>
    <col min="48" max="48" width="11.453125" customWidth="1"/>
    <col min="49" max="49" width="41.26953125" customWidth="1"/>
    <col min="50" max="50" width="11.453125" customWidth="1"/>
    <col min="51" max="51" width="23.26953125" customWidth="1"/>
    <col min="52" max="54" width="11.453125" customWidth="1"/>
    <col min="55" max="55" width="28" customWidth="1"/>
    <col min="56" max="56" width="11.453125" customWidth="1"/>
    <col min="57" max="57" width="13.7265625" customWidth="1"/>
    <col min="58" max="60" width="11.453125" customWidth="1"/>
    <col min="61" max="61" width="35.26953125" customWidth="1"/>
    <col min="64" max="64" width="35.26953125" bestFit="1" customWidth="1"/>
    <col min="65" max="65" width="18.1796875" bestFit="1" customWidth="1"/>
    <col min="68" max="73" width="11.453125" customWidth="1"/>
    <col min="74" max="75" width="12.26953125" bestFit="1" customWidth="1"/>
    <col min="76" max="89" width="11.453125" customWidth="1"/>
    <col min="90" max="90" width="14.54296875" customWidth="1"/>
    <col min="91" max="93" width="13.54296875" customWidth="1"/>
    <col min="94" max="115" width="11.453125" customWidth="1"/>
    <col min="136" max="137" width="11.81640625" bestFit="1" customWidth="1"/>
  </cols>
  <sheetData>
    <row r="1" spans="1:133" x14ac:dyDescent="0.35">
      <c r="A1" s="404" t="s">
        <v>156</v>
      </c>
      <c r="AH1" s="406" t="s">
        <v>157</v>
      </c>
      <c r="BJ1" s="406" t="s">
        <v>141</v>
      </c>
      <c r="CA1">
        <f>IF(BM26&lt;&gt;"NO",1,0)</f>
        <v>0</v>
      </c>
      <c r="CK1">
        <f>IF(BM12="SI",1,0)</f>
        <v>0</v>
      </c>
      <c r="CM1">
        <f>IF(BM13="SI",1,0)</f>
        <v>0</v>
      </c>
      <c r="CO1">
        <f>IF(BM14="SI",1,0)</f>
        <v>0</v>
      </c>
      <c r="CQ1">
        <f>IF(BM15="SI",1,0)</f>
        <v>0</v>
      </c>
      <c r="CR1" s="205"/>
      <c r="CS1">
        <f>IF(BM16="SI",1,0)</f>
        <v>0</v>
      </c>
      <c r="CU1">
        <f>IF(BM17&lt;&gt;"NO",1,0)</f>
        <v>0</v>
      </c>
      <c r="CW1">
        <f>IF(BM18="SI",1,0)</f>
        <v>0</v>
      </c>
      <c r="CY1">
        <f>IF(BM19="SI",1,0)</f>
        <v>0</v>
      </c>
      <c r="DA1">
        <f>IF(BM20="SI",1,0)</f>
        <v>0</v>
      </c>
      <c r="DC1">
        <f>IF(BM21="SI",1,0)</f>
        <v>0</v>
      </c>
      <c r="DE1">
        <f>IF(BM22="SI",1,0)</f>
        <v>0</v>
      </c>
      <c r="DG1">
        <f>IF(BM23="SI",1,0)</f>
        <v>0</v>
      </c>
      <c r="DI1">
        <f>IF(BM24="SI",1,0)</f>
        <v>0</v>
      </c>
      <c r="DK1">
        <f>IF(BM25="SI",1,0)</f>
        <v>0</v>
      </c>
      <c r="DS1">
        <f>IF(BM18="SI",1,0)</f>
        <v>0</v>
      </c>
      <c r="DY1">
        <f>IF(BM22="SI",1,0)</f>
        <v>0</v>
      </c>
    </row>
    <row r="2" spans="1:133" ht="15" thickBot="1" x14ac:dyDescent="0.4">
      <c r="A2" s="405"/>
      <c r="C2" s="386" t="s">
        <v>100</v>
      </c>
      <c r="D2" s="386"/>
      <c r="E2" s="386"/>
      <c r="F2" s="72"/>
      <c r="G2" s="386" t="s">
        <v>191</v>
      </c>
      <c r="H2" s="386"/>
      <c r="I2" s="386"/>
      <c r="K2" s="386" t="s">
        <v>118</v>
      </c>
      <c r="L2" s="386"/>
      <c r="N2" s="386" t="s">
        <v>119</v>
      </c>
      <c r="O2" s="386"/>
      <c r="Q2" s="386" t="s">
        <v>120</v>
      </c>
      <c r="R2" s="386"/>
      <c r="T2" s="386" t="s">
        <v>121</v>
      </c>
      <c r="U2" s="386"/>
      <c r="W2" s="386" t="s">
        <v>122</v>
      </c>
      <c r="X2" s="386"/>
      <c r="Y2" s="386"/>
      <c r="AA2" s="386" t="s">
        <v>123</v>
      </c>
      <c r="AB2" s="386"/>
      <c r="AD2" s="386" t="s">
        <v>126</v>
      </c>
      <c r="AE2" s="386"/>
      <c r="AF2" s="386"/>
      <c r="AH2" s="406"/>
      <c r="AJ2" s="23" t="s">
        <v>127</v>
      </c>
      <c r="AL2" s="23" t="s">
        <v>130</v>
      </c>
      <c r="AN2" s="386" t="s">
        <v>131</v>
      </c>
      <c r="AO2" s="386"/>
      <c r="AQ2" s="386" t="s">
        <v>160</v>
      </c>
      <c r="AR2" s="386"/>
      <c r="AS2" s="386"/>
      <c r="AU2" s="23" t="s">
        <v>133</v>
      </c>
      <c r="AW2" s="23" t="s">
        <v>134</v>
      </c>
      <c r="AY2" s="386" t="s">
        <v>164</v>
      </c>
      <c r="AZ2" s="386"/>
      <c r="BA2" s="386"/>
      <c r="BC2" s="23" t="s">
        <v>137</v>
      </c>
      <c r="BE2" s="403" t="s">
        <v>138</v>
      </c>
      <c r="BF2" s="403"/>
      <c r="BG2" s="403"/>
      <c r="BI2" s="23" t="s">
        <v>139</v>
      </c>
      <c r="BJ2" s="406"/>
      <c r="BT2" s="26"/>
      <c r="BZ2" t="s">
        <v>14</v>
      </c>
      <c r="CA2">
        <f>IF(CA1=1,VLOOKUP($BM$26,$AJ$15:$AK$18,2,0),0)</f>
        <v>0</v>
      </c>
      <c r="CR2" t="s">
        <v>14</v>
      </c>
      <c r="CS2">
        <f>IF($CS$1=1,VLOOKUP($BM$8,$AU$15:$AV$19,2,0),1)</f>
        <v>1</v>
      </c>
      <c r="CT2" t="s">
        <v>46</v>
      </c>
      <c r="CU2" s="24">
        <f>IF(BM17&lt;&gt; "NO",$BM$17-15000,0)</f>
        <v>0</v>
      </c>
      <c r="CV2" t="s">
        <v>14</v>
      </c>
      <c r="CW2" s="71" t="e">
        <f>ROUND(VLOOKUP(BM4,$AQ$4:$AS$36,3,0),3)</f>
        <v>#N/A</v>
      </c>
      <c r="DD2" t="s">
        <v>14</v>
      </c>
      <c r="DE2" s="28" t="e">
        <f>VLOOKUP(BM4,$AY$42:$BA$76,3,0)</f>
        <v>#N/A</v>
      </c>
      <c r="DJ2" t="s">
        <v>46</v>
      </c>
      <c r="DK2" s="25">
        <v>100000</v>
      </c>
      <c r="DR2" t="s">
        <v>14</v>
      </c>
      <c r="DS2" t="e">
        <f>VLOOKUP(BM4,$AQ$42:$AS$74,3,0)</f>
        <v>#N/A</v>
      </c>
      <c r="DX2" t="s">
        <v>14</v>
      </c>
      <c r="DY2" s="28" t="e">
        <f>VLOOKUP(BM4,$AY$4:$BA$37,3,0)</f>
        <v>#N/A</v>
      </c>
    </row>
    <row r="3" spans="1:133" x14ac:dyDescent="0.35">
      <c r="A3" s="405"/>
      <c r="C3" s="30" t="s">
        <v>12</v>
      </c>
      <c r="D3" s="30" t="s">
        <v>98</v>
      </c>
      <c r="E3" s="30" t="s">
        <v>99</v>
      </c>
      <c r="F3" s="72"/>
      <c r="G3" s="30" t="s">
        <v>12</v>
      </c>
      <c r="H3" s="30" t="s">
        <v>98</v>
      </c>
      <c r="I3" s="30" t="s">
        <v>99</v>
      </c>
      <c r="K3" s="30" t="s">
        <v>109</v>
      </c>
      <c r="L3" s="30" t="s">
        <v>110</v>
      </c>
      <c r="N3" s="30" t="s">
        <v>101</v>
      </c>
      <c r="O3" s="30" t="s">
        <v>102</v>
      </c>
      <c r="Q3" s="30" t="s">
        <v>103</v>
      </c>
      <c r="R3" s="30" t="s">
        <v>102</v>
      </c>
      <c r="T3" s="30" t="s">
        <v>8</v>
      </c>
      <c r="U3" s="30" t="s">
        <v>14</v>
      </c>
      <c r="W3" s="30" t="s">
        <v>104</v>
      </c>
      <c r="X3" s="30" t="s">
        <v>105</v>
      </c>
      <c r="Y3" s="30" t="s">
        <v>102</v>
      </c>
      <c r="AA3" s="30" t="s">
        <v>106</v>
      </c>
      <c r="AB3" s="30" t="s">
        <v>14</v>
      </c>
      <c r="AD3" s="30" t="s">
        <v>125</v>
      </c>
      <c r="AE3" s="30" t="s">
        <v>66</v>
      </c>
      <c r="AF3" s="30" t="s">
        <v>67</v>
      </c>
      <c r="AH3" s="406"/>
      <c r="AJ3" s="43">
        <v>0.20471103868386598</v>
      </c>
      <c r="AL3" s="45">
        <v>25000</v>
      </c>
      <c r="AN3" s="30" t="s">
        <v>12</v>
      </c>
      <c r="AO3" s="30" t="s">
        <v>14</v>
      </c>
      <c r="AQ3" s="30" t="s">
        <v>104</v>
      </c>
      <c r="AR3" s="30" t="s">
        <v>132</v>
      </c>
      <c r="AS3" s="30" t="s">
        <v>102</v>
      </c>
      <c r="AU3" s="44">
        <v>8.9819705999999999E-2</v>
      </c>
      <c r="AW3" s="44">
        <v>1.2516293427348835E-2</v>
      </c>
      <c r="AY3" s="30" t="s">
        <v>104</v>
      </c>
      <c r="AZ3" s="30" t="s">
        <v>105</v>
      </c>
      <c r="BA3" s="30" t="s">
        <v>14</v>
      </c>
      <c r="BC3" s="44">
        <v>2.6641837306831843E-2</v>
      </c>
      <c r="BE3" s="30" t="s">
        <v>12</v>
      </c>
      <c r="BF3" s="30" t="s">
        <v>98</v>
      </c>
      <c r="BG3" s="30" t="s">
        <v>99</v>
      </c>
      <c r="BI3" s="38">
        <v>3.44E-2</v>
      </c>
      <c r="BJ3" s="406"/>
      <c r="BL3" s="5" t="s">
        <v>142</v>
      </c>
      <c r="BM3" s="5" t="s">
        <v>83</v>
      </c>
      <c r="BN3" s="5" t="s">
        <v>14</v>
      </c>
      <c r="BR3" s="399" t="s">
        <v>84</v>
      </c>
      <c r="BS3" s="399"/>
      <c r="BT3" s="26"/>
      <c r="BV3" s="399" t="s">
        <v>84</v>
      </c>
      <c r="BW3" s="399"/>
      <c r="BZ3" s="399" t="s">
        <v>84</v>
      </c>
      <c r="CA3" s="399"/>
      <c r="CD3" s="399" t="s">
        <v>84</v>
      </c>
      <c r="CE3" s="399"/>
      <c r="CG3" s="408" t="s">
        <v>9</v>
      </c>
      <c r="CH3" s="387" t="s">
        <v>84</v>
      </c>
      <c r="CI3" s="387"/>
      <c r="CJ3" s="387" t="s">
        <v>84</v>
      </c>
      <c r="CK3" s="387"/>
      <c r="CL3" s="387" t="s">
        <v>84</v>
      </c>
      <c r="CM3" s="387"/>
      <c r="CN3" s="387" t="s">
        <v>84</v>
      </c>
      <c r="CO3" s="387"/>
      <c r="CP3" s="387" t="s">
        <v>84</v>
      </c>
      <c r="CQ3" s="387"/>
      <c r="CR3" s="387" t="s">
        <v>84</v>
      </c>
      <c r="CS3" s="387"/>
      <c r="CT3" s="387" t="s">
        <v>84</v>
      </c>
      <c r="CU3" s="387"/>
      <c r="CV3" s="387" t="s">
        <v>84</v>
      </c>
      <c r="CW3" s="387"/>
      <c r="CX3" s="387" t="s">
        <v>84</v>
      </c>
      <c r="CY3" s="387"/>
      <c r="CZ3" s="387" t="s">
        <v>84</v>
      </c>
      <c r="DA3" s="387"/>
      <c r="DB3" s="387" t="s">
        <v>84</v>
      </c>
      <c r="DC3" s="387"/>
      <c r="DD3" s="387" t="s">
        <v>84</v>
      </c>
      <c r="DE3" s="387"/>
      <c r="DF3" s="387" t="s">
        <v>84</v>
      </c>
      <c r="DG3" s="387"/>
      <c r="DH3" s="387" t="s">
        <v>84</v>
      </c>
      <c r="DI3" s="387"/>
      <c r="DJ3" s="387" t="s">
        <v>84</v>
      </c>
      <c r="DK3" s="387"/>
      <c r="DR3" s="387" t="s">
        <v>84</v>
      </c>
      <c r="DS3" s="387"/>
      <c r="DT3" s="60"/>
      <c r="DU3" s="60"/>
      <c r="DV3" s="397" t="s">
        <v>252</v>
      </c>
      <c r="DW3" s="398"/>
      <c r="DX3" s="387" t="s">
        <v>84</v>
      </c>
      <c r="DY3" s="387"/>
      <c r="DZ3" s="387" t="s">
        <v>84</v>
      </c>
      <c r="EA3" s="387"/>
      <c r="EB3" s="397" t="s">
        <v>187</v>
      </c>
      <c r="EC3" s="398"/>
    </row>
    <row r="4" spans="1:133" ht="24.75" customHeight="1" x14ac:dyDescent="0.35">
      <c r="A4" s="405"/>
      <c r="C4" s="31">
        <v>0</v>
      </c>
      <c r="D4" s="32">
        <v>7709.48</v>
      </c>
      <c r="E4" s="32">
        <v>7758.36</v>
      </c>
      <c r="F4" s="72"/>
      <c r="G4" s="31">
        <v>0</v>
      </c>
      <c r="H4" s="32">
        <v>13766.93</v>
      </c>
      <c r="I4" s="32">
        <v>13854.21</v>
      </c>
      <c r="K4" s="33" t="s">
        <v>47</v>
      </c>
      <c r="L4" s="34">
        <v>0.1</v>
      </c>
      <c r="N4" s="35">
        <v>2000000</v>
      </c>
      <c r="O4" s="36">
        <v>0.83</v>
      </c>
      <c r="Q4" s="35">
        <v>10000</v>
      </c>
      <c r="R4" s="36">
        <v>1</v>
      </c>
      <c r="T4" s="42">
        <v>0.1</v>
      </c>
      <c r="U4" s="36">
        <v>1</v>
      </c>
      <c r="W4" s="40" t="s">
        <v>15</v>
      </c>
      <c r="X4" s="40">
        <v>3</v>
      </c>
      <c r="Y4" s="41">
        <f>VLOOKUP(X4,$AA$21:$AB$29,2,0)</f>
        <v>0.62</v>
      </c>
      <c r="AA4" s="40" t="s">
        <v>43</v>
      </c>
      <c r="AB4" s="40">
        <v>1</v>
      </c>
      <c r="AD4" s="40" t="s">
        <v>63</v>
      </c>
      <c r="AE4" s="41">
        <v>0</v>
      </c>
      <c r="AF4" s="40">
        <v>1</v>
      </c>
      <c r="AH4" s="406"/>
      <c r="AL4" s="45">
        <v>30000</v>
      </c>
      <c r="AN4" s="40">
        <v>0</v>
      </c>
      <c r="AO4" s="46">
        <v>0</v>
      </c>
      <c r="AQ4" s="40" t="s">
        <v>15</v>
      </c>
      <c r="AR4" s="40">
        <v>3</v>
      </c>
      <c r="AS4" s="49">
        <f>VLOOKUP(AR4,$AU$30:$AV$38,2,0)</f>
        <v>6.9000000000000006E-2</v>
      </c>
      <c r="AT4" s="50"/>
      <c r="AY4" s="40" t="s">
        <v>15</v>
      </c>
      <c r="AZ4" s="40">
        <v>2</v>
      </c>
      <c r="BA4" s="40">
        <v>0.47649999999999998</v>
      </c>
      <c r="BE4" s="40">
        <v>18</v>
      </c>
      <c r="BF4" s="40">
        <v>0.53500000000000003</v>
      </c>
      <c r="BG4" s="40">
        <v>0.58499999999999996</v>
      </c>
      <c r="BJ4" s="406"/>
      <c r="BL4" s="6" t="s">
        <v>2</v>
      </c>
      <c r="BM4" s="73" t="str">
        <f>+Cotizador!E13</f>
        <v/>
      </c>
      <c r="BN4" s="7" t="e">
        <f>VLOOKUP(BM4,$W$4:$Y$38,3,0)</f>
        <v>#N/A</v>
      </c>
      <c r="BR4" s="401" t="s">
        <v>144</v>
      </c>
      <c r="BS4" s="402"/>
      <c r="BT4" s="26"/>
      <c r="BV4" s="401" t="s">
        <v>155</v>
      </c>
      <c r="BW4" s="402"/>
      <c r="BZ4" s="401" t="s">
        <v>293</v>
      </c>
      <c r="CA4" s="402"/>
      <c r="CD4" s="401" t="s">
        <v>294</v>
      </c>
      <c r="CE4" s="402"/>
      <c r="CG4" s="409"/>
      <c r="CH4" s="388" t="s">
        <v>145</v>
      </c>
      <c r="CI4" s="389"/>
      <c r="CJ4" s="388" t="s">
        <v>154</v>
      </c>
      <c r="CK4" s="400"/>
      <c r="CL4" s="388" t="s">
        <v>146</v>
      </c>
      <c r="CM4" s="389"/>
      <c r="CN4" s="388" t="s">
        <v>147</v>
      </c>
      <c r="CO4" s="389"/>
      <c r="CP4" s="388" t="s">
        <v>59</v>
      </c>
      <c r="CQ4" s="389"/>
      <c r="CR4" s="388" t="s">
        <v>148</v>
      </c>
      <c r="CS4" s="389"/>
      <c r="CT4" s="390" t="s">
        <v>58</v>
      </c>
      <c r="CU4" s="391"/>
      <c r="CV4" s="411" t="s">
        <v>249</v>
      </c>
      <c r="CW4" s="412"/>
      <c r="CX4" s="388" t="s">
        <v>177</v>
      </c>
      <c r="CY4" s="389"/>
      <c r="CZ4" s="388" t="s">
        <v>149</v>
      </c>
      <c r="DA4" s="389"/>
      <c r="DB4" s="388" t="s">
        <v>150</v>
      </c>
      <c r="DC4" s="389"/>
      <c r="DD4" s="388" t="s">
        <v>285</v>
      </c>
      <c r="DE4" s="389"/>
      <c r="DF4" s="388" t="s">
        <v>152</v>
      </c>
      <c r="DG4" s="389"/>
      <c r="DH4" s="390" t="s">
        <v>151</v>
      </c>
      <c r="DI4" s="391"/>
      <c r="DJ4" s="390" t="s">
        <v>153</v>
      </c>
      <c r="DK4" s="391"/>
      <c r="DR4" s="411" t="s">
        <v>163</v>
      </c>
      <c r="DS4" s="412"/>
      <c r="DT4" s="395" t="s">
        <v>162</v>
      </c>
      <c r="DU4" s="396"/>
      <c r="DV4" s="395" t="s">
        <v>251</v>
      </c>
      <c r="DW4" s="396"/>
      <c r="DX4" s="388" t="s">
        <v>175</v>
      </c>
      <c r="DY4" s="389"/>
      <c r="DZ4" s="388" t="s">
        <v>284</v>
      </c>
      <c r="EA4" s="389"/>
      <c r="EB4" s="395" t="s">
        <v>251</v>
      </c>
      <c r="EC4" s="396"/>
    </row>
    <row r="5" spans="1:133" ht="15" thickBot="1" x14ac:dyDescent="0.4">
      <c r="A5" s="405"/>
      <c r="C5" s="31">
        <v>1</v>
      </c>
      <c r="D5" s="32">
        <v>7715.91</v>
      </c>
      <c r="E5" s="32">
        <v>7768.65</v>
      </c>
      <c r="F5" s="72"/>
      <c r="G5" s="31">
        <v>1</v>
      </c>
      <c r="H5" s="32">
        <v>13778.41</v>
      </c>
      <c r="I5" s="32">
        <v>13872.59</v>
      </c>
      <c r="K5" s="33" t="s">
        <v>111</v>
      </c>
      <c r="L5" s="34">
        <v>0.27</v>
      </c>
      <c r="N5" s="35">
        <v>5000000</v>
      </c>
      <c r="O5" s="37">
        <v>0.96699999999999997</v>
      </c>
      <c r="Q5" s="35">
        <v>15000</v>
      </c>
      <c r="R5" s="39">
        <v>0.85499999999999998</v>
      </c>
      <c r="T5" s="42">
        <v>0.15</v>
      </c>
      <c r="U5" s="36">
        <v>0.92900000000000005</v>
      </c>
      <c r="W5" s="40" t="s">
        <v>16</v>
      </c>
      <c r="X5" s="40">
        <v>2</v>
      </c>
      <c r="Y5" s="41">
        <f t="shared" ref="Y5:Y36" si="0">VLOOKUP(X5,$AA$21:$AB$29,2,0)</f>
        <v>0.52</v>
      </c>
      <c r="AA5" s="40" t="s">
        <v>11</v>
      </c>
      <c r="AB5" s="40">
        <v>0.76</v>
      </c>
      <c r="AD5" s="40" t="s">
        <v>68</v>
      </c>
      <c r="AE5" s="41">
        <v>0.04</v>
      </c>
      <c r="AF5" s="40">
        <v>2</v>
      </c>
      <c r="AH5" s="406"/>
      <c r="AL5" s="45">
        <v>40000</v>
      </c>
      <c r="AN5" s="40">
        <v>1</v>
      </c>
      <c r="AO5" s="46">
        <v>0</v>
      </c>
      <c r="AQ5" s="40" t="s">
        <v>16</v>
      </c>
      <c r="AR5" s="40">
        <v>2</v>
      </c>
      <c r="AS5" s="49">
        <f t="shared" ref="AS5:AS36" si="1">VLOOKUP(AR5,$AU$30:$AV$38,2,0)</f>
        <v>0.09</v>
      </c>
      <c r="AT5" s="50"/>
      <c r="AY5" s="40" t="s">
        <v>16</v>
      </c>
      <c r="AZ5" s="40">
        <v>1</v>
      </c>
      <c r="BA5" s="40">
        <v>0.95299999999999996</v>
      </c>
      <c r="BE5" s="40">
        <v>19</v>
      </c>
      <c r="BF5" s="40">
        <v>0.53500000000000003</v>
      </c>
      <c r="BG5" s="40">
        <v>0.58499999999999996</v>
      </c>
      <c r="BJ5" s="406"/>
      <c r="BL5" s="6" t="s">
        <v>4</v>
      </c>
      <c r="BM5" s="8">
        <f>+Cotizador!E37</f>
        <v>0</v>
      </c>
      <c r="BN5" s="7" t="e">
        <f>VLOOKUP(BM5,$AA$4:$AB$6,2,0)</f>
        <v>#N/A</v>
      </c>
      <c r="BQ5" s="1" t="s">
        <v>12</v>
      </c>
      <c r="BR5" s="22" t="s">
        <v>0</v>
      </c>
      <c r="BS5" s="22" t="s">
        <v>1</v>
      </c>
      <c r="BT5" s="26"/>
      <c r="BU5" s="1" t="s">
        <v>12</v>
      </c>
      <c r="BV5" s="22" t="s">
        <v>0</v>
      </c>
      <c r="BW5" s="22" t="s">
        <v>1</v>
      </c>
      <c r="BY5" s="1" t="s">
        <v>12</v>
      </c>
      <c r="BZ5" s="22" t="s">
        <v>0</v>
      </c>
      <c r="CA5" s="22" t="s">
        <v>1</v>
      </c>
      <c r="CC5" s="1" t="s">
        <v>12</v>
      </c>
      <c r="CD5" s="22" t="s">
        <v>0</v>
      </c>
      <c r="CE5" s="22" t="s">
        <v>1</v>
      </c>
      <c r="CG5" s="410"/>
      <c r="CH5" s="1" t="s">
        <v>0</v>
      </c>
      <c r="CI5" s="1" t="s">
        <v>1</v>
      </c>
      <c r="CJ5" s="1" t="s">
        <v>0</v>
      </c>
      <c r="CK5" s="1" t="s">
        <v>1</v>
      </c>
      <c r="CL5" s="1" t="s">
        <v>0</v>
      </c>
      <c r="CM5" s="1" t="s">
        <v>1</v>
      </c>
      <c r="CN5" s="1" t="s">
        <v>0</v>
      </c>
      <c r="CO5" s="1" t="s">
        <v>1</v>
      </c>
      <c r="CP5" s="1" t="s">
        <v>0</v>
      </c>
      <c r="CQ5" s="1" t="s">
        <v>1</v>
      </c>
      <c r="CR5" s="1" t="s">
        <v>0</v>
      </c>
      <c r="CS5" s="1" t="s">
        <v>1</v>
      </c>
      <c r="CT5" s="1" t="s">
        <v>0</v>
      </c>
      <c r="CU5" s="1" t="s">
        <v>1</v>
      </c>
      <c r="CV5" s="1" t="s">
        <v>0</v>
      </c>
      <c r="CW5" s="1" t="s">
        <v>1</v>
      </c>
      <c r="CX5" s="1" t="s">
        <v>0</v>
      </c>
      <c r="CY5" s="1" t="s">
        <v>1</v>
      </c>
      <c r="CZ5" s="1" t="s">
        <v>0</v>
      </c>
      <c r="DA5" s="1" t="s">
        <v>1</v>
      </c>
      <c r="DB5" s="1" t="s">
        <v>0</v>
      </c>
      <c r="DC5" s="1" t="s">
        <v>1</v>
      </c>
      <c r="DD5" s="1" t="s">
        <v>0</v>
      </c>
      <c r="DE5" s="1" t="s">
        <v>1</v>
      </c>
      <c r="DF5" s="1" t="s">
        <v>0</v>
      </c>
      <c r="DG5" s="1" t="s">
        <v>1</v>
      </c>
      <c r="DH5" s="1" t="s">
        <v>0</v>
      </c>
      <c r="DI5" s="1" t="s">
        <v>1</v>
      </c>
      <c r="DJ5" s="1" t="s">
        <v>0</v>
      </c>
      <c r="DK5" s="1" t="s">
        <v>1</v>
      </c>
      <c r="DR5" s="1" t="s">
        <v>0</v>
      </c>
      <c r="DS5" s="1" t="s">
        <v>1</v>
      </c>
      <c r="DT5" s="1" t="s">
        <v>0</v>
      </c>
      <c r="DU5" s="1" t="s">
        <v>1</v>
      </c>
      <c r="DV5" s="1" t="s">
        <v>0</v>
      </c>
      <c r="DW5" s="1" t="s">
        <v>1</v>
      </c>
      <c r="DX5" s="1" t="s">
        <v>0</v>
      </c>
      <c r="DY5" s="1" t="s">
        <v>1</v>
      </c>
      <c r="DZ5" s="1" t="s">
        <v>0</v>
      </c>
      <c r="EA5" s="1" t="s">
        <v>1</v>
      </c>
      <c r="EB5" s="1" t="s">
        <v>0</v>
      </c>
      <c r="EC5" s="1" t="s">
        <v>1</v>
      </c>
    </row>
    <row r="6" spans="1:133" x14ac:dyDescent="0.35">
      <c r="A6" s="405"/>
      <c r="C6" s="31">
        <v>2</v>
      </c>
      <c r="D6" s="32">
        <v>7722.34</v>
      </c>
      <c r="E6" s="32">
        <v>7778.94</v>
      </c>
      <c r="F6" s="72"/>
      <c r="G6" s="31">
        <v>2</v>
      </c>
      <c r="H6" s="32">
        <v>13789.89</v>
      </c>
      <c r="I6" s="32">
        <v>13890.96</v>
      </c>
      <c r="K6" s="33" t="s">
        <v>48</v>
      </c>
      <c r="L6" s="34">
        <v>7.0000000000000007E-2</v>
      </c>
      <c r="N6" s="35">
        <v>10000000</v>
      </c>
      <c r="O6" s="37">
        <v>0.98699999999999999</v>
      </c>
      <c r="Q6" s="35">
        <v>20000</v>
      </c>
      <c r="R6" s="36">
        <v>0.72199999999999998</v>
      </c>
      <c r="T6" s="42">
        <v>0.2</v>
      </c>
      <c r="U6" s="36">
        <v>0.9</v>
      </c>
      <c r="W6" s="40" t="s">
        <v>17</v>
      </c>
      <c r="X6" s="40">
        <v>1</v>
      </c>
      <c r="Y6" s="41">
        <f t="shared" si="0"/>
        <v>0.44</v>
      </c>
      <c r="AA6" s="40" t="s">
        <v>44</v>
      </c>
      <c r="AB6" s="40">
        <v>0.62</v>
      </c>
      <c r="AD6" s="40" t="s">
        <v>69</v>
      </c>
      <c r="AE6" s="41">
        <v>4.7500000000000001E-2</v>
      </c>
      <c r="AF6" s="40">
        <v>4</v>
      </c>
      <c r="AH6" s="406"/>
      <c r="AJ6" s="23" t="s">
        <v>128</v>
      </c>
      <c r="AL6" s="45">
        <v>50000</v>
      </c>
      <c r="AN6" s="40">
        <v>2</v>
      </c>
      <c r="AO6" s="46">
        <v>0</v>
      </c>
      <c r="AQ6" s="40" t="s">
        <v>17</v>
      </c>
      <c r="AR6" s="40">
        <v>1</v>
      </c>
      <c r="AS6" s="49">
        <f t="shared" si="1"/>
        <v>0.104</v>
      </c>
      <c r="AT6" s="50"/>
      <c r="AW6" s="23" t="s">
        <v>135</v>
      </c>
      <c r="AY6" s="40" t="s">
        <v>17</v>
      </c>
      <c r="AZ6" s="40">
        <v>1</v>
      </c>
      <c r="BA6" s="40">
        <v>0.95299999999999996</v>
      </c>
      <c r="BC6" s="23" t="s">
        <v>136</v>
      </c>
      <c r="BE6" s="40">
        <v>20</v>
      </c>
      <c r="BF6" s="40">
        <v>0.53500000000000003</v>
      </c>
      <c r="BG6" s="40">
        <v>0.58499999999999996</v>
      </c>
      <c r="BI6" s="23" t="s">
        <v>140</v>
      </c>
      <c r="BJ6" s="406"/>
      <c r="BL6" s="6" t="s">
        <v>5</v>
      </c>
      <c r="BM6" s="8">
        <f>+Cotizador!E38</f>
        <v>0</v>
      </c>
      <c r="BN6" s="7" t="e">
        <f>VLOOKUP(BM6,$AA$11:$AB$16,2,0)</f>
        <v>#N/A</v>
      </c>
      <c r="BQ6">
        <v>0</v>
      </c>
      <c r="BR6" s="26" t="e">
        <f>CH6+CJ6+CL6+CP6+CN6+CT6+CV6+CR6+CZ6+CX6+DB6+DD6+DH6+DF6+DJ6</f>
        <v>#N/A</v>
      </c>
      <c r="BS6" s="26" t="e">
        <f>CI6+CK6+CM6+CQ6+CO6+CU6+CW6+CS6+DA6+CY6+DC6+DE6+DI6+DG6+DK6</f>
        <v>#N/A</v>
      </c>
      <c r="BT6" s="26"/>
      <c r="BU6" s="29">
        <v>0</v>
      </c>
      <c r="BV6" s="26" t="e">
        <f t="shared" ref="BV6:BV37" si="2">BR6-CH6</f>
        <v>#N/A</v>
      </c>
      <c r="BW6" s="26" t="e">
        <f t="shared" ref="BW6:BW37" si="3">BS6-CI6</f>
        <v>#N/A</v>
      </c>
      <c r="BY6" s="29">
        <v>0</v>
      </c>
      <c r="BZ6" s="26" t="e">
        <f>CH6*$CA$2</f>
        <v>#N/A</v>
      </c>
      <c r="CA6" s="26" t="e">
        <f>CI6*$CA$2</f>
        <v>#N/A</v>
      </c>
      <c r="CC6" s="29">
        <v>0</v>
      </c>
      <c r="CD6" s="26" t="e">
        <f>BV6*$CA$2</f>
        <v>#N/A</v>
      </c>
      <c r="CE6" s="26" t="e">
        <f>BW6*$CA$2</f>
        <v>#N/A</v>
      </c>
      <c r="CF6" s="27"/>
      <c r="CG6">
        <v>0</v>
      </c>
      <c r="CH6" s="24" t="e">
        <f t="shared" ref="CH6:CH37" si="4">ROUND((H4*$BN$4*$BN$5*$BN$6*$BN$7*$BN$8*$BN$9),4)</f>
        <v>#N/A</v>
      </c>
      <c r="CI6" s="24" t="e">
        <f t="shared" ref="CI6:CI37" si="5">ROUND((I4*$BN$4*$BN$5*$BN$6*$BN$7*$BN$8*$BN$9),4)</f>
        <v>#N/A</v>
      </c>
      <c r="CJ6" s="27">
        <f>ROUND(IF($CK$1=1,CH6*$BI$7,0),4)</f>
        <v>0</v>
      </c>
      <c r="CK6" s="27">
        <f t="shared" ref="CK6:CK37" si="6">ROUND(IF($CK$1=1,CI6*$BI$7,0),4)</f>
        <v>0</v>
      </c>
      <c r="CL6" s="26">
        <f t="shared" ref="CL6:CL37" si="7">ROUND(IF($CM$1=1,((D4*$BN$4*$BN$5*$BN$7*$BN$8*$BN$9)/(1-$L$7))*$AJ$3,0),4)</f>
        <v>0</v>
      </c>
      <c r="CM6" s="26">
        <f t="shared" ref="CM6:CM37" si="8">ROUND(IF($CM$1=1,((E4*$BN$4*$BN$5*$BN$7*$BN$8*$BN$9)/(1-$L$7))*$AJ$3,0),4)</f>
        <v>0</v>
      </c>
      <c r="CN6" s="27">
        <f t="shared" ref="CN6:CN37" si="9">ROUND(IF($CO$1=1,((D4*$BN$4*$BN$5*$BN$6*$BN$8*$BN$9)/(1-$L$7))*$AJ$11,0),4)</f>
        <v>0</v>
      </c>
      <c r="CO6" s="27">
        <f t="shared" ref="CO6:CO37" si="10">ROUND(IF($CO$1=1,((E4*$BN$4*$BN$5*$BN$6*$BN$8*$BN$9)/(1-$L$7))*$AJ$11,0),4)</f>
        <v>0</v>
      </c>
      <c r="CP6" s="27">
        <f t="shared" ref="CP6:CP37" si="11">ROUND(IF($CQ$1=1,CH6*$AJ$7,0),4)</f>
        <v>0</v>
      </c>
      <c r="CQ6" s="27">
        <f t="shared" ref="CQ6:CQ37" si="12">ROUND(IF($CQ$1=1,CI6*$AJ$7,0),4)</f>
        <v>0</v>
      </c>
      <c r="CR6" s="24">
        <f t="shared" ref="CR6:CR37" si="13">ROUND(IF($CS$1=1,((D4*$CS$2*$BN$4*$BN$5)/(1-$L$7)),0),4)</f>
        <v>0</v>
      </c>
      <c r="CS6" s="24">
        <f t="shared" ref="CS6:CS37" si="14">ROUND(IF($CS$1=1,((E4*$CS$2*$BN$4*$BN$5)/(1-$L$7)),0),4)</f>
        <v>0</v>
      </c>
      <c r="CT6">
        <v>0</v>
      </c>
      <c r="CU6">
        <v>0</v>
      </c>
      <c r="CV6" s="27">
        <f t="shared" ref="CV6:CV37" si="15">ROUND(IF($CW$1=1,(D4*$BN$5*$BN$6*$BN$7*$BN$8*$BN$9*$CW$2)/(1-$L$7),0),4)</f>
        <v>0</v>
      </c>
      <c r="CW6" s="27">
        <f t="shared" ref="CW6:CW37" si="16">ROUND(IF($CW$1=1,(E4*$BN$5*$BN$6*$BN$7*$BN$8*$BN$9*$CW$2)/(1-$L$7),0),4)</f>
        <v>0</v>
      </c>
      <c r="CX6" s="27">
        <f t="shared" ref="CX6:CX37" si="17">ROUND(IF($CY$1=1,(D4*$BN$4*$BN$5*$BI$3)/(1-$L$7),0),4)</f>
        <v>0</v>
      </c>
      <c r="CY6" s="27">
        <f t="shared" ref="CY6:CY37" si="18">ROUND(IF($CY$1=1,(E4*$BN$4*$BN$5*$BI$3)/(1-$L$7),0),4)</f>
        <v>0</v>
      </c>
      <c r="CZ6" s="24">
        <f t="shared" ref="CZ6:CZ37" si="19">ROUND(IF($DA$1=1,(D4*$AW$3)/(1-$L$7),0),4)</f>
        <v>0</v>
      </c>
      <c r="DA6" s="24">
        <f t="shared" ref="DA6:DA37" si="20">ROUND(IF($DA$1=1,(E4*$AW$3)/(1-$L$7),0),4)</f>
        <v>0</v>
      </c>
      <c r="DB6" s="27">
        <f t="shared" ref="DB6:DB37" si="21">ROUND(IF($DC$1=1,CH6*$AW$7,0),4)</f>
        <v>0</v>
      </c>
      <c r="DC6" s="27">
        <f t="shared" ref="DC6:DC37" si="22">ROUND(IF($DC$1=1,CI6*$AW$7,0),4)</f>
        <v>0</v>
      </c>
      <c r="DD6" s="27">
        <f t="shared" ref="DD6:DD37" si="23">ROUND(IF($DE$1=1,(D4*$BN$4*$BN$5*$BN$7*$BN$8*$BN$9*$DE$2)/(1-$L$7),0),4)</f>
        <v>0</v>
      </c>
      <c r="DE6" s="27">
        <f t="shared" ref="DE6:DE37" si="24">ROUND(IF($DE$1=1,(E4*$BN$4*$BN$5*$BN$7*$BN$8*$BN$9*$DE$2)/(1-$L$7),0),4)</f>
        <v>0</v>
      </c>
      <c r="DF6" s="24">
        <f t="shared" ref="DF6:DF37" si="25">ROUND(IF($DG$1=1,((D4*$BN$4*$BN$5*$BN$6*$BN$9)/(1-$L$7))*$BC$7,0),4)</f>
        <v>0</v>
      </c>
      <c r="DG6" s="24">
        <f t="shared" ref="DG6:DG37" si="26">ROUND(IF($DG$1=1,((E4*$BN$4*$BN$5*$BN$6*$BN$9)/(1-$L$7))*$BC$7,0),4)</f>
        <v>0</v>
      </c>
      <c r="DH6" s="24">
        <f t="shared" ref="DH6:DH37" si="27">ROUND(IF($DI$1=1,(D4*$BC$3)/(1-$L$7),0),4)</f>
        <v>0</v>
      </c>
      <c r="DI6" s="24">
        <f t="shared" ref="DI6:DI37" si="28">ROUND(IF($DI$1=1,(E4*$BC$3)/(1-$L$7),0),4)</f>
        <v>0</v>
      </c>
      <c r="DJ6" s="24">
        <v>0</v>
      </c>
      <c r="DK6" s="24">
        <v>0</v>
      </c>
      <c r="DP6" s="27"/>
      <c r="DQ6" s="27"/>
      <c r="DR6" s="27">
        <f t="shared" ref="DR6:DR37" si="29">+CV6</f>
        <v>0</v>
      </c>
      <c r="DS6" s="27">
        <f t="shared" ref="DS6:DS37" si="30">+CW6</f>
        <v>0</v>
      </c>
      <c r="DT6" s="27">
        <f t="shared" ref="DT6:DT37" si="31">ROUND(IF($DS$1=1,CH6*$DS$2,0),4)</f>
        <v>0</v>
      </c>
      <c r="DU6" s="27">
        <f t="shared" ref="DU6:DU37" si="32">ROUND(IF($DS$1=1,CI6*$DS$2,0),4)</f>
        <v>0</v>
      </c>
      <c r="DV6" s="27">
        <f>DR6-DT6</f>
        <v>0</v>
      </c>
      <c r="DW6" s="27">
        <f>DS6-DU6</f>
        <v>0</v>
      </c>
      <c r="DX6" s="27">
        <f t="shared" ref="DX6:DX37" si="33">ROUND(IF($DY$1=1,(D4*$BN$5*$BN$7*$BN$8*$BN$9*$DY$2)/(1-$L$7),0),4)</f>
        <v>0</v>
      </c>
      <c r="DY6" s="27">
        <f t="shared" ref="DY6:DY37" si="34">ROUND(IF($DY$1=1,(E4*$BN$5*$BN$7*$BN$8*$BN$9*$DY$2)/(1-$L$7),0),4)</f>
        <v>0</v>
      </c>
      <c r="DZ6" s="27">
        <f t="shared" ref="DZ6:DZ37" si="35">DD6</f>
        <v>0</v>
      </c>
      <c r="EA6" s="27">
        <f t="shared" ref="EA6:EA37" si="36">DE6</f>
        <v>0</v>
      </c>
      <c r="EB6" s="27">
        <f>DX6-DZ6</f>
        <v>0</v>
      </c>
      <c r="EC6" s="27">
        <f>DY6-EA6</f>
        <v>0</v>
      </c>
    </row>
    <row r="7" spans="1:133" x14ac:dyDescent="0.35">
      <c r="A7" s="405"/>
      <c r="C7" s="31">
        <v>3</v>
      </c>
      <c r="D7" s="32">
        <v>7728.78</v>
      </c>
      <c r="E7" s="32">
        <v>7789.23</v>
      </c>
      <c r="F7" s="72"/>
      <c r="G7" s="31">
        <v>3</v>
      </c>
      <c r="H7" s="32">
        <v>13801.39</v>
      </c>
      <c r="I7" s="32">
        <v>13909.34</v>
      </c>
      <c r="K7" s="33" t="s">
        <v>13</v>
      </c>
      <c r="L7" s="34">
        <f>SUM(L4:L6)</f>
        <v>0.44</v>
      </c>
      <c r="N7" s="35">
        <v>30000000</v>
      </c>
      <c r="O7" s="37">
        <v>1</v>
      </c>
      <c r="Q7" s="35">
        <v>25000</v>
      </c>
      <c r="R7" s="36">
        <v>0.63100000000000001</v>
      </c>
      <c r="T7" s="42">
        <v>0.25</v>
      </c>
      <c r="U7" s="36">
        <v>0.86699999999999999</v>
      </c>
      <c r="W7" s="40" t="s">
        <v>18</v>
      </c>
      <c r="X7" s="40">
        <v>2</v>
      </c>
      <c r="Y7" s="41">
        <f t="shared" si="0"/>
        <v>0.52</v>
      </c>
      <c r="AD7" s="40" t="s">
        <v>297</v>
      </c>
      <c r="AE7" s="41">
        <v>5.5E-2</v>
      </c>
      <c r="AF7" s="40">
        <v>6</v>
      </c>
      <c r="AH7" s="406"/>
      <c r="AJ7" s="44">
        <v>6.5901162329252111E-2</v>
      </c>
      <c r="AN7" s="40">
        <v>3</v>
      </c>
      <c r="AO7" s="46">
        <v>0</v>
      </c>
      <c r="AQ7" s="40" t="s">
        <v>18</v>
      </c>
      <c r="AR7" s="40">
        <v>2</v>
      </c>
      <c r="AS7" s="49">
        <f t="shared" si="1"/>
        <v>0.09</v>
      </c>
      <c r="AT7" s="50"/>
      <c r="AW7" s="44">
        <v>5.2014232103080003E-2</v>
      </c>
      <c r="AY7" s="40" t="s">
        <v>18</v>
      </c>
      <c r="AZ7" s="40">
        <v>1</v>
      </c>
      <c r="BA7" s="40">
        <v>0.95299999999999996</v>
      </c>
      <c r="BC7" s="44">
        <v>1.5949890335401617E-2</v>
      </c>
      <c r="BE7" s="40">
        <v>21</v>
      </c>
      <c r="BF7" s="40">
        <v>0.55600000000000005</v>
      </c>
      <c r="BG7" s="40">
        <v>0.66500000000000004</v>
      </c>
      <c r="BI7" s="38">
        <v>7.4999999999999997E-2</v>
      </c>
      <c r="BJ7" s="406"/>
      <c r="BL7" s="6" t="s">
        <v>6</v>
      </c>
      <c r="BM7" s="19">
        <f>+Cotizador!E39</f>
        <v>0</v>
      </c>
      <c r="BN7" s="7" t="e">
        <f>VLOOKUP(BM7,$N$4:$O$9,2,0)</f>
        <v>#N/A</v>
      </c>
      <c r="BQ7">
        <v>1</v>
      </c>
      <c r="BR7" s="26" t="e">
        <f t="shared" ref="BR7:BR70" si="37">CH7+CJ7+CL7+CP7+CN7+CT7+CV7+CR7+CZ7+CX7+DB7+DD7+DH7+DF7+DJ7</f>
        <v>#N/A</v>
      </c>
      <c r="BS7" s="26" t="e">
        <f t="shared" ref="BS7:BS70" si="38">CI7+CK7+CM7+CQ7+CO7+CU7+CW7+CS7+DA7+CY7+DC7+DE7+DI7+DG7+DK7</f>
        <v>#N/A</v>
      </c>
      <c r="BT7" s="26"/>
      <c r="BU7" s="29">
        <v>1</v>
      </c>
      <c r="BV7" s="26" t="e">
        <f t="shared" si="2"/>
        <v>#N/A</v>
      </c>
      <c r="BW7" s="26" t="e">
        <f t="shared" si="3"/>
        <v>#N/A</v>
      </c>
      <c r="BY7" s="29">
        <v>1</v>
      </c>
      <c r="BZ7" s="26" t="e">
        <f t="shared" ref="BZ7:BZ70" si="39">CH7*$CA$2</f>
        <v>#N/A</v>
      </c>
      <c r="CA7" s="26" t="e">
        <f t="shared" ref="CA7:CA70" si="40">CI7*$CA$2</f>
        <v>#N/A</v>
      </c>
      <c r="CC7" s="29">
        <v>1</v>
      </c>
      <c r="CD7" s="26" t="e">
        <f t="shared" ref="CD7:CD70" si="41">BV7*$CA$2</f>
        <v>#N/A</v>
      </c>
      <c r="CE7" s="26" t="e">
        <f t="shared" ref="CE7:CE70" si="42">BW7*$CA$2</f>
        <v>#N/A</v>
      </c>
      <c r="CG7">
        <v>1</v>
      </c>
      <c r="CH7" s="24" t="e">
        <f t="shared" si="4"/>
        <v>#N/A</v>
      </c>
      <c r="CI7" s="24" t="e">
        <f t="shared" si="5"/>
        <v>#N/A</v>
      </c>
      <c r="CJ7" s="27">
        <f t="shared" ref="CJ7:CJ37" si="43">ROUND(IF($CK$1=1,CH7*$BI$7,0),4)</f>
        <v>0</v>
      </c>
      <c r="CK7" s="27">
        <f t="shared" si="6"/>
        <v>0</v>
      </c>
      <c r="CL7" s="26">
        <f t="shared" si="7"/>
        <v>0</v>
      </c>
      <c r="CM7" s="26">
        <f t="shared" si="8"/>
        <v>0</v>
      </c>
      <c r="CN7" s="27">
        <f t="shared" si="9"/>
        <v>0</v>
      </c>
      <c r="CO7" s="27">
        <f t="shared" si="10"/>
        <v>0</v>
      </c>
      <c r="CP7" s="27">
        <f t="shared" si="11"/>
        <v>0</v>
      </c>
      <c r="CQ7" s="27">
        <f t="shared" si="12"/>
        <v>0</v>
      </c>
      <c r="CR7" s="24">
        <f t="shared" si="13"/>
        <v>0</v>
      </c>
      <c r="CS7" s="24">
        <f t="shared" si="14"/>
        <v>0</v>
      </c>
      <c r="CT7">
        <v>0</v>
      </c>
      <c r="CU7">
        <v>0</v>
      </c>
      <c r="CV7" s="27">
        <f t="shared" si="15"/>
        <v>0</v>
      </c>
      <c r="CW7" s="27">
        <f t="shared" si="16"/>
        <v>0</v>
      </c>
      <c r="CX7" s="27">
        <f t="shared" si="17"/>
        <v>0</v>
      </c>
      <c r="CY7" s="27">
        <f t="shared" si="18"/>
        <v>0</v>
      </c>
      <c r="CZ7" s="24">
        <f t="shared" si="19"/>
        <v>0</v>
      </c>
      <c r="DA7" s="24">
        <f t="shared" si="20"/>
        <v>0</v>
      </c>
      <c r="DB7" s="27">
        <f t="shared" si="21"/>
        <v>0</v>
      </c>
      <c r="DC7" s="27">
        <f t="shared" si="22"/>
        <v>0</v>
      </c>
      <c r="DD7" s="27">
        <f t="shared" si="23"/>
        <v>0</v>
      </c>
      <c r="DE7" s="27">
        <f t="shared" si="24"/>
        <v>0</v>
      </c>
      <c r="DF7" s="24">
        <f t="shared" si="25"/>
        <v>0</v>
      </c>
      <c r="DG7" s="24">
        <f t="shared" si="26"/>
        <v>0</v>
      </c>
      <c r="DH7" s="24">
        <f t="shared" si="27"/>
        <v>0</v>
      </c>
      <c r="DI7" s="24">
        <f t="shared" si="28"/>
        <v>0</v>
      </c>
      <c r="DJ7" s="24">
        <v>0</v>
      </c>
      <c r="DK7" s="24">
        <v>0</v>
      </c>
      <c r="DP7" s="27"/>
      <c r="DQ7" s="27"/>
      <c r="DR7" s="27">
        <f t="shared" si="29"/>
        <v>0</v>
      </c>
      <c r="DS7" s="27">
        <f t="shared" si="30"/>
        <v>0</v>
      </c>
      <c r="DT7" s="27">
        <f t="shared" si="31"/>
        <v>0</v>
      </c>
      <c r="DU7" s="27">
        <f t="shared" si="32"/>
        <v>0</v>
      </c>
      <c r="DV7" s="27">
        <f t="shared" ref="DV7:DV70" si="44">DR7-DT7</f>
        <v>0</v>
      </c>
      <c r="DW7" s="27">
        <f t="shared" ref="DW7:DW70" si="45">DS7-DU7</f>
        <v>0</v>
      </c>
      <c r="DX7" s="27">
        <f t="shared" si="33"/>
        <v>0</v>
      </c>
      <c r="DY7" s="27">
        <f t="shared" si="34"/>
        <v>0</v>
      </c>
      <c r="DZ7" s="27">
        <f t="shared" si="35"/>
        <v>0</v>
      </c>
      <c r="EA7" s="27">
        <f t="shared" si="36"/>
        <v>0</v>
      </c>
      <c r="EB7" s="27">
        <f t="shared" ref="EB7:EB70" si="46">DX7-DZ7</f>
        <v>0</v>
      </c>
      <c r="EC7" s="27">
        <f t="shared" ref="EC7:EC70" si="47">DY7-EA7</f>
        <v>0</v>
      </c>
    </row>
    <row r="8" spans="1:133" x14ac:dyDescent="0.35">
      <c r="A8" s="405"/>
      <c r="C8" s="31">
        <v>4</v>
      </c>
      <c r="D8" s="32">
        <v>7735.21</v>
      </c>
      <c r="E8" s="32">
        <v>7799.52</v>
      </c>
      <c r="F8" s="72"/>
      <c r="G8" s="31">
        <v>4</v>
      </c>
      <c r="H8" s="32">
        <v>13812.88</v>
      </c>
      <c r="I8" s="32">
        <v>13927.71</v>
      </c>
      <c r="N8" s="35">
        <v>50000000</v>
      </c>
      <c r="O8" s="37">
        <v>1.0169999999999999</v>
      </c>
      <c r="Q8" s="35">
        <v>30000</v>
      </c>
      <c r="R8" s="36">
        <v>0.54600000000000004</v>
      </c>
      <c r="T8" s="42">
        <v>0.3</v>
      </c>
      <c r="U8" s="36">
        <v>0.83299999999999996</v>
      </c>
      <c r="W8" s="40" t="s">
        <v>21</v>
      </c>
      <c r="X8" s="40">
        <v>2</v>
      </c>
      <c r="Y8" s="41">
        <f t="shared" si="0"/>
        <v>0.52</v>
      </c>
      <c r="AD8" s="40" t="s">
        <v>70</v>
      </c>
      <c r="AE8" s="41">
        <v>6.5000000000000002E-2</v>
      </c>
      <c r="AF8" s="40">
        <v>12</v>
      </c>
      <c r="AH8" s="406"/>
      <c r="AN8" s="40">
        <v>4</v>
      </c>
      <c r="AO8" s="46">
        <v>0</v>
      </c>
      <c r="AQ8" s="40" t="s">
        <v>21</v>
      </c>
      <c r="AR8" s="40">
        <v>2</v>
      </c>
      <c r="AS8" s="49">
        <f t="shared" si="1"/>
        <v>0.09</v>
      </c>
      <c r="AT8" s="50"/>
      <c r="AY8" s="40" t="s">
        <v>21</v>
      </c>
      <c r="AZ8" s="40">
        <v>1</v>
      </c>
      <c r="BA8" s="40">
        <v>0.95299999999999996</v>
      </c>
      <c r="BE8" s="40">
        <v>22</v>
      </c>
      <c r="BF8" s="40">
        <v>0.57699999999999996</v>
      </c>
      <c r="BG8" s="40">
        <v>0.74399999999999999</v>
      </c>
      <c r="BJ8" s="406"/>
      <c r="BL8" s="6" t="s">
        <v>7</v>
      </c>
      <c r="BM8" s="19">
        <f>+Cotizador!E40</f>
        <v>0</v>
      </c>
      <c r="BN8" s="7" t="e">
        <f>VLOOKUP(BM8,$Q$4:$R$14,2,0)</f>
        <v>#N/A</v>
      </c>
      <c r="BQ8">
        <v>2</v>
      </c>
      <c r="BR8" s="26" t="e">
        <f t="shared" si="37"/>
        <v>#N/A</v>
      </c>
      <c r="BS8" s="26" t="e">
        <f t="shared" si="38"/>
        <v>#N/A</v>
      </c>
      <c r="BT8" s="26"/>
      <c r="BU8" s="29">
        <v>2</v>
      </c>
      <c r="BV8" s="26" t="e">
        <f t="shared" si="2"/>
        <v>#N/A</v>
      </c>
      <c r="BW8" s="26" t="e">
        <f t="shared" si="3"/>
        <v>#N/A</v>
      </c>
      <c r="BY8" s="29">
        <v>2</v>
      </c>
      <c r="BZ8" s="26" t="e">
        <f t="shared" si="39"/>
        <v>#N/A</v>
      </c>
      <c r="CA8" s="26" t="e">
        <f t="shared" si="40"/>
        <v>#N/A</v>
      </c>
      <c r="CC8" s="29">
        <v>2</v>
      </c>
      <c r="CD8" s="26" t="e">
        <f t="shared" si="41"/>
        <v>#N/A</v>
      </c>
      <c r="CE8" s="26" t="e">
        <f t="shared" si="42"/>
        <v>#N/A</v>
      </c>
      <c r="CG8">
        <v>2</v>
      </c>
      <c r="CH8" s="24" t="e">
        <f t="shared" si="4"/>
        <v>#N/A</v>
      </c>
      <c r="CI8" s="24" t="e">
        <f t="shared" si="5"/>
        <v>#N/A</v>
      </c>
      <c r="CJ8" s="27">
        <f t="shared" si="43"/>
        <v>0</v>
      </c>
      <c r="CK8" s="27">
        <f t="shared" si="6"/>
        <v>0</v>
      </c>
      <c r="CL8" s="26">
        <f t="shared" si="7"/>
        <v>0</v>
      </c>
      <c r="CM8" s="26">
        <f t="shared" si="8"/>
        <v>0</v>
      </c>
      <c r="CN8" s="27">
        <f t="shared" si="9"/>
        <v>0</v>
      </c>
      <c r="CO8" s="27">
        <f t="shared" si="10"/>
        <v>0</v>
      </c>
      <c r="CP8" s="27">
        <f t="shared" si="11"/>
        <v>0</v>
      </c>
      <c r="CQ8" s="27">
        <f t="shared" si="12"/>
        <v>0</v>
      </c>
      <c r="CR8" s="24">
        <f t="shared" si="13"/>
        <v>0</v>
      </c>
      <c r="CS8" s="24">
        <f t="shared" si="14"/>
        <v>0</v>
      </c>
      <c r="CT8">
        <v>0</v>
      </c>
      <c r="CU8">
        <v>0</v>
      </c>
      <c r="CV8" s="27">
        <f t="shared" si="15"/>
        <v>0</v>
      </c>
      <c r="CW8" s="27">
        <f t="shared" si="16"/>
        <v>0</v>
      </c>
      <c r="CX8" s="27">
        <f t="shared" si="17"/>
        <v>0</v>
      </c>
      <c r="CY8" s="27">
        <f t="shared" si="18"/>
        <v>0</v>
      </c>
      <c r="CZ8" s="24">
        <f t="shared" si="19"/>
        <v>0</v>
      </c>
      <c r="DA8" s="24">
        <f t="shared" si="20"/>
        <v>0</v>
      </c>
      <c r="DB8" s="27">
        <f t="shared" si="21"/>
        <v>0</v>
      </c>
      <c r="DC8" s="27">
        <f t="shared" si="22"/>
        <v>0</v>
      </c>
      <c r="DD8" s="27">
        <f t="shared" si="23"/>
        <v>0</v>
      </c>
      <c r="DE8" s="27">
        <f t="shared" si="24"/>
        <v>0</v>
      </c>
      <c r="DF8" s="24">
        <f t="shared" si="25"/>
        <v>0</v>
      </c>
      <c r="DG8" s="24">
        <f t="shared" si="26"/>
        <v>0</v>
      </c>
      <c r="DH8" s="24">
        <f t="shared" si="27"/>
        <v>0</v>
      </c>
      <c r="DI8" s="24">
        <f t="shared" si="28"/>
        <v>0</v>
      </c>
      <c r="DJ8" s="24">
        <v>0</v>
      </c>
      <c r="DK8" s="24">
        <v>0</v>
      </c>
      <c r="DP8" s="27"/>
      <c r="DQ8" s="27"/>
      <c r="DR8" s="27">
        <f t="shared" si="29"/>
        <v>0</v>
      </c>
      <c r="DS8" s="27">
        <f t="shared" si="30"/>
        <v>0</v>
      </c>
      <c r="DT8" s="27">
        <f t="shared" si="31"/>
        <v>0</v>
      </c>
      <c r="DU8" s="27">
        <f t="shared" si="32"/>
        <v>0</v>
      </c>
      <c r="DV8" s="27">
        <f t="shared" si="44"/>
        <v>0</v>
      </c>
      <c r="DW8" s="27">
        <f t="shared" si="45"/>
        <v>0</v>
      </c>
      <c r="DX8" s="27">
        <f t="shared" si="33"/>
        <v>0</v>
      </c>
      <c r="DY8" s="27">
        <f t="shared" si="34"/>
        <v>0</v>
      </c>
      <c r="DZ8" s="27">
        <f t="shared" si="35"/>
        <v>0</v>
      </c>
      <c r="EA8" s="27">
        <f t="shared" si="36"/>
        <v>0</v>
      </c>
      <c r="EB8" s="27">
        <f t="shared" si="46"/>
        <v>0</v>
      </c>
      <c r="EC8" s="27">
        <f t="shared" si="47"/>
        <v>0</v>
      </c>
    </row>
    <row r="9" spans="1:133" x14ac:dyDescent="0.35">
      <c r="A9" s="405"/>
      <c r="C9" s="31">
        <v>5</v>
      </c>
      <c r="D9" s="32">
        <v>7741.64</v>
      </c>
      <c r="E9" s="32">
        <v>7809.81</v>
      </c>
      <c r="F9" s="72"/>
      <c r="G9" s="31">
        <v>5</v>
      </c>
      <c r="H9" s="32">
        <v>13824.36</v>
      </c>
      <c r="I9" s="32">
        <v>13946.09</v>
      </c>
      <c r="N9" s="35">
        <v>125000000</v>
      </c>
      <c r="O9" s="37">
        <v>1.0329999999999999</v>
      </c>
      <c r="Q9" s="35">
        <v>35000</v>
      </c>
      <c r="R9" s="36">
        <v>0.47</v>
      </c>
      <c r="W9" s="40" t="s">
        <v>22</v>
      </c>
      <c r="X9" s="40">
        <v>2</v>
      </c>
      <c r="Y9" s="41">
        <f t="shared" si="0"/>
        <v>0.52</v>
      </c>
      <c r="AA9" s="386" t="s">
        <v>124</v>
      </c>
      <c r="AB9" s="386"/>
      <c r="AH9" s="406"/>
      <c r="AN9" s="40">
        <v>5</v>
      </c>
      <c r="AO9" s="46">
        <v>0</v>
      </c>
      <c r="AQ9" s="40" t="s">
        <v>22</v>
      </c>
      <c r="AR9" s="40">
        <v>2</v>
      </c>
      <c r="AS9" s="49">
        <f t="shared" si="1"/>
        <v>0.09</v>
      </c>
      <c r="AT9" s="50"/>
      <c r="AY9" s="40" t="s">
        <v>22</v>
      </c>
      <c r="AZ9" s="40">
        <v>1</v>
      </c>
      <c r="BA9" s="40">
        <v>0.95299999999999996</v>
      </c>
      <c r="BE9" s="40">
        <v>23</v>
      </c>
      <c r="BF9" s="40">
        <v>0.59499999999999997</v>
      </c>
      <c r="BG9" s="40">
        <v>0.81499999999999995</v>
      </c>
      <c r="BJ9" s="406"/>
      <c r="BL9" s="6" t="s">
        <v>8</v>
      </c>
      <c r="BM9" s="20">
        <f>+Cotizador!E41</f>
        <v>0</v>
      </c>
      <c r="BN9" s="7" t="e">
        <f>VLOOKUP(BM9,$T$4:$U$8,2,0)</f>
        <v>#N/A</v>
      </c>
      <c r="BQ9">
        <v>3</v>
      </c>
      <c r="BR9" s="26" t="e">
        <f t="shared" si="37"/>
        <v>#N/A</v>
      </c>
      <c r="BS9" s="26" t="e">
        <f t="shared" si="38"/>
        <v>#N/A</v>
      </c>
      <c r="BT9" s="26"/>
      <c r="BU9" s="29">
        <v>3</v>
      </c>
      <c r="BV9" s="26" t="e">
        <f t="shared" si="2"/>
        <v>#N/A</v>
      </c>
      <c r="BW9" s="26" t="e">
        <f t="shared" si="3"/>
        <v>#N/A</v>
      </c>
      <c r="BY9" s="29">
        <v>3</v>
      </c>
      <c r="BZ9" s="26" t="e">
        <f t="shared" si="39"/>
        <v>#N/A</v>
      </c>
      <c r="CA9" s="26" t="e">
        <f t="shared" si="40"/>
        <v>#N/A</v>
      </c>
      <c r="CC9" s="29">
        <v>3</v>
      </c>
      <c r="CD9" s="26" t="e">
        <f t="shared" si="41"/>
        <v>#N/A</v>
      </c>
      <c r="CE9" s="26" t="e">
        <f t="shared" si="42"/>
        <v>#N/A</v>
      </c>
      <c r="CG9">
        <v>3</v>
      </c>
      <c r="CH9" s="24" t="e">
        <f t="shared" si="4"/>
        <v>#N/A</v>
      </c>
      <c r="CI9" s="24" t="e">
        <f t="shared" si="5"/>
        <v>#N/A</v>
      </c>
      <c r="CJ9" s="27">
        <f t="shared" si="43"/>
        <v>0</v>
      </c>
      <c r="CK9" s="27">
        <f t="shared" si="6"/>
        <v>0</v>
      </c>
      <c r="CL9" s="26">
        <f t="shared" si="7"/>
        <v>0</v>
      </c>
      <c r="CM9" s="26">
        <f t="shared" si="8"/>
        <v>0</v>
      </c>
      <c r="CN9" s="27">
        <f t="shared" si="9"/>
        <v>0</v>
      </c>
      <c r="CO9" s="27">
        <f t="shared" si="10"/>
        <v>0</v>
      </c>
      <c r="CP9" s="27">
        <f t="shared" si="11"/>
        <v>0</v>
      </c>
      <c r="CQ9" s="27">
        <f t="shared" si="12"/>
        <v>0</v>
      </c>
      <c r="CR9" s="24">
        <f t="shared" si="13"/>
        <v>0</v>
      </c>
      <c r="CS9" s="24">
        <f t="shared" si="14"/>
        <v>0</v>
      </c>
      <c r="CT9">
        <v>0</v>
      </c>
      <c r="CU9">
        <v>0</v>
      </c>
      <c r="CV9" s="27">
        <f t="shared" si="15"/>
        <v>0</v>
      </c>
      <c r="CW9" s="27">
        <f t="shared" si="16"/>
        <v>0</v>
      </c>
      <c r="CX9" s="27">
        <f t="shared" si="17"/>
        <v>0</v>
      </c>
      <c r="CY9" s="27">
        <f t="shared" si="18"/>
        <v>0</v>
      </c>
      <c r="CZ9" s="24">
        <f t="shared" si="19"/>
        <v>0</v>
      </c>
      <c r="DA9" s="24">
        <f t="shared" si="20"/>
        <v>0</v>
      </c>
      <c r="DB9" s="27">
        <f t="shared" si="21"/>
        <v>0</v>
      </c>
      <c r="DC9" s="27">
        <f t="shared" si="22"/>
        <v>0</v>
      </c>
      <c r="DD9" s="27">
        <f t="shared" si="23"/>
        <v>0</v>
      </c>
      <c r="DE9" s="27">
        <f t="shared" si="24"/>
        <v>0</v>
      </c>
      <c r="DF9" s="24">
        <f t="shared" si="25"/>
        <v>0</v>
      </c>
      <c r="DG9" s="24">
        <f t="shared" si="26"/>
        <v>0</v>
      </c>
      <c r="DH9" s="24">
        <f t="shared" si="27"/>
        <v>0</v>
      </c>
      <c r="DI9" s="24">
        <f t="shared" si="28"/>
        <v>0</v>
      </c>
      <c r="DJ9" s="24">
        <v>0</v>
      </c>
      <c r="DK9" s="24">
        <v>0</v>
      </c>
      <c r="DP9" s="27"/>
      <c r="DQ9" s="27"/>
      <c r="DR9" s="27">
        <f t="shared" si="29"/>
        <v>0</v>
      </c>
      <c r="DS9" s="27">
        <f t="shared" si="30"/>
        <v>0</v>
      </c>
      <c r="DT9" s="27">
        <f t="shared" si="31"/>
        <v>0</v>
      </c>
      <c r="DU9" s="27">
        <f t="shared" si="32"/>
        <v>0</v>
      </c>
      <c r="DV9" s="27">
        <f t="shared" si="44"/>
        <v>0</v>
      </c>
      <c r="DW9" s="27">
        <f t="shared" si="45"/>
        <v>0</v>
      </c>
      <c r="DX9" s="27">
        <f t="shared" si="33"/>
        <v>0</v>
      </c>
      <c r="DY9" s="27">
        <f t="shared" si="34"/>
        <v>0</v>
      </c>
      <c r="DZ9" s="27">
        <f t="shared" si="35"/>
        <v>0</v>
      </c>
      <c r="EA9" s="27">
        <f t="shared" si="36"/>
        <v>0</v>
      </c>
      <c r="EB9" s="27">
        <f t="shared" si="46"/>
        <v>0</v>
      </c>
      <c r="EC9" s="27">
        <f t="shared" si="47"/>
        <v>0</v>
      </c>
    </row>
    <row r="10" spans="1:133" x14ac:dyDescent="0.35">
      <c r="A10" s="405"/>
      <c r="C10" s="31">
        <v>6</v>
      </c>
      <c r="D10" s="32">
        <v>7758.36</v>
      </c>
      <c r="E10" s="32">
        <v>7820.1</v>
      </c>
      <c r="F10" s="72"/>
      <c r="G10" s="31">
        <v>6</v>
      </c>
      <c r="H10" s="32">
        <v>13854.21</v>
      </c>
      <c r="I10" s="32">
        <v>13964.46</v>
      </c>
      <c r="Q10" s="35">
        <v>40000</v>
      </c>
      <c r="R10" s="36">
        <v>0.39500000000000002</v>
      </c>
      <c r="W10" s="40" t="s">
        <v>3</v>
      </c>
      <c r="X10" s="40">
        <v>6</v>
      </c>
      <c r="Y10" s="41">
        <f t="shared" si="0"/>
        <v>1</v>
      </c>
      <c r="AA10" s="30" t="s">
        <v>107</v>
      </c>
      <c r="AB10" s="30" t="s">
        <v>102</v>
      </c>
      <c r="AH10" s="406"/>
      <c r="AJ10" s="23" t="s">
        <v>129</v>
      </c>
      <c r="AN10" s="40">
        <v>6</v>
      </c>
      <c r="AO10" s="46">
        <v>0</v>
      </c>
      <c r="AQ10" s="40" t="s">
        <v>3</v>
      </c>
      <c r="AR10" s="40">
        <v>6</v>
      </c>
      <c r="AS10" s="49">
        <f t="shared" si="1"/>
        <v>0</v>
      </c>
      <c r="AT10" s="50"/>
      <c r="AY10" s="40" t="s">
        <v>3</v>
      </c>
      <c r="AZ10" s="40">
        <v>2</v>
      </c>
      <c r="BA10" s="40">
        <v>0.47649999999999998</v>
      </c>
      <c r="BE10" s="40">
        <v>24</v>
      </c>
      <c r="BF10" s="40">
        <v>0.61599999999999999</v>
      </c>
      <c r="BG10" s="40">
        <v>0.88500000000000001</v>
      </c>
      <c r="BJ10" s="406"/>
      <c r="BQ10">
        <v>4</v>
      </c>
      <c r="BR10" s="26" t="e">
        <f t="shared" si="37"/>
        <v>#N/A</v>
      </c>
      <c r="BS10" s="26" t="e">
        <f t="shared" si="38"/>
        <v>#N/A</v>
      </c>
      <c r="BT10" s="26"/>
      <c r="BU10" s="29">
        <v>4</v>
      </c>
      <c r="BV10" s="26" t="e">
        <f t="shared" si="2"/>
        <v>#N/A</v>
      </c>
      <c r="BW10" s="26" t="e">
        <f t="shared" si="3"/>
        <v>#N/A</v>
      </c>
      <c r="BY10" s="29">
        <v>4</v>
      </c>
      <c r="BZ10" s="26" t="e">
        <f t="shared" si="39"/>
        <v>#N/A</v>
      </c>
      <c r="CA10" s="26" t="e">
        <f t="shared" si="40"/>
        <v>#N/A</v>
      </c>
      <c r="CC10" s="29">
        <v>4</v>
      </c>
      <c r="CD10" s="26" t="e">
        <f t="shared" si="41"/>
        <v>#N/A</v>
      </c>
      <c r="CE10" s="26" t="e">
        <f t="shared" si="42"/>
        <v>#N/A</v>
      </c>
      <c r="CG10">
        <v>4</v>
      </c>
      <c r="CH10" s="24" t="e">
        <f t="shared" si="4"/>
        <v>#N/A</v>
      </c>
      <c r="CI10" s="24" t="e">
        <f t="shared" si="5"/>
        <v>#N/A</v>
      </c>
      <c r="CJ10" s="27">
        <f t="shared" si="43"/>
        <v>0</v>
      </c>
      <c r="CK10" s="27">
        <f t="shared" si="6"/>
        <v>0</v>
      </c>
      <c r="CL10" s="26">
        <f t="shared" si="7"/>
        <v>0</v>
      </c>
      <c r="CM10" s="26">
        <f t="shared" si="8"/>
        <v>0</v>
      </c>
      <c r="CN10" s="27">
        <f t="shared" si="9"/>
        <v>0</v>
      </c>
      <c r="CO10" s="27">
        <f t="shared" si="10"/>
        <v>0</v>
      </c>
      <c r="CP10" s="27">
        <f t="shared" si="11"/>
        <v>0</v>
      </c>
      <c r="CQ10" s="27">
        <f t="shared" si="12"/>
        <v>0</v>
      </c>
      <c r="CR10" s="24">
        <f t="shared" si="13"/>
        <v>0</v>
      </c>
      <c r="CS10" s="24">
        <f t="shared" si="14"/>
        <v>0</v>
      </c>
      <c r="CT10">
        <v>0</v>
      </c>
      <c r="CU10">
        <v>0</v>
      </c>
      <c r="CV10" s="27">
        <f t="shared" si="15"/>
        <v>0</v>
      </c>
      <c r="CW10" s="27">
        <f t="shared" si="16"/>
        <v>0</v>
      </c>
      <c r="CX10" s="27">
        <f t="shared" si="17"/>
        <v>0</v>
      </c>
      <c r="CY10" s="27">
        <f t="shared" si="18"/>
        <v>0</v>
      </c>
      <c r="CZ10" s="24">
        <f t="shared" si="19"/>
        <v>0</v>
      </c>
      <c r="DA10" s="24">
        <f t="shared" si="20"/>
        <v>0</v>
      </c>
      <c r="DB10" s="27">
        <f t="shared" si="21"/>
        <v>0</v>
      </c>
      <c r="DC10" s="27">
        <f t="shared" si="22"/>
        <v>0</v>
      </c>
      <c r="DD10" s="27">
        <f t="shared" si="23"/>
        <v>0</v>
      </c>
      <c r="DE10" s="27">
        <f t="shared" si="24"/>
        <v>0</v>
      </c>
      <c r="DF10" s="24">
        <f t="shared" si="25"/>
        <v>0</v>
      </c>
      <c r="DG10" s="24">
        <f t="shared" si="26"/>
        <v>0</v>
      </c>
      <c r="DH10" s="24">
        <f t="shared" si="27"/>
        <v>0</v>
      </c>
      <c r="DI10" s="24">
        <f t="shared" si="28"/>
        <v>0</v>
      </c>
      <c r="DJ10" s="24">
        <v>0</v>
      </c>
      <c r="DK10" s="24">
        <v>0</v>
      </c>
      <c r="DP10" s="27"/>
      <c r="DQ10" s="27"/>
      <c r="DR10" s="27">
        <f t="shared" si="29"/>
        <v>0</v>
      </c>
      <c r="DS10" s="27">
        <f t="shared" si="30"/>
        <v>0</v>
      </c>
      <c r="DT10" s="27">
        <f t="shared" si="31"/>
        <v>0</v>
      </c>
      <c r="DU10" s="27">
        <f t="shared" si="32"/>
        <v>0</v>
      </c>
      <c r="DV10" s="27">
        <f t="shared" si="44"/>
        <v>0</v>
      </c>
      <c r="DW10" s="27">
        <f t="shared" si="45"/>
        <v>0</v>
      </c>
      <c r="DX10" s="27">
        <f t="shared" si="33"/>
        <v>0</v>
      </c>
      <c r="DY10" s="27">
        <f t="shared" si="34"/>
        <v>0</v>
      </c>
      <c r="DZ10" s="27">
        <f t="shared" si="35"/>
        <v>0</v>
      </c>
      <c r="EA10" s="27">
        <f t="shared" si="36"/>
        <v>0</v>
      </c>
      <c r="EB10" s="27">
        <f t="shared" si="46"/>
        <v>0</v>
      </c>
      <c r="EC10" s="27">
        <f t="shared" si="47"/>
        <v>0</v>
      </c>
    </row>
    <row r="11" spans="1:133" x14ac:dyDescent="0.35">
      <c r="A11" s="405"/>
      <c r="C11" s="31">
        <v>7</v>
      </c>
      <c r="D11" s="32">
        <v>7781.51</v>
      </c>
      <c r="E11" s="32">
        <v>7850.96</v>
      </c>
      <c r="F11" s="72"/>
      <c r="G11" s="31">
        <v>7</v>
      </c>
      <c r="H11" s="32">
        <v>13895.55</v>
      </c>
      <c r="I11" s="32">
        <v>14019.57</v>
      </c>
      <c r="Q11" s="35">
        <v>45000</v>
      </c>
      <c r="R11" s="36">
        <v>0.33300000000000002</v>
      </c>
      <c r="T11" s="386" t="s">
        <v>288</v>
      </c>
      <c r="U11" s="386"/>
      <c r="W11" s="40" t="s">
        <v>19</v>
      </c>
      <c r="X11" s="320">
        <v>1</v>
      </c>
      <c r="Y11" s="41">
        <f t="shared" si="0"/>
        <v>0.44</v>
      </c>
      <c r="AA11" s="40" t="s">
        <v>112</v>
      </c>
      <c r="AB11" s="49">
        <v>0.97099999999999997</v>
      </c>
      <c r="AC11" s="48"/>
      <c r="AH11" s="406"/>
      <c r="AJ11" s="44">
        <v>2.3782778207990334E-2</v>
      </c>
      <c r="AN11" s="40">
        <v>7</v>
      </c>
      <c r="AO11" s="46">
        <v>0</v>
      </c>
      <c r="AQ11" s="40" t="s">
        <v>19</v>
      </c>
      <c r="AR11" s="320">
        <v>1</v>
      </c>
      <c r="AS11" s="49">
        <f t="shared" si="1"/>
        <v>0.104</v>
      </c>
      <c r="AT11" s="50"/>
      <c r="AY11" s="40" t="s">
        <v>19</v>
      </c>
      <c r="AZ11" s="320">
        <v>1</v>
      </c>
      <c r="BA11" s="40">
        <v>0.95299999999999996</v>
      </c>
      <c r="BE11" s="40">
        <v>25</v>
      </c>
      <c r="BF11" s="40">
        <v>0.63700000000000001</v>
      </c>
      <c r="BG11" s="40">
        <v>0.95499999999999996</v>
      </c>
      <c r="BJ11" s="406"/>
      <c r="BL11" s="407" t="s">
        <v>143</v>
      </c>
      <c r="BM11" s="407"/>
      <c r="BQ11">
        <v>5</v>
      </c>
      <c r="BR11" s="26" t="e">
        <f t="shared" si="37"/>
        <v>#N/A</v>
      </c>
      <c r="BS11" s="26" t="e">
        <f t="shared" si="38"/>
        <v>#N/A</v>
      </c>
      <c r="BT11" s="26"/>
      <c r="BU11" s="29">
        <v>5</v>
      </c>
      <c r="BV11" s="26" t="e">
        <f t="shared" si="2"/>
        <v>#N/A</v>
      </c>
      <c r="BW11" s="26" t="e">
        <f t="shared" si="3"/>
        <v>#N/A</v>
      </c>
      <c r="BY11" s="29">
        <v>5</v>
      </c>
      <c r="BZ11" s="26" t="e">
        <f t="shared" si="39"/>
        <v>#N/A</v>
      </c>
      <c r="CA11" s="26" t="e">
        <f t="shared" si="40"/>
        <v>#N/A</v>
      </c>
      <c r="CC11" s="29">
        <v>5</v>
      </c>
      <c r="CD11" s="26" t="e">
        <f t="shared" si="41"/>
        <v>#N/A</v>
      </c>
      <c r="CE11" s="26" t="e">
        <f t="shared" si="42"/>
        <v>#N/A</v>
      </c>
      <c r="CG11">
        <v>5</v>
      </c>
      <c r="CH11" s="24" t="e">
        <f t="shared" si="4"/>
        <v>#N/A</v>
      </c>
      <c r="CI11" s="24" t="e">
        <f t="shared" si="5"/>
        <v>#N/A</v>
      </c>
      <c r="CJ11" s="27">
        <f t="shared" si="43"/>
        <v>0</v>
      </c>
      <c r="CK11" s="27">
        <f t="shared" si="6"/>
        <v>0</v>
      </c>
      <c r="CL11" s="26">
        <f t="shared" si="7"/>
        <v>0</v>
      </c>
      <c r="CM11" s="26">
        <f t="shared" si="8"/>
        <v>0</v>
      </c>
      <c r="CN11" s="27">
        <f t="shared" si="9"/>
        <v>0</v>
      </c>
      <c r="CO11" s="27">
        <f t="shared" si="10"/>
        <v>0</v>
      </c>
      <c r="CP11" s="27">
        <f t="shared" si="11"/>
        <v>0</v>
      </c>
      <c r="CQ11" s="27">
        <f t="shared" si="12"/>
        <v>0</v>
      </c>
      <c r="CR11" s="24">
        <f t="shared" si="13"/>
        <v>0</v>
      </c>
      <c r="CS11" s="24">
        <f t="shared" si="14"/>
        <v>0</v>
      </c>
      <c r="CT11">
        <v>0</v>
      </c>
      <c r="CU11">
        <v>0</v>
      </c>
      <c r="CV11" s="27">
        <f t="shared" si="15"/>
        <v>0</v>
      </c>
      <c r="CW11" s="27">
        <f t="shared" si="16"/>
        <v>0</v>
      </c>
      <c r="CX11" s="27">
        <f t="shared" si="17"/>
        <v>0</v>
      </c>
      <c r="CY11" s="27">
        <f t="shared" si="18"/>
        <v>0</v>
      </c>
      <c r="CZ11" s="24">
        <f t="shared" si="19"/>
        <v>0</v>
      </c>
      <c r="DA11" s="24">
        <f t="shared" si="20"/>
        <v>0</v>
      </c>
      <c r="DB11" s="27">
        <f t="shared" si="21"/>
        <v>0</v>
      </c>
      <c r="DC11" s="27">
        <f t="shared" si="22"/>
        <v>0</v>
      </c>
      <c r="DD11" s="27">
        <f t="shared" si="23"/>
        <v>0</v>
      </c>
      <c r="DE11" s="27">
        <f t="shared" si="24"/>
        <v>0</v>
      </c>
      <c r="DF11" s="24">
        <f t="shared" si="25"/>
        <v>0</v>
      </c>
      <c r="DG11" s="24">
        <f t="shared" si="26"/>
        <v>0</v>
      </c>
      <c r="DH11" s="24">
        <f t="shared" si="27"/>
        <v>0</v>
      </c>
      <c r="DI11" s="24">
        <f t="shared" si="28"/>
        <v>0</v>
      </c>
      <c r="DJ11" s="24">
        <v>0</v>
      </c>
      <c r="DK11" s="24">
        <v>0</v>
      </c>
      <c r="DP11" s="27"/>
      <c r="DQ11" s="27"/>
      <c r="DR11" s="27">
        <f t="shared" si="29"/>
        <v>0</v>
      </c>
      <c r="DS11" s="27">
        <f t="shared" si="30"/>
        <v>0</v>
      </c>
      <c r="DT11" s="27">
        <f t="shared" si="31"/>
        <v>0</v>
      </c>
      <c r="DU11" s="27">
        <f t="shared" si="32"/>
        <v>0</v>
      </c>
      <c r="DV11" s="27">
        <f t="shared" si="44"/>
        <v>0</v>
      </c>
      <c r="DW11" s="27">
        <f t="shared" si="45"/>
        <v>0</v>
      </c>
      <c r="DX11" s="27">
        <f t="shared" si="33"/>
        <v>0</v>
      </c>
      <c r="DY11" s="27">
        <f t="shared" si="34"/>
        <v>0</v>
      </c>
      <c r="DZ11" s="27">
        <f t="shared" si="35"/>
        <v>0</v>
      </c>
      <c r="EA11" s="27">
        <f t="shared" si="36"/>
        <v>0</v>
      </c>
      <c r="EB11" s="27">
        <f t="shared" si="46"/>
        <v>0</v>
      </c>
      <c r="EC11" s="27">
        <f t="shared" si="47"/>
        <v>0</v>
      </c>
    </row>
    <row r="12" spans="1:133" ht="15" thickBot="1" x14ac:dyDescent="0.4">
      <c r="A12" s="405"/>
      <c r="C12" s="31">
        <v>8</v>
      </c>
      <c r="D12" s="32">
        <v>7813.67</v>
      </c>
      <c r="E12" s="32">
        <v>7901.13</v>
      </c>
      <c r="F12" s="72"/>
      <c r="G12" s="31">
        <v>8</v>
      </c>
      <c r="H12" s="32">
        <v>13952.98</v>
      </c>
      <c r="I12" s="32">
        <v>14109.16</v>
      </c>
      <c r="Q12" s="35">
        <v>50000</v>
      </c>
      <c r="R12" s="47">
        <v>0.32600000000000001</v>
      </c>
      <c r="T12" s="30" t="s">
        <v>8</v>
      </c>
      <c r="U12" s="30" t="s">
        <v>289</v>
      </c>
      <c r="W12" s="40" t="s">
        <v>20</v>
      </c>
      <c r="X12" s="323">
        <v>1</v>
      </c>
      <c r="Y12" s="41">
        <f t="shared" si="0"/>
        <v>0.44</v>
      </c>
      <c r="AA12" s="40" t="s">
        <v>113</v>
      </c>
      <c r="AB12" s="49">
        <v>1</v>
      </c>
      <c r="AC12" s="48"/>
      <c r="AH12" s="406"/>
      <c r="AN12" s="40">
        <v>8</v>
      </c>
      <c r="AO12" s="46">
        <v>0</v>
      </c>
      <c r="AQ12" s="40" t="s">
        <v>20</v>
      </c>
      <c r="AR12" s="323">
        <v>1</v>
      </c>
      <c r="AS12" s="49">
        <f t="shared" si="1"/>
        <v>0.104</v>
      </c>
      <c r="AT12" s="50"/>
      <c r="AY12" s="40" t="s">
        <v>20</v>
      </c>
      <c r="AZ12" s="40">
        <v>2</v>
      </c>
      <c r="BA12" s="40">
        <v>0.47649999999999998</v>
      </c>
      <c r="BE12" s="40">
        <v>26</v>
      </c>
      <c r="BF12" s="40">
        <v>0.65700000000000003</v>
      </c>
      <c r="BG12" s="40">
        <v>1.026</v>
      </c>
      <c r="BJ12" s="406"/>
      <c r="BL12" s="21" t="s">
        <v>97</v>
      </c>
      <c r="BM12" t="str">
        <f>IF(Cotizador!J45=TRUE,"SI","NO")</f>
        <v>NO</v>
      </c>
      <c r="BQ12">
        <v>6</v>
      </c>
      <c r="BR12" s="26" t="e">
        <f t="shared" si="37"/>
        <v>#N/A</v>
      </c>
      <c r="BS12" s="26" t="e">
        <f t="shared" si="38"/>
        <v>#N/A</v>
      </c>
      <c r="BT12" s="26"/>
      <c r="BU12" s="29">
        <v>6</v>
      </c>
      <c r="BV12" s="26" t="e">
        <f t="shared" si="2"/>
        <v>#N/A</v>
      </c>
      <c r="BW12" s="26" t="e">
        <f t="shared" si="3"/>
        <v>#N/A</v>
      </c>
      <c r="BY12" s="29">
        <v>6</v>
      </c>
      <c r="BZ12" s="26" t="e">
        <f t="shared" si="39"/>
        <v>#N/A</v>
      </c>
      <c r="CA12" s="26" t="e">
        <f t="shared" si="40"/>
        <v>#N/A</v>
      </c>
      <c r="CC12" s="29">
        <v>6</v>
      </c>
      <c r="CD12" s="26" t="e">
        <f t="shared" si="41"/>
        <v>#N/A</v>
      </c>
      <c r="CE12" s="26" t="e">
        <f t="shared" si="42"/>
        <v>#N/A</v>
      </c>
      <c r="CG12">
        <v>6</v>
      </c>
      <c r="CH12" s="24" t="e">
        <f t="shared" si="4"/>
        <v>#N/A</v>
      </c>
      <c r="CI12" s="24" t="e">
        <f t="shared" si="5"/>
        <v>#N/A</v>
      </c>
      <c r="CJ12" s="27">
        <f t="shared" si="43"/>
        <v>0</v>
      </c>
      <c r="CK12" s="27">
        <f t="shared" si="6"/>
        <v>0</v>
      </c>
      <c r="CL12" s="26">
        <f t="shared" si="7"/>
        <v>0</v>
      </c>
      <c r="CM12" s="26">
        <f t="shared" si="8"/>
        <v>0</v>
      </c>
      <c r="CN12" s="27">
        <f t="shared" si="9"/>
        <v>0</v>
      </c>
      <c r="CO12" s="27">
        <f t="shared" si="10"/>
        <v>0</v>
      </c>
      <c r="CP12" s="27">
        <f t="shared" si="11"/>
        <v>0</v>
      </c>
      <c r="CQ12" s="27">
        <f t="shared" si="12"/>
        <v>0</v>
      </c>
      <c r="CR12" s="24">
        <f t="shared" si="13"/>
        <v>0</v>
      </c>
      <c r="CS12" s="24">
        <f t="shared" si="14"/>
        <v>0</v>
      </c>
      <c r="CT12">
        <v>0</v>
      </c>
      <c r="CU12">
        <v>0</v>
      </c>
      <c r="CV12" s="27">
        <f t="shared" si="15"/>
        <v>0</v>
      </c>
      <c r="CW12" s="27">
        <f t="shared" si="16"/>
        <v>0</v>
      </c>
      <c r="CX12" s="27">
        <f t="shared" si="17"/>
        <v>0</v>
      </c>
      <c r="CY12" s="27">
        <f t="shared" si="18"/>
        <v>0</v>
      </c>
      <c r="CZ12" s="24">
        <f t="shared" si="19"/>
        <v>0</v>
      </c>
      <c r="DA12" s="24">
        <f t="shared" si="20"/>
        <v>0</v>
      </c>
      <c r="DB12" s="27">
        <f t="shared" si="21"/>
        <v>0</v>
      </c>
      <c r="DC12" s="27">
        <f t="shared" si="22"/>
        <v>0</v>
      </c>
      <c r="DD12" s="27">
        <f t="shared" si="23"/>
        <v>0</v>
      </c>
      <c r="DE12" s="27">
        <f t="shared" si="24"/>
        <v>0</v>
      </c>
      <c r="DF12" s="24">
        <f t="shared" si="25"/>
        <v>0</v>
      </c>
      <c r="DG12" s="24">
        <f t="shared" si="26"/>
        <v>0</v>
      </c>
      <c r="DH12" s="24">
        <f t="shared" si="27"/>
        <v>0</v>
      </c>
      <c r="DI12" s="24">
        <f t="shared" si="28"/>
        <v>0</v>
      </c>
      <c r="DJ12" s="24">
        <v>0</v>
      </c>
      <c r="DK12" s="24">
        <v>0</v>
      </c>
      <c r="DP12" s="27"/>
      <c r="DQ12" s="27"/>
      <c r="DR12" s="27">
        <f t="shared" si="29"/>
        <v>0</v>
      </c>
      <c r="DS12" s="27">
        <f t="shared" si="30"/>
        <v>0</v>
      </c>
      <c r="DT12" s="27">
        <f t="shared" si="31"/>
        <v>0</v>
      </c>
      <c r="DU12" s="27">
        <f t="shared" si="32"/>
        <v>0</v>
      </c>
      <c r="DV12" s="27">
        <f t="shared" si="44"/>
        <v>0</v>
      </c>
      <c r="DW12" s="27">
        <f t="shared" si="45"/>
        <v>0</v>
      </c>
      <c r="DX12" s="27">
        <f t="shared" si="33"/>
        <v>0</v>
      </c>
      <c r="DY12" s="27">
        <f t="shared" si="34"/>
        <v>0</v>
      </c>
      <c r="DZ12" s="27">
        <f t="shared" si="35"/>
        <v>0</v>
      </c>
      <c r="EA12" s="27">
        <f t="shared" si="36"/>
        <v>0</v>
      </c>
      <c r="EB12" s="27">
        <f t="shared" si="46"/>
        <v>0</v>
      </c>
      <c r="EC12" s="27">
        <f t="shared" si="47"/>
        <v>0</v>
      </c>
    </row>
    <row r="13" spans="1:133" ht="15.75" customHeight="1" thickBot="1" x14ac:dyDescent="0.4">
      <c r="A13" s="405"/>
      <c r="C13" s="31">
        <v>9</v>
      </c>
      <c r="D13" s="32">
        <v>7853.54</v>
      </c>
      <c r="E13" s="32">
        <v>7966.72</v>
      </c>
      <c r="F13" s="72"/>
      <c r="G13" s="31">
        <v>9</v>
      </c>
      <c r="H13" s="32">
        <v>14024.18</v>
      </c>
      <c r="I13" s="32">
        <v>14226.29</v>
      </c>
      <c r="Q13" s="35">
        <v>75000</v>
      </c>
      <c r="R13" s="47">
        <v>0.32100000000000001</v>
      </c>
      <c r="T13" s="42">
        <v>0.1</v>
      </c>
      <c r="U13" s="331">
        <v>40000</v>
      </c>
      <c r="W13" s="40" t="s">
        <v>241</v>
      </c>
      <c r="X13" s="40">
        <v>2</v>
      </c>
      <c r="Y13" s="41">
        <f t="shared" si="0"/>
        <v>0.52</v>
      </c>
      <c r="AA13" s="40" t="s">
        <v>114</v>
      </c>
      <c r="AB13" s="49">
        <v>1.0589999999999999</v>
      </c>
      <c r="AC13" s="48"/>
      <c r="AH13" s="406"/>
      <c r="AJ13" s="386" t="s">
        <v>295</v>
      </c>
      <c r="AK13" s="386"/>
      <c r="AN13" s="40">
        <v>9</v>
      </c>
      <c r="AO13" s="46">
        <v>0</v>
      </c>
      <c r="AQ13" s="40" t="s">
        <v>241</v>
      </c>
      <c r="AR13" s="40">
        <v>2</v>
      </c>
      <c r="AS13" s="49">
        <f t="shared" si="1"/>
        <v>0.09</v>
      </c>
      <c r="AT13" s="50"/>
      <c r="AU13" s="392" t="s">
        <v>133</v>
      </c>
      <c r="AV13" s="393"/>
      <c r="AW13" s="394"/>
      <c r="AY13" s="40" t="s">
        <v>241</v>
      </c>
      <c r="AZ13" s="40">
        <v>2</v>
      </c>
      <c r="BA13" s="40">
        <v>0.47649999999999998</v>
      </c>
      <c r="BE13" s="40">
        <v>27</v>
      </c>
      <c r="BF13" s="40">
        <v>0.66700000000000004</v>
      </c>
      <c r="BG13" s="40">
        <v>1.0840000000000001</v>
      </c>
      <c r="BJ13" s="406"/>
      <c r="BL13" s="21" t="s">
        <v>55</v>
      </c>
      <c r="BM13" t="str">
        <f>IF(Cotizador!J46=TRUE,"SI","NO")</f>
        <v>NO</v>
      </c>
      <c r="BQ13">
        <v>7</v>
      </c>
      <c r="BR13" s="26" t="e">
        <f t="shared" si="37"/>
        <v>#N/A</v>
      </c>
      <c r="BS13" s="26" t="e">
        <f t="shared" si="38"/>
        <v>#N/A</v>
      </c>
      <c r="BT13" s="26"/>
      <c r="BU13" s="29">
        <v>7</v>
      </c>
      <c r="BV13" s="26" t="e">
        <f t="shared" si="2"/>
        <v>#N/A</v>
      </c>
      <c r="BW13" s="26" t="e">
        <f t="shared" si="3"/>
        <v>#N/A</v>
      </c>
      <c r="BY13" s="29">
        <v>7</v>
      </c>
      <c r="BZ13" s="26" t="e">
        <f t="shared" si="39"/>
        <v>#N/A</v>
      </c>
      <c r="CA13" s="26" t="e">
        <f t="shared" si="40"/>
        <v>#N/A</v>
      </c>
      <c r="CC13" s="29">
        <v>7</v>
      </c>
      <c r="CD13" s="26" t="e">
        <f t="shared" si="41"/>
        <v>#N/A</v>
      </c>
      <c r="CE13" s="26" t="e">
        <f t="shared" si="42"/>
        <v>#N/A</v>
      </c>
      <c r="CG13">
        <v>7</v>
      </c>
      <c r="CH13" s="24" t="e">
        <f t="shared" si="4"/>
        <v>#N/A</v>
      </c>
      <c r="CI13" s="24" t="e">
        <f t="shared" si="5"/>
        <v>#N/A</v>
      </c>
      <c r="CJ13" s="27">
        <f t="shared" si="43"/>
        <v>0</v>
      </c>
      <c r="CK13" s="27">
        <f t="shared" si="6"/>
        <v>0</v>
      </c>
      <c r="CL13" s="26">
        <f t="shared" si="7"/>
        <v>0</v>
      </c>
      <c r="CM13" s="26">
        <f t="shared" si="8"/>
        <v>0</v>
      </c>
      <c r="CN13" s="27">
        <f t="shared" si="9"/>
        <v>0</v>
      </c>
      <c r="CO13" s="27">
        <f t="shared" si="10"/>
        <v>0</v>
      </c>
      <c r="CP13" s="27">
        <f t="shared" si="11"/>
        <v>0</v>
      </c>
      <c r="CQ13" s="27">
        <f t="shared" si="12"/>
        <v>0</v>
      </c>
      <c r="CR13" s="24">
        <f t="shared" si="13"/>
        <v>0</v>
      </c>
      <c r="CS13" s="24">
        <f t="shared" si="14"/>
        <v>0</v>
      </c>
      <c r="CT13">
        <v>0</v>
      </c>
      <c r="CU13">
        <v>0</v>
      </c>
      <c r="CV13" s="27">
        <f t="shared" si="15"/>
        <v>0</v>
      </c>
      <c r="CW13" s="27">
        <f t="shared" si="16"/>
        <v>0</v>
      </c>
      <c r="CX13" s="27">
        <f t="shared" si="17"/>
        <v>0</v>
      </c>
      <c r="CY13" s="27">
        <f t="shared" si="18"/>
        <v>0</v>
      </c>
      <c r="CZ13" s="24">
        <f t="shared" si="19"/>
        <v>0</v>
      </c>
      <c r="DA13" s="24">
        <f t="shared" si="20"/>
        <v>0</v>
      </c>
      <c r="DB13" s="27">
        <f t="shared" si="21"/>
        <v>0</v>
      </c>
      <c r="DC13" s="27">
        <f t="shared" si="22"/>
        <v>0</v>
      </c>
      <c r="DD13" s="27">
        <f t="shared" si="23"/>
        <v>0</v>
      </c>
      <c r="DE13" s="27">
        <f t="shared" si="24"/>
        <v>0</v>
      </c>
      <c r="DF13" s="24">
        <f t="shared" si="25"/>
        <v>0</v>
      </c>
      <c r="DG13" s="24">
        <f t="shared" si="26"/>
        <v>0</v>
      </c>
      <c r="DH13" s="24">
        <f t="shared" si="27"/>
        <v>0</v>
      </c>
      <c r="DI13" s="24">
        <f t="shared" si="28"/>
        <v>0</v>
      </c>
      <c r="DJ13" s="24">
        <v>0</v>
      </c>
      <c r="DK13" s="24">
        <v>0</v>
      </c>
      <c r="DP13" s="27"/>
      <c r="DQ13" s="27"/>
      <c r="DR13" s="27">
        <f t="shared" si="29"/>
        <v>0</v>
      </c>
      <c r="DS13" s="27">
        <f t="shared" si="30"/>
        <v>0</v>
      </c>
      <c r="DT13" s="27">
        <f t="shared" si="31"/>
        <v>0</v>
      </c>
      <c r="DU13" s="27">
        <f t="shared" si="32"/>
        <v>0</v>
      </c>
      <c r="DV13" s="27">
        <f t="shared" si="44"/>
        <v>0</v>
      </c>
      <c r="DW13" s="27">
        <f t="shared" si="45"/>
        <v>0</v>
      </c>
      <c r="DX13" s="27">
        <f t="shared" si="33"/>
        <v>0</v>
      </c>
      <c r="DY13" s="27">
        <f t="shared" si="34"/>
        <v>0</v>
      </c>
      <c r="DZ13" s="27">
        <f t="shared" si="35"/>
        <v>0</v>
      </c>
      <c r="EA13" s="27">
        <f t="shared" si="36"/>
        <v>0</v>
      </c>
      <c r="EB13" s="27">
        <f t="shared" si="46"/>
        <v>0</v>
      </c>
      <c r="EC13" s="27">
        <f t="shared" si="47"/>
        <v>0</v>
      </c>
    </row>
    <row r="14" spans="1:133" ht="29.5" thickBot="1" x14ac:dyDescent="0.4">
      <c r="A14" s="405"/>
      <c r="C14" s="31">
        <v>10</v>
      </c>
      <c r="D14" s="32">
        <v>7901.13</v>
      </c>
      <c r="E14" s="32">
        <v>8049.04</v>
      </c>
      <c r="F14" s="72"/>
      <c r="G14" s="31">
        <v>10</v>
      </c>
      <c r="H14" s="32">
        <v>14109.16</v>
      </c>
      <c r="I14" s="32">
        <v>14373.29</v>
      </c>
      <c r="Q14" s="35">
        <v>100000</v>
      </c>
      <c r="R14" s="47">
        <v>0.30299999999999999</v>
      </c>
      <c r="T14" s="42">
        <v>0.15</v>
      </c>
      <c r="U14" s="331">
        <v>50000</v>
      </c>
      <c r="W14" s="40" t="s">
        <v>243</v>
      </c>
      <c r="X14" s="40">
        <v>6</v>
      </c>
      <c r="Y14" s="41">
        <f t="shared" si="0"/>
        <v>1</v>
      </c>
      <c r="AA14" s="40" t="s">
        <v>115</v>
      </c>
      <c r="AB14" s="49">
        <v>1.0880000000000001</v>
      </c>
      <c r="AC14" s="48"/>
      <c r="AH14" s="406"/>
      <c r="AJ14" s="30" t="s">
        <v>7</v>
      </c>
      <c r="AK14" s="30" t="s">
        <v>14</v>
      </c>
      <c r="AN14" s="40">
        <v>10</v>
      </c>
      <c r="AO14" s="46">
        <v>0</v>
      </c>
      <c r="AQ14" s="40" t="s">
        <v>243</v>
      </c>
      <c r="AR14" s="40">
        <v>6</v>
      </c>
      <c r="AS14" s="49">
        <f t="shared" si="1"/>
        <v>0</v>
      </c>
      <c r="AT14" s="50"/>
      <c r="AU14" s="52" t="s">
        <v>10</v>
      </c>
      <c r="AV14" s="53" t="s">
        <v>301</v>
      </c>
      <c r="AW14" s="377" t="s">
        <v>302</v>
      </c>
      <c r="AY14" s="40" t="s">
        <v>243</v>
      </c>
      <c r="AZ14" s="40">
        <v>2</v>
      </c>
      <c r="BA14" s="40">
        <v>0.47649999999999998</v>
      </c>
      <c r="BE14" s="40">
        <v>28</v>
      </c>
      <c r="BF14" s="40">
        <v>0.68700000000000006</v>
      </c>
      <c r="BG14" s="40">
        <v>1.155</v>
      </c>
      <c r="BJ14" s="406"/>
      <c r="BL14" s="21" t="s">
        <v>62</v>
      </c>
      <c r="BM14" t="str">
        <f>IF(Cotizador!J47=TRUE,"SI","NO")</f>
        <v>NO</v>
      </c>
      <c r="BQ14">
        <v>8</v>
      </c>
      <c r="BR14" s="26" t="e">
        <f t="shared" si="37"/>
        <v>#N/A</v>
      </c>
      <c r="BS14" s="26" t="e">
        <f t="shared" si="38"/>
        <v>#N/A</v>
      </c>
      <c r="BT14" s="26"/>
      <c r="BU14" s="29">
        <v>8</v>
      </c>
      <c r="BV14" s="26" t="e">
        <f t="shared" si="2"/>
        <v>#N/A</v>
      </c>
      <c r="BW14" s="26" t="e">
        <f t="shared" si="3"/>
        <v>#N/A</v>
      </c>
      <c r="BY14" s="29">
        <v>8</v>
      </c>
      <c r="BZ14" s="26" t="e">
        <f t="shared" si="39"/>
        <v>#N/A</v>
      </c>
      <c r="CA14" s="26" t="e">
        <f t="shared" si="40"/>
        <v>#N/A</v>
      </c>
      <c r="CC14" s="29">
        <v>8</v>
      </c>
      <c r="CD14" s="26" t="e">
        <f t="shared" si="41"/>
        <v>#N/A</v>
      </c>
      <c r="CE14" s="26" t="e">
        <f t="shared" si="42"/>
        <v>#N/A</v>
      </c>
      <c r="CG14">
        <v>8</v>
      </c>
      <c r="CH14" s="24" t="e">
        <f t="shared" si="4"/>
        <v>#N/A</v>
      </c>
      <c r="CI14" s="24" t="e">
        <f t="shared" si="5"/>
        <v>#N/A</v>
      </c>
      <c r="CJ14" s="27">
        <f t="shared" si="43"/>
        <v>0</v>
      </c>
      <c r="CK14" s="27">
        <f t="shared" si="6"/>
        <v>0</v>
      </c>
      <c r="CL14" s="26">
        <f t="shared" si="7"/>
        <v>0</v>
      </c>
      <c r="CM14" s="26">
        <f t="shared" si="8"/>
        <v>0</v>
      </c>
      <c r="CN14" s="27">
        <f t="shared" si="9"/>
        <v>0</v>
      </c>
      <c r="CO14" s="27">
        <f t="shared" si="10"/>
        <v>0</v>
      </c>
      <c r="CP14" s="27">
        <f t="shared" si="11"/>
        <v>0</v>
      </c>
      <c r="CQ14" s="27">
        <f t="shared" si="12"/>
        <v>0</v>
      </c>
      <c r="CR14" s="24">
        <f t="shared" si="13"/>
        <v>0</v>
      </c>
      <c r="CS14" s="24">
        <f t="shared" si="14"/>
        <v>0</v>
      </c>
      <c r="CT14">
        <v>0</v>
      </c>
      <c r="CU14">
        <v>0</v>
      </c>
      <c r="CV14" s="27">
        <f t="shared" si="15"/>
        <v>0</v>
      </c>
      <c r="CW14" s="27">
        <f t="shared" si="16"/>
        <v>0</v>
      </c>
      <c r="CX14" s="27">
        <f t="shared" si="17"/>
        <v>0</v>
      </c>
      <c r="CY14" s="27">
        <f t="shared" si="18"/>
        <v>0</v>
      </c>
      <c r="CZ14" s="24">
        <f t="shared" si="19"/>
        <v>0</v>
      </c>
      <c r="DA14" s="24">
        <f t="shared" si="20"/>
        <v>0</v>
      </c>
      <c r="DB14" s="27">
        <f t="shared" si="21"/>
        <v>0</v>
      </c>
      <c r="DC14" s="27">
        <f t="shared" si="22"/>
        <v>0</v>
      </c>
      <c r="DD14" s="27">
        <f t="shared" si="23"/>
        <v>0</v>
      </c>
      <c r="DE14" s="27">
        <f t="shared" si="24"/>
        <v>0</v>
      </c>
      <c r="DF14" s="24">
        <f t="shared" si="25"/>
        <v>0</v>
      </c>
      <c r="DG14" s="24">
        <f t="shared" si="26"/>
        <v>0</v>
      </c>
      <c r="DH14" s="24">
        <f t="shared" si="27"/>
        <v>0</v>
      </c>
      <c r="DI14" s="24">
        <f t="shared" si="28"/>
        <v>0</v>
      </c>
      <c r="DJ14" s="24">
        <v>0</v>
      </c>
      <c r="DK14" s="24">
        <v>0</v>
      </c>
      <c r="DP14" s="27"/>
      <c r="DQ14" s="27"/>
      <c r="DR14" s="27">
        <f t="shared" si="29"/>
        <v>0</v>
      </c>
      <c r="DS14" s="27">
        <f t="shared" si="30"/>
        <v>0</v>
      </c>
      <c r="DT14" s="27">
        <f t="shared" si="31"/>
        <v>0</v>
      </c>
      <c r="DU14" s="27">
        <f t="shared" si="32"/>
        <v>0</v>
      </c>
      <c r="DV14" s="27">
        <f t="shared" si="44"/>
        <v>0</v>
      </c>
      <c r="DW14" s="27">
        <f t="shared" si="45"/>
        <v>0</v>
      </c>
      <c r="DX14" s="27">
        <f t="shared" si="33"/>
        <v>0</v>
      </c>
      <c r="DY14" s="27">
        <f t="shared" si="34"/>
        <v>0</v>
      </c>
      <c r="DZ14" s="27">
        <f t="shared" si="35"/>
        <v>0</v>
      </c>
      <c r="EA14" s="27">
        <f t="shared" si="36"/>
        <v>0</v>
      </c>
      <c r="EB14" s="27">
        <f t="shared" si="46"/>
        <v>0</v>
      </c>
      <c r="EC14" s="27">
        <f t="shared" si="47"/>
        <v>0</v>
      </c>
    </row>
    <row r="15" spans="1:133" x14ac:dyDescent="0.35">
      <c r="A15" s="405"/>
      <c r="C15" s="31">
        <v>11</v>
      </c>
      <c r="D15" s="32">
        <v>7955.15</v>
      </c>
      <c r="E15" s="32">
        <v>8142.93</v>
      </c>
      <c r="F15" s="72"/>
      <c r="G15" s="31">
        <v>11</v>
      </c>
      <c r="H15" s="32">
        <v>14205.63</v>
      </c>
      <c r="I15" s="32">
        <v>14540.95</v>
      </c>
      <c r="T15" s="42">
        <v>0.2</v>
      </c>
      <c r="U15" s="331">
        <v>60000</v>
      </c>
      <c r="W15" s="40" t="s">
        <v>23</v>
      </c>
      <c r="X15" s="323">
        <v>1</v>
      </c>
      <c r="Y15" s="41">
        <f t="shared" si="0"/>
        <v>0.44</v>
      </c>
      <c r="AA15" s="40" t="s">
        <v>116</v>
      </c>
      <c r="AB15" s="49">
        <v>1.147</v>
      </c>
      <c r="AC15" s="48"/>
      <c r="AH15" s="406"/>
      <c r="AJ15" s="359">
        <v>500000</v>
      </c>
      <c r="AK15" s="360">
        <v>0.28100000000000003</v>
      </c>
      <c r="AN15" s="40">
        <v>11</v>
      </c>
      <c r="AO15" s="46">
        <v>0</v>
      </c>
      <c r="AQ15" s="40" t="s">
        <v>23</v>
      </c>
      <c r="AR15" s="323">
        <v>1</v>
      </c>
      <c r="AS15" s="49">
        <f t="shared" si="1"/>
        <v>0.104</v>
      </c>
      <c r="AT15" s="50"/>
      <c r="AU15" s="54">
        <v>10000</v>
      </c>
      <c r="AV15" s="382">
        <f>ROUND(AW15,3)</f>
        <v>4.9000000000000002E-2</v>
      </c>
      <c r="AW15" s="381">
        <v>4.8899999999999999E-2</v>
      </c>
      <c r="AY15" s="40" t="s">
        <v>23</v>
      </c>
      <c r="AZ15" s="40">
        <v>2</v>
      </c>
      <c r="BA15" s="40">
        <v>0.47649999999999998</v>
      </c>
      <c r="BE15" s="40">
        <v>29</v>
      </c>
      <c r="BF15" s="40">
        <v>0.70799999999999996</v>
      </c>
      <c r="BG15" s="40">
        <v>1.2150000000000001</v>
      </c>
      <c r="BJ15" s="406"/>
      <c r="BL15" s="21" t="s">
        <v>59</v>
      </c>
      <c r="BM15" t="str">
        <f>IF(Cotizador!J48=TRUE,"SI","NO")</f>
        <v>NO</v>
      </c>
      <c r="BQ15">
        <v>9</v>
      </c>
      <c r="BR15" s="26" t="e">
        <f t="shared" si="37"/>
        <v>#N/A</v>
      </c>
      <c r="BS15" s="26" t="e">
        <f t="shared" si="38"/>
        <v>#N/A</v>
      </c>
      <c r="BT15" s="26"/>
      <c r="BU15" s="29">
        <v>9</v>
      </c>
      <c r="BV15" s="26" t="e">
        <f t="shared" si="2"/>
        <v>#N/A</v>
      </c>
      <c r="BW15" s="26" t="e">
        <f t="shared" si="3"/>
        <v>#N/A</v>
      </c>
      <c r="BY15" s="29">
        <v>9</v>
      </c>
      <c r="BZ15" s="26" t="e">
        <f t="shared" si="39"/>
        <v>#N/A</v>
      </c>
      <c r="CA15" s="26" t="e">
        <f t="shared" si="40"/>
        <v>#N/A</v>
      </c>
      <c r="CC15" s="29">
        <v>9</v>
      </c>
      <c r="CD15" s="26" t="e">
        <f t="shared" si="41"/>
        <v>#N/A</v>
      </c>
      <c r="CE15" s="26" t="e">
        <f t="shared" si="42"/>
        <v>#N/A</v>
      </c>
      <c r="CG15">
        <v>9</v>
      </c>
      <c r="CH15" s="24" t="e">
        <f t="shared" si="4"/>
        <v>#N/A</v>
      </c>
      <c r="CI15" s="24" t="e">
        <f t="shared" si="5"/>
        <v>#N/A</v>
      </c>
      <c r="CJ15" s="27">
        <f t="shared" si="43"/>
        <v>0</v>
      </c>
      <c r="CK15" s="27">
        <f t="shared" si="6"/>
        <v>0</v>
      </c>
      <c r="CL15" s="26">
        <f t="shared" si="7"/>
        <v>0</v>
      </c>
      <c r="CM15" s="26">
        <f t="shared" si="8"/>
        <v>0</v>
      </c>
      <c r="CN15" s="27">
        <f t="shared" si="9"/>
        <v>0</v>
      </c>
      <c r="CO15" s="27">
        <f t="shared" si="10"/>
        <v>0</v>
      </c>
      <c r="CP15" s="27">
        <f t="shared" si="11"/>
        <v>0</v>
      </c>
      <c r="CQ15" s="27">
        <f t="shared" si="12"/>
        <v>0</v>
      </c>
      <c r="CR15" s="24">
        <f t="shared" si="13"/>
        <v>0</v>
      </c>
      <c r="CS15" s="24">
        <f t="shared" si="14"/>
        <v>0</v>
      </c>
      <c r="CT15">
        <v>0</v>
      </c>
      <c r="CU15">
        <v>0</v>
      </c>
      <c r="CV15" s="27">
        <f t="shared" si="15"/>
        <v>0</v>
      </c>
      <c r="CW15" s="27">
        <f t="shared" si="16"/>
        <v>0</v>
      </c>
      <c r="CX15" s="27">
        <f t="shared" si="17"/>
        <v>0</v>
      </c>
      <c r="CY15" s="27">
        <f t="shared" si="18"/>
        <v>0</v>
      </c>
      <c r="CZ15" s="24">
        <f t="shared" si="19"/>
        <v>0</v>
      </c>
      <c r="DA15" s="24">
        <f t="shared" si="20"/>
        <v>0</v>
      </c>
      <c r="DB15" s="27">
        <f t="shared" si="21"/>
        <v>0</v>
      </c>
      <c r="DC15" s="27">
        <f t="shared" si="22"/>
        <v>0</v>
      </c>
      <c r="DD15" s="27">
        <f t="shared" si="23"/>
        <v>0</v>
      </c>
      <c r="DE15" s="27">
        <f t="shared" si="24"/>
        <v>0</v>
      </c>
      <c r="DF15" s="24">
        <f t="shared" si="25"/>
        <v>0</v>
      </c>
      <c r="DG15" s="24">
        <f t="shared" si="26"/>
        <v>0</v>
      </c>
      <c r="DH15" s="24">
        <f t="shared" si="27"/>
        <v>0</v>
      </c>
      <c r="DI15" s="24">
        <f t="shared" si="28"/>
        <v>0</v>
      </c>
      <c r="DJ15" s="24">
        <v>0</v>
      </c>
      <c r="DK15" s="24">
        <v>0</v>
      </c>
      <c r="DP15" s="27"/>
      <c r="DQ15" s="27"/>
      <c r="DR15" s="27">
        <f t="shared" si="29"/>
        <v>0</v>
      </c>
      <c r="DS15" s="27">
        <f t="shared" si="30"/>
        <v>0</v>
      </c>
      <c r="DT15" s="27">
        <f t="shared" si="31"/>
        <v>0</v>
      </c>
      <c r="DU15" s="27">
        <f t="shared" si="32"/>
        <v>0</v>
      </c>
      <c r="DV15" s="27">
        <f t="shared" si="44"/>
        <v>0</v>
      </c>
      <c r="DW15" s="27">
        <f t="shared" si="45"/>
        <v>0</v>
      </c>
      <c r="DX15" s="27">
        <f t="shared" si="33"/>
        <v>0</v>
      </c>
      <c r="DY15" s="27">
        <f t="shared" si="34"/>
        <v>0</v>
      </c>
      <c r="DZ15" s="27">
        <f t="shared" si="35"/>
        <v>0</v>
      </c>
      <c r="EA15" s="27">
        <f t="shared" si="36"/>
        <v>0</v>
      </c>
      <c r="EB15" s="27">
        <f t="shared" si="46"/>
        <v>0</v>
      </c>
      <c r="EC15" s="27">
        <f t="shared" si="47"/>
        <v>0</v>
      </c>
    </row>
    <row r="16" spans="1:133" x14ac:dyDescent="0.35">
      <c r="A16" s="405"/>
      <c r="C16" s="31">
        <v>12</v>
      </c>
      <c r="D16" s="32">
        <v>8014.31</v>
      </c>
      <c r="E16" s="32">
        <v>8249.69</v>
      </c>
      <c r="F16" s="72"/>
      <c r="G16" s="31">
        <v>12</v>
      </c>
      <c r="H16" s="32">
        <v>14311.27</v>
      </c>
      <c r="I16" s="32">
        <v>14731.59</v>
      </c>
      <c r="T16" s="42">
        <v>0.25</v>
      </c>
      <c r="U16" s="331">
        <v>70000</v>
      </c>
      <c r="W16" s="40" t="s">
        <v>24</v>
      </c>
      <c r="X16" s="40">
        <v>3</v>
      </c>
      <c r="Y16" s="41">
        <f t="shared" si="0"/>
        <v>0.62</v>
      </c>
      <c r="AA16" s="40" t="s">
        <v>117</v>
      </c>
      <c r="AB16" s="49">
        <v>1.1759999999999999</v>
      </c>
      <c r="AC16" s="48"/>
      <c r="AH16" s="406"/>
      <c r="AJ16" s="359">
        <v>1000000</v>
      </c>
      <c r="AK16" s="360">
        <v>0.17799999999999999</v>
      </c>
      <c r="AN16" s="40">
        <v>12</v>
      </c>
      <c r="AO16" s="46">
        <v>0</v>
      </c>
      <c r="AQ16" s="40" t="s">
        <v>24</v>
      </c>
      <c r="AR16" s="40">
        <v>3</v>
      </c>
      <c r="AS16" s="49">
        <f t="shared" si="1"/>
        <v>6.9000000000000006E-2</v>
      </c>
      <c r="AT16" s="50"/>
      <c r="AU16" s="54">
        <v>15000</v>
      </c>
      <c r="AV16" s="378">
        <f t="shared" ref="AV16:AV24" si="48">ROUND(AW16,3)</f>
        <v>7.2999999999999995E-2</v>
      </c>
      <c r="AW16" s="55">
        <v>7.3300000000000004E-2</v>
      </c>
      <c r="AY16" s="40" t="s">
        <v>24</v>
      </c>
      <c r="AZ16" s="40">
        <v>2</v>
      </c>
      <c r="BA16" s="40">
        <v>0.47649999999999998</v>
      </c>
      <c r="BE16" s="40">
        <v>30</v>
      </c>
      <c r="BF16" s="40">
        <v>0.80700000000000005</v>
      </c>
      <c r="BG16" s="40">
        <v>1.335</v>
      </c>
      <c r="BJ16" s="406"/>
      <c r="BL16" s="21" t="s">
        <v>56</v>
      </c>
      <c r="BM16" t="str">
        <f>IF(Cotizador!J49=TRUE,"SI","NO")</f>
        <v>NO</v>
      </c>
      <c r="BQ16">
        <v>10</v>
      </c>
      <c r="BR16" s="26" t="e">
        <f t="shared" si="37"/>
        <v>#N/A</v>
      </c>
      <c r="BS16" s="26" t="e">
        <f t="shared" si="38"/>
        <v>#N/A</v>
      </c>
      <c r="BT16" s="26"/>
      <c r="BU16" s="29">
        <v>10</v>
      </c>
      <c r="BV16" s="26" t="e">
        <f t="shared" si="2"/>
        <v>#N/A</v>
      </c>
      <c r="BW16" s="26" t="e">
        <f t="shared" si="3"/>
        <v>#N/A</v>
      </c>
      <c r="BY16" s="29">
        <v>10</v>
      </c>
      <c r="BZ16" s="26" t="e">
        <f t="shared" si="39"/>
        <v>#N/A</v>
      </c>
      <c r="CA16" s="26" t="e">
        <f t="shared" si="40"/>
        <v>#N/A</v>
      </c>
      <c r="CC16" s="29">
        <v>10</v>
      </c>
      <c r="CD16" s="26" t="e">
        <f t="shared" si="41"/>
        <v>#N/A</v>
      </c>
      <c r="CE16" s="26" t="e">
        <f t="shared" si="42"/>
        <v>#N/A</v>
      </c>
      <c r="CG16">
        <v>10</v>
      </c>
      <c r="CH16" s="24" t="e">
        <f t="shared" si="4"/>
        <v>#N/A</v>
      </c>
      <c r="CI16" s="24" t="e">
        <f t="shared" si="5"/>
        <v>#N/A</v>
      </c>
      <c r="CJ16" s="27">
        <f t="shared" si="43"/>
        <v>0</v>
      </c>
      <c r="CK16" s="27">
        <f t="shared" si="6"/>
        <v>0</v>
      </c>
      <c r="CL16" s="26">
        <f t="shared" si="7"/>
        <v>0</v>
      </c>
      <c r="CM16" s="26">
        <f t="shared" si="8"/>
        <v>0</v>
      </c>
      <c r="CN16" s="27">
        <f t="shared" si="9"/>
        <v>0</v>
      </c>
      <c r="CO16" s="27">
        <f t="shared" si="10"/>
        <v>0</v>
      </c>
      <c r="CP16" s="27">
        <f t="shared" si="11"/>
        <v>0</v>
      </c>
      <c r="CQ16" s="27">
        <f t="shared" si="12"/>
        <v>0</v>
      </c>
      <c r="CR16" s="24">
        <f t="shared" si="13"/>
        <v>0</v>
      </c>
      <c r="CS16" s="24">
        <f t="shared" si="14"/>
        <v>0</v>
      </c>
      <c r="CT16">
        <v>0</v>
      </c>
      <c r="CU16">
        <v>0</v>
      </c>
      <c r="CV16" s="27">
        <f t="shared" si="15"/>
        <v>0</v>
      </c>
      <c r="CW16" s="27">
        <f t="shared" si="16"/>
        <v>0</v>
      </c>
      <c r="CX16" s="27">
        <f t="shared" si="17"/>
        <v>0</v>
      </c>
      <c r="CY16" s="27">
        <f t="shared" si="18"/>
        <v>0</v>
      </c>
      <c r="CZ16" s="24">
        <f t="shared" si="19"/>
        <v>0</v>
      </c>
      <c r="DA16" s="24">
        <f t="shared" si="20"/>
        <v>0</v>
      </c>
      <c r="DB16" s="27">
        <f t="shared" si="21"/>
        <v>0</v>
      </c>
      <c r="DC16" s="27">
        <f t="shared" si="22"/>
        <v>0</v>
      </c>
      <c r="DD16" s="27">
        <f t="shared" si="23"/>
        <v>0</v>
      </c>
      <c r="DE16" s="27">
        <f t="shared" si="24"/>
        <v>0</v>
      </c>
      <c r="DF16" s="24">
        <f t="shared" si="25"/>
        <v>0</v>
      </c>
      <c r="DG16" s="24">
        <f t="shared" si="26"/>
        <v>0</v>
      </c>
      <c r="DH16" s="24">
        <f t="shared" si="27"/>
        <v>0</v>
      </c>
      <c r="DI16" s="24">
        <f t="shared" si="28"/>
        <v>0</v>
      </c>
      <c r="DJ16" s="24">
        <v>0</v>
      </c>
      <c r="DK16" s="24">
        <v>0</v>
      </c>
      <c r="DP16" s="27"/>
      <c r="DQ16" s="27"/>
      <c r="DR16" s="27">
        <f t="shared" si="29"/>
        <v>0</v>
      </c>
      <c r="DS16" s="27">
        <f t="shared" si="30"/>
        <v>0</v>
      </c>
      <c r="DT16" s="27">
        <f t="shared" si="31"/>
        <v>0</v>
      </c>
      <c r="DU16" s="27">
        <f t="shared" si="32"/>
        <v>0</v>
      </c>
      <c r="DV16" s="27">
        <f t="shared" si="44"/>
        <v>0</v>
      </c>
      <c r="DW16" s="27">
        <f t="shared" si="45"/>
        <v>0</v>
      </c>
      <c r="DX16" s="27">
        <f t="shared" si="33"/>
        <v>0</v>
      </c>
      <c r="DY16" s="27">
        <f t="shared" si="34"/>
        <v>0</v>
      </c>
      <c r="DZ16" s="27">
        <f t="shared" si="35"/>
        <v>0</v>
      </c>
      <c r="EA16" s="27">
        <f t="shared" si="36"/>
        <v>0</v>
      </c>
      <c r="EB16" s="27">
        <f t="shared" si="46"/>
        <v>0</v>
      </c>
      <c r="EC16" s="27">
        <f t="shared" si="47"/>
        <v>0</v>
      </c>
    </row>
    <row r="17" spans="1:133" x14ac:dyDescent="0.35">
      <c r="A17" s="405"/>
      <c r="C17" s="31">
        <v>13</v>
      </c>
      <c r="D17" s="32">
        <v>8081.19</v>
      </c>
      <c r="E17" s="32">
        <v>8366.73</v>
      </c>
      <c r="F17" s="72"/>
      <c r="G17" s="31">
        <v>13</v>
      </c>
      <c r="H17" s="32">
        <v>14430.7</v>
      </c>
      <c r="I17" s="32">
        <v>14940.59</v>
      </c>
      <c r="T17" s="42">
        <v>0.3</v>
      </c>
      <c r="U17" s="331">
        <v>80000</v>
      </c>
      <c r="W17" s="40" t="s">
        <v>25</v>
      </c>
      <c r="X17" s="40">
        <v>3</v>
      </c>
      <c r="Y17" s="41">
        <f t="shared" si="0"/>
        <v>0.62</v>
      </c>
      <c r="AH17" s="406"/>
      <c r="AJ17" s="359">
        <v>2000000</v>
      </c>
      <c r="AK17" s="360">
        <v>9.9000000000000005E-2</v>
      </c>
      <c r="AN17" s="40">
        <v>13</v>
      </c>
      <c r="AO17" s="46">
        <v>0</v>
      </c>
      <c r="AQ17" s="40" t="s">
        <v>25</v>
      </c>
      <c r="AR17" s="40">
        <v>3</v>
      </c>
      <c r="AS17" s="49">
        <f t="shared" si="1"/>
        <v>6.9000000000000006E-2</v>
      </c>
      <c r="AT17" s="50"/>
      <c r="AU17" s="54">
        <v>20000</v>
      </c>
      <c r="AV17" s="378">
        <f t="shared" si="48"/>
        <v>9.8000000000000004E-2</v>
      </c>
      <c r="AW17" s="55">
        <v>9.7699999999999995E-2</v>
      </c>
      <c r="AY17" s="40" t="s">
        <v>25</v>
      </c>
      <c r="AZ17" s="40">
        <v>2</v>
      </c>
      <c r="BA17" s="40">
        <v>0.47649999999999998</v>
      </c>
      <c r="BE17" s="40">
        <v>31</v>
      </c>
      <c r="BF17" s="40">
        <v>0.93700000000000006</v>
      </c>
      <c r="BG17" s="40">
        <v>1.4730000000000001</v>
      </c>
      <c r="BJ17" s="406"/>
      <c r="BL17" s="21" t="s">
        <v>58</v>
      </c>
      <c r="BM17" t="str">
        <f>IF(Cotizador!J50=TRUE,Cotizador!$H$50,"NO")</f>
        <v>NO</v>
      </c>
      <c r="BQ17">
        <v>11</v>
      </c>
      <c r="BR17" s="26" t="e">
        <f t="shared" si="37"/>
        <v>#N/A</v>
      </c>
      <c r="BS17" s="26" t="e">
        <f t="shared" si="38"/>
        <v>#N/A</v>
      </c>
      <c r="BT17" s="26"/>
      <c r="BU17" s="29">
        <v>11</v>
      </c>
      <c r="BV17" s="26" t="e">
        <f t="shared" si="2"/>
        <v>#N/A</v>
      </c>
      <c r="BW17" s="26" t="e">
        <f t="shared" si="3"/>
        <v>#N/A</v>
      </c>
      <c r="BY17" s="29">
        <v>11</v>
      </c>
      <c r="BZ17" s="26" t="e">
        <f t="shared" si="39"/>
        <v>#N/A</v>
      </c>
      <c r="CA17" s="26" t="e">
        <f t="shared" si="40"/>
        <v>#N/A</v>
      </c>
      <c r="CC17" s="29">
        <v>11</v>
      </c>
      <c r="CD17" s="26" t="e">
        <f t="shared" si="41"/>
        <v>#N/A</v>
      </c>
      <c r="CE17" s="26" t="e">
        <f t="shared" si="42"/>
        <v>#N/A</v>
      </c>
      <c r="CG17">
        <v>11</v>
      </c>
      <c r="CH17" s="24" t="e">
        <f t="shared" si="4"/>
        <v>#N/A</v>
      </c>
      <c r="CI17" s="24" t="e">
        <f t="shared" si="5"/>
        <v>#N/A</v>
      </c>
      <c r="CJ17" s="27">
        <f t="shared" si="43"/>
        <v>0</v>
      </c>
      <c r="CK17" s="27">
        <f t="shared" si="6"/>
        <v>0</v>
      </c>
      <c r="CL17" s="26">
        <f t="shared" si="7"/>
        <v>0</v>
      </c>
      <c r="CM17" s="26">
        <f t="shared" si="8"/>
        <v>0</v>
      </c>
      <c r="CN17" s="27">
        <f t="shared" si="9"/>
        <v>0</v>
      </c>
      <c r="CO17" s="27">
        <f t="shared" si="10"/>
        <v>0</v>
      </c>
      <c r="CP17" s="27">
        <f t="shared" si="11"/>
        <v>0</v>
      </c>
      <c r="CQ17" s="27">
        <f t="shared" si="12"/>
        <v>0</v>
      </c>
      <c r="CR17" s="24">
        <f t="shared" si="13"/>
        <v>0</v>
      </c>
      <c r="CS17" s="24">
        <f t="shared" si="14"/>
        <v>0</v>
      </c>
      <c r="CT17">
        <v>0</v>
      </c>
      <c r="CU17">
        <v>0</v>
      </c>
      <c r="CV17" s="27">
        <f t="shared" si="15"/>
        <v>0</v>
      </c>
      <c r="CW17" s="27">
        <f t="shared" si="16"/>
        <v>0</v>
      </c>
      <c r="CX17" s="27">
        <f t="shared" si="17"/>
        <v>0</v>
      </c>
      <c r="CY17" s="27">
        <f t="shared" si="18"/>
        <v>0</v>
      </c>
      <c r="CZ17" s="24">
        <f t="shared" si="19"/>
        <v>0</v>
      </c>
      <c r="DA17" s="24">
        <f t="shared" si="20"/>
        <v>0</v>
      </c>
      <c r="DB17" s="27">
        <f t="shared" si="21"/>
        <v>0</v>
      </c>
      <c r="DC17" s="27">
        <f t="shared" si="22"/>
        <v>0</v>
      </c>
      <c r="DD17" s="27">
        <f t="shared" si="23"/>
        <v>0</v>
      </c>
      <c r="DE17" s="27">
        <f t="shared" si="24"/>
        <v>0</v>
      </c>
      <c r="DF17" s="24">
        <f t="shared" si="25"/>
        <v>0</v>
      </c>
      <c r="DG17" s="24">
        <f t="shared" si="26"/>
        <v>0</v>
      </c>
      <c r="DH17" s="24">
        <f t="shared" si="27"/>
        <v>0</v>
      </c>
      <c r="DI17" s="24">
        <f t="shared" si="28"/>
        <v>0</v>
      </c>
      <c r="DJ17" s="24">
        <v>0</v>
      </c>
      <c r="DK17" s="24">
        <v>0</v>
      </c>
      <c r="DP17" s="27"/>
      <c r="DQ17" s="27"/>
      <c r="DR17" s="27">
        <f t="shared" si="29"/>
        <v>0</v>
      </c>
      <c r="DS17" s="27">
        <f t="shared" si="30"/>
        <v>0</v>
      </c>
      <c r="DT17" s="27">
        <f t="shared" si="31"/>
        <v>0</v>
      </c>
      <c r="DU17" s="27">
        <f t="shared" si="32"/>
        <v>0</v>
      </c>
      <c r="DV17" s="27">
        <f t="shared" si="44"/>
        <v>0</v>
      </c>
      <c r="DW17" s="27">
        <f t="shared" si="45"/>
        <v>0</v>
      </c>
      <c r="DX17" s="27">
        <f t="shared" si="33"/>
        <v>0</v>
      </c>
      <c r="DY17" s="27">
        <f t="shared" si="34"/>
        <v>0</v>
      </c>
      <c r="DZ17" s="27">
        <f t="shared" si="35"/>
        <v>0</v>
      </c>
      <c r="EA17" s="27">
        <f t="shared" si="36"/>
        <v>0</v>
      </c>
      <c r="EB17" s="27">
        <f t="shared" si="46"/>
        <v>0</v>
      </c>
      <c r="EC17" s="27">
        <f t="shared" si="47"/>
        <v>0</v>
      </c>
    </row>
    <row r="18" spans="1:133" x14ac:dyDescent="0.35">
      <c r="A18" s="405"/>
      <c r="C18" s="31">
        <v>14</v>
      </c>
      <c r="D18" s="32">
        <v>8153.22</v>
      </c>
      <c r="E18" s="32">
        <v>8494.06</v>
      </c>
      <c r="F18" s="72"/>
      <c r="G18" s="31">
        <v>14</v>
      </c>
      <c r="H18" s="32">
        <v>14559.32</v>
      </c>
      <c r="I18" s="32">
        <v>15167.96</v>
      </c>
      <c r="U18" t="s">
        <v>280</v>
      </c>
      <c r="W18" s="40" t="s">
        <v>280</v>
      </c>
      <c r="X18" s="40">
        <v>5</v>
      </c>
      <c r="Y18" s="41">
        <f t="shared" si="0"/>
        <v>0.68</v>
      </c>
      <c r="AH18" s="406"/>
      <c r="AJ18" s="359">
        <v>3500000</v>
      </c>
      <c r="AK18" s="360">
        <v>4.9000000000000002E-2</v>
      </c>
      <c r="AN18" s="40">
        <v>14</v>
      </c>
      <c r="AO18" s="46">
        <v>0</v>
      </c>
      <c r="AQ18" s="40" t="s">
        <v>280</v>
      </c>
      <c r="AR18" s="40">
        <v>5</v>
      </c>
      <c r="AS18" s="49">
        <f t="shared" si="1"/>
        <v>6.2100000000000002E-2</v>
      </c>
      <c r="AT18" s="50"/>
      <c r="AU18" s="54">
        <v>25000</v>
      </c>
      <c r="AV18" s="378">
        <f t="shared" si="48"/>
        <v>0.122</v>
      </c>
      <c r="AW18" s="55">
        <v>0.1222</v>
      </c>
      <c r="AY18" s="40" t="s">
        <v>280</v>
      </c>
      <c r="AZ18" s="40">
        <v>2</v>
      </c>
      <c r="BA18" s="40">
        <v>0.47649999999999998</v>
      </c>
      <c r="BE18" s="40">
        <v>32</v>
      </c>
      <c r="BF18" s="40">
        <v>1.0860000000000001</v>
      </c>
      <c r="BG18" s="40">
        <v>1.643</v>
      </c>
      <c r="BJ18" s="406"/>
      <c r="BL18" s="21" t="s">
        <v>49</v>
      </c>
      <c r="BM18" t="str">
        <f>IF(Cotizador!J51=TRUE,"SI","NO")</f>
        <v>NO</v>
      </c>
      <c r="BQ18">
        <v>12</v>
      </c>
      <c r="BR18" s="26" t="e">
        <f t="shared" si="37"/>
        <v>#N/A</v>
      </c>
      <c r="BS18" s="26" t="e">
        <f t="shared" si="38"/>
        <v>#N/A</v>
      </c>
      <c r="BT18" s="26"/>
      <c r="BU18" s="29">
        <v>12</v>
      </c>
      <c r="BV18" s="26" t="e">
        <f t="shared" si="2"/>
        <v>#N/A</v>
      </c>
      <c r="BW18" s="26" t="e">
        <f t="shared" si="3"/>
        <v>#N/A</v>
      </c>
      <c r="BY18" s="29">
        <v>12</v>
      </c>
      <c r="BZ18" s="26" t="e">
        <f t="shared" si="39"/>
        <v>#N/A</v>
      </c>
      <c r="CA18" s="26" t="e">
        <f t="shared" si="40"/>
        <v>#N/A</v>
      </c>
      <c r="CC18" s="29">
        <v>12</v>
      </c>
      <c r="CD18" s="26" t="e">
        <f t="shared" si="41"/>
        <v>#N/A</v>
      </c>
      <c r="CE18" s="26" t="e">
        <f t="shared" si="42"/>
        <v>#N/A</v>
      </c>
      <c r="CG18">
        <v>12</v>
      </c>
      <c r="CH18" s="24" t="e">
        <f t="shared" si="4"/>
        <v>#N/A</v>
      </c>
      <c r="CI18" s="24" t="e">
        <f t="shared" si="5"/>
        <v>#N/A</v>
      </c>
      <c r="CJ18" s="27">
        <f t="shared" si="43"/>
        <v>0</v>
      </c>
      <c r="CK18" s="27">
        <f t="shared" si="6"/>
        <v>0</v>
      </c>
      <c r="CL18" s="26">
        <f t="shared" si="7"/>
        <v>0</v>
      </c>
      <c r="CM18" s="26">
        <f t="shared" si="8"/>
        <v>0</v>
      </c>
      <c r="CN18" s="27">
        <f t="shared" si="9"/>
        <v>0</v>
      </c>
      <c r="CO18" s="27">
        <f t="shared" si="10"/>
        <v>0</v>
      </c>
      <c r="CP18" s="27">
        <f t="shared" si="11"/>
        <v>0</v>
      </c>
      <c r="CQ18" s="27">
        <f t="shared" si="12"/>
        <v>0</v>
      </c>
      <c r="CR18" s="24">
        <f t="shared" si="13"/>
        <v>0</v>
      </c>
      <c r="CS18" s="24">
        <f t="shared" si="14"/>
        <v>0</v>
      </c>
      <c r="CT18">
        <v>0</v>
      </c>
      <c r="CU18">
        <v>0</v>
      </c>
      <c r="CV18" s="27">
        <f t="shared" si="15"/>
        <v>0</v>
      </c>
      <c r="CW18" s="27">
        <f t="shared" si="16"/>
        <v>0</v>
      </c>
      <c r="CX18" s="27">
        <f t="shared" si="17"/>
        <v>0</v>
      </c>
      <c r="CY18" s="27">
        <f t="shared" si="18"/>
        <v>0</v>
      </c>
      <c r="CZ18" s="24">
        <f t="shared" si="19"/>
        <v>0</v>
      </c>
      <c r="DA18" s="24">
        <f t="shared" si="20"/>
        <v>0</v>
      </c>
      <c r="DB18" s="27">
        <f t="shared" si="21"/>
        <v>0</v>
      </c>
      <c r="DC18" s="27">
        <f t="shared" si="22"/>
        <v>0</v>
      </c>
      <c r="DD18" s="27">
        <f t="shared" si="23"/>
        <v>0</v>
      </c>
      <c r="DE18" s="27">
        <f t="shared" si="24"/>
        <v>0</v>
      </c>
      <c r="DF18" s="24">
        <f t="shared" si="25"/>
        <v>0</v>
      </c>
      <c r="DG18" s="24">
        <f t="shared" si="26"/>
        <v>0</v>
      </c>
      <c r="DH18" s="24">
        <f t="shared" si="27"/>
        <v>0</v>
      </c>
      <c r="DI18" s="24">
        <f t="shared" si="28"/>
        <v>0</v>
      </c>
      <c r="DJ18" s="24">
        <v>0</v>
      </c>
      <c r="DK18" s="24">
        <v>0</v>
      </c>
      <c r="DP18" s="27"/>
      <c r="DQ18" s="27"/>
      <c r="DR18" s="27">
        <f t="shared" si="29"/>
        <v>0</v>
      </c>
      <c r="DS18" s="27">
        <f t="shared" si="30"/>
        <v>0</v>
      </c>
      <c r="DT18" s="27">
        <f t="shared" si="31"/>
        <v>0</v>
      </c>
      <c r="DU18" s="27">
        <f t="shared" si="32"/>
        <v>0</v>
      </c>
      <c r="DV18" s="27">
        <f t="shared" si="44"/>
        <v>0</v>
      </c>
      <c r="DW18" s="27">
        <f t="shared" si="45"/>
        <v>0</v>
      </c>
      <c r="DX18" s="27">
        <f t="shared" si="33"/>
        <v>0</v>
      </c>
      <c r="DY18" s="27">
        <f t="shared" si="34"/>
        <v>0</v>
      </c>
      <c r="DZ18" s="27">
        <f t="shared" si="35"/>
        <v>0</v>
      </c>
      <c r="EA18" s="27">
        <f t="shared" si="36"/>
        <v>0</v>
      </c>
      <c r="EB18" s="27">
        <f t="shared" si="46"/>
        <v>0</v>
      </c>
      <c r="EC18" s="27">
        <f t="shared" si="47"/>
        <v>0</v>
      </c>
    </row>
    <row r="19" spans="1:133" x14ac:dyDescent="0.35">
      <c r="A19" s="405"/>
      <c r="C19" s="31">
        <v>15</v>
      </c>
      <c r="D19" s="32">
        <v>8230.39</v>
      </c>
      <c r="E19" s="32">
        <v>8630.4</v>
      </c>
      <c r="F19" s="72"/>
      <c r="G19" s="31">
        <v>15</v>
      </c>
      <c r="H19" s="32">
        <v>14697.13</v>
      </c>
      <c r="I19" s="32">
        <v>15411.43</v>
      </c>
      <c r="U19" t="s">
        <v>281</v>
      </c>
      <c r="W19" s="40" t="s">
        <v>281</v>
      </c>
      <c r="X19" s="40">
        <v>3</v>
      </c>
      <c r="Y19" s="41">
        <f t="shared" si="0"/>
        <v>0.62</v>
      </c>
      <c r="AA19" s="386" t="s">
        <v>158</v>
      </c>
      <c r="AB19" s="386"/>
      <c r="AH19" s="406"/>
      <c r="AN19" s="40">
        <v>15</v>
      </c>
      <c r="AO19" s="46">
        <v>7.4460000000000004E-3</v>
      </c>
      <c r="AQ19" s="40" t="s">
        <v>281</v>
      </c>
      <c r="AR19" s="40">
        <v>3</v>
      </c>
      <c r="AS19" s="49">
        <f t="shared" si="1"/>
        <v>6.9000000000000006E-2</v>
      </c>
      <c r="AT19" s="50"/>
      <c r="AU19" s="54">
        <v>30000</v>
      </c>
      <c r="AV19" s="378">
        <f t="shared" si="48"/>
        <v>0.14699999999999999</v>
      </c>
      <c r="AW19" s="55">
        <v>0.14660000000000001</v>
      </c>
      <c r="AY19" s="40" t="s">
        <v>281</v>
      </c>
      <c r="AZ19" s="40">
        <v>2</v>
      </c>
      <c r="BA19" s="40">
        <v>0.47649999999999998</v>
      </c>
      <c r="BE19" s="40">
        <v>33</v>
      </c>
      <c r="BF19" s="40">
        <v>1.1950000000000001</v>
      </c>
      <c r="BG19" s="40">
        <v>1.8420000000000001</v>
      </c>
      <c r="BJ19" s="406"/>
      <c r="BL19" s="21" t="s">
        <v>176</v>
      </c>
      <c r="BM19" t="str">
        <f>IF(Cotizador!J52=TRUE,"SI","NO")</f>
        <v>NO</v>
      </c>
      <c r="BQ19">
        <v>13</v>
      </c>
      <c r="BR19" s="26" t="e">
        <f t="shared" si="37"/>
        <v>#N/A</v>
      </c>
      <c r="BS19" s="26" t="e">
        <f t="shared" si="38"/>
        <v>#N/A</v>
      </c>
      <c r="BT19" s="26"/>
      <c r="BU19" s="29">
        <v>13</v>
      </c>
      <c r="BV19" s="26" t="e">
        <f t="shared" si="2"/>
        <v>#N/A</v>
      </c>
      <c r="BW19" s="26" t="e">
        <f t="shared" si="3"/>
        <v>#N/A</v>
      </c>
      <c r="BY19" s="29">
        <v>13</v>
      </c>
      <c r="BZ19" s="26" t="e">
        <f t="shared" si="39"/>
        <v>#N/A</v>
      </c>
      <c r="CA19" s="26" t="e">
        <f t="shared" si="40"/>
        <v>#N/A</v>
      </c>
      <c r="CC19" s="29">
        <v>13</v>
      </c>
      <c r="CD19" s="26" t="e">
        <f t="shared" si="41"/>
        <v>#N/A</v>
      </c>
      <c r="CE19" s="26" t="e">
        <f t="shared" si="42"/>
        <v>#N/A</v>
      </c>
      <c r="CG19">
        <v>13</v>
      </c>
      <c r="CH19" s="24" t="e">
        <f t="shared" si="4"/>
        <v>#N/A</v>
      </c>
      <c r="CI19" s="24" t="e">
        <f t="shared" si="5"/>
        <v>#N/A</v>
      </c>
      <c r="CJ19" s="27">
        <f t="shared" si="43"/>
        <v>0</v>
      </c>
      <c r="CK19" s="27">
        <f t="shared" si="6"/>
        <v>0</v>
      </c>
      <c r="CL19" s="26">
        <f t="shared" si="7"/>
        <v>0</v>
      </c>
      <c r="CM19" s="26">
        <f t="shared" si="8"/>
        <v>0</v>
      </c>
      <c r="CN19" s="27">
        <f t="shared" si="9"/>
        <v>0</v>
      </c>
      <c r="CO19" s="27">
        <f t="shared" si="10"/>
        <v>0</v>
      </c>
      <c r="CP19" s="27">
        <f t="shared" si="11"/>
        <v>0</v>
      </c>
      <c r="CQ19" s="27">
        <f t="shared" si="12"/>
        <v>0</v>
      </c>
      <c r="CR19" s="24">
        <f t="shared" si="13"/>
        <v>0</v>
      </c>
      <c r="CS19" s="24">
        <f t="shared" si="14"/>
        <v>0</v>
      </c>
      <c r="CT19">
        <v>0</v>
      </c>
      <c r="CU19">
        <v>0</v>
      </c>
      <c r="CV19" s="27">
        <f t="shared" si="15"/>
        <v>0</v>
      </c>
      <c r="CW19" s="27">
        <f t="shared" si="16"/>
        <v>0</v>
      </c>
      <c r="CX19" s="27">
        <f t="shared" si="17"/>
        <v>0</v>
      </c>
      <c r="CY19" s="27">
        <f t="shared" si="18"/>
        <v>0</v>
      </c>
      <c r="CZ19" s="24">
        <f t="shared" si="19"/>
        <v>0</v>
      </c>
      <c r="DA19" s="24">
        <f t="shared" si="20"/>
        <v>0</v>
      </c>
      <c r="DB19" s="27">
        <f t="shared" si="21"/>
        <v>0</v>
      </c>
      <c r="DC19" s="27">
        <f t="shared" si="22"/>
        <v>0</v>
      </c>
      <c r="DD19" s="27">
        <f t="shared" si="23"/>
        <v>0</v>
      </c>
      <c r="DE19" s="27">
        <f t="shared" si="24"/>
        <v>0</v>
      </c>
      <c r="DF19" s="24">
        <f t="shared" si="25"/>
        <v>0</v>
      </c>
      <c r="DG19" s="24">
        <f t="shared" si="26"/>
        <v>0</v>
      </c>
      <c r="DH19" s="24">
        <f t="shared" si="27"/>
        <v>0</v>
      </c>
      <c r="DI19" s="24">
        <f t="shared" si="28"/>
        <v>0</v>
      </c>
      <c r="DJ19" s="24">
        <v>0</v>
      </c>
      <c r="DK19" s="24">
        <v>0</v>
      </c>
      <c r="DP19" s="27"/>
      <c r="DQ19" s="27"/>
      <c r="DR19" s="27">
        <f t="shared" si="29"/>
        <v>0</v>
      </c>
      <c r="DS19" s="27">
        <f t="shared" si="30"/>
        <v>0</v>
      </c>
      <c r="DT19" s="27">
        <f t="shared" si="31"/>
        <v>0</v>
      </c>
      <c r="DU19" s="27">
        <f t="shared" si="32"/>
        <v>0</v>
      </c>
      <c r="DV19" s="27">
        <f t="shared" si="44"/>
        <v>0</v>
      </c>
      <c r="DW19" s="27">
        <f t="shared" si="45"/>
        <v>0</v>
      </c>
      <c r="DX19" s="27">
        <f t="shared" si="33"/>
        <v>0</v>
      </c>
      <c r="DY19" s="27">
        <f t="shared" si="34"/>
        <v>0</v>
      </c>
      <c r="DZ19" s="27">
        <f t="shared" si="35"/>
        <v>0</v>
      </c>
      <c r="EA19" s="27">
        <f t="shared" si="36"/>
        <v>0</v>
      </c>
      <c r="EB19" s="27">
        <f t="shared" si="46"/>
        <v>0</v>
      </c>
      <c r="EC19" s="27">
        <f t="shared" si="47"/>
        <v>0</v>
      </c>
    </row>
    <row r="20" spans="1:133" x14ac:dyDescent="0.35">
      <c r="A20" s="405"/>
      <c r="C20" s="31">
        <v>16</v>
      </c>
      <c r="D20" s="32">
        <v>8314</v>
      </c>
      <c r="E20" s="32">
        <v>8775.74</v>
      </c>
      <c r="F20" s="72"/>
      <c r="G20" s="31">
        <v>16</v>
      </c>
      <c r="H20" s="32">
        <v>14846.43</v>
      </c>
      <c r="I20" s="32">
        <v>15670.96</v>
      </c>
      <c r="W20" s="40" t="s">
        <v>26</v>
      </c>
      <c r="X20" s="40">
        <v>3</v>
      </c>
      <c r="Y20" s="41">
        <f t="shared" si="0"/>
        <v>0.62</v>
      </c>
      <c r="AA20" s="30" t="s">
        <v>108</v>
      </c>
      <c r="AB20" s="30" t="s">
        <v>14</v>
      </c>
      <c r="AH20" s="406"/>
      <c r="AN20" s="40">
        <v>16</v>
      </c>
      <c r="AO20" s="46">
        <v>7.4460000000000004E-3</v>
      </c>
      <c r="AQ20" s="40" t="s">
        <v>26</v>
      </c>
      <c r="AR20" s="40">
        <v>3</v>
      </c>
      <c r="AS20" s="49">
        <f t="shared" si="1"/>
        <v>6.9000000000000006E-2</v>
      </c>
      <c r="AT20" s="50"/>
      <c r="AU20" s="54">
        <v>35000</v>
      </c>
      <c r="AV20" s="378">
        <f t="shared" si="48"/>
        <v>0.17100000000000001</v>
      </c>
      <c r="AW20" s="55">
        <v>0.17100000000000001</v>
      </c>
      <c r="AY20" s="40" t="s">
        <v>26</v>
      </c>
      <c r="AZ20" s="40">
        <v>2</v>
      </c>
      <c r="BA20" s="40">
        <v>0.47649999999999998</v>
      </c>
      <c r="BE20" s="40">
        <v>34</v>
      </c>
      <c r="BF20" s="40">
        <v>1.335</v>
      </c>
      <c r="BG20" s="40">
        <v>1.9630000000000001</v>
      </c>
      <c r="BJ20" s="406"/>
      <c r="BL20" s="21" t="s">
        <v>60</v>
      </c>
      <c r="BM20" t="str">
        <f>IF(Cotizador!J53=TRUE,"SI","NO")</f>
        <v>NO</v>
      </c>
      <c r="BQ20">
        <v>14</v>
      </c>
      <c r="BR20" s="26" t="e">
        <f t="shared" si="37"/>
        <v>#N/A</v>
      </c>
      <c r="BS20" s="26" t="e">
        <f t="shared" si="38"/>
        <v>#N/A</v>
      </c>
      <c r="BT20" s="26"/>
      <c r="BU20" s="29">
        <v>14</v>
      </c>
      <c r="BV20" s="26" t="e">
        <f t="shared" si="2"/>
        <v>#N/A</v>
      </c>
      <c r="BW20" s="26" t="e">
        <f t="shared" si="3"/>
        <v>#N/A</v>
      </c>
      <c r="BY20" s="29">
        <v>14</v>
      </c>
      <c r="BZ20" s="26" t="e">
        <f t="shared" si="39"/>
        <v>#N/A</v>
      </c>
      <c r="CA20" s="26" t="e">
        <f t="shared" si="40"/>
        <v>#N/A</v>
      </c>
      <c r="CC20" s="29">
        <v>14</v>
      </c>
      <c r="CD20" s="26" t="e">
        <f t="shared" si="41"/>
        <v>#N/A</v>
      </c>
      <c r="CE20" s="26" t="e">
        <f t="shared" si="42"/>
        <v>#N/A</v>
      </c>
      <c r="CG20">
        <v>14</v>
      </c>
      <c r="CH20" s="24" t="e">
        <f t="shared" si="4"/>
        <v>#N/A</v>
      </c>
      <c r="CI20" s="24" t="e">
        <f t="shared" si="5"/>
        <v>#N/A</v>
      </c>
      <c r="CJ20" s="27">
        <f t="shared" si="43"/>
        <v>0</v>
      </c>
      <c r="CK20" s="27">
        <f t="shared" si="6"/>
        <v>0</v>
      </c>
      <c r="CL20" s="26">
        <f t="shared" si="7"/>
        <v>0</v>
      </c>
      <c r="CM20" s="26">
        <f t="shared" si="8"/>
        <v>0</v>
      </c>
      <c r="CN20" s="27">
        <f t="shared" si="9"/>
        <v>0</v>
      </c>
      <c r="CO20" s="27">
        <f t="shared" si="10"/>
        <v>0</v>
      </c>
      <c r="CP20" s="27">
        <f t="shared" si="11"/>
        <v>0</v>
      </c>
      <c r="CQ20" s="27">
        <f t="shared" si="12"/>
        <v>0</v>
      </c>
      <c r="CR20" s="24">
        <f t="shared" si="13"/>
        <v>0</v>
      </c>
      <c r="CS20" s="24">
        <f t="shared" si="14"/>
        <v>0</v>
      </c>
      <c r="CT20">
        <v>0</v>
      </c>
      <c r="CU20">
        <v>0</v>
      </c>
      <c r="CV20" s="27">
        <f t="shared" si="15"/>
        <v>0</v>
      </c>
      <c r="CW20" s="27">
        <f t="shared" si="16"/>
        <v>0</v>
      </c>
      <c r="CX20" s="27">
        <f t="shared" si="17"/>
        <v>0</v>
      </c>
      <c r="CY20" s="27">
        <f t="shared" si="18"/>
        <v>0</v>
      </c>
      <c r="CZ20" s="24">
        <f t="shared" si="19"/>
        <v>0</v>
      </c>
      <c r="DA20" s="24">
        <f t="shared" si="20"/>
        <v>0</v>
      </c>
      <c r="DB20" s="27">
        <f t="shared" si="21"/>
        <v>0</v>
      </c>
      <c r="DC20" s="27">
        <f t="shared" si="22"/>
        <v>0</v>
      </c>
      <c r="DD20" s="27">
        <f t="shared" si="23"/>
        <v>0</v>
      </c>
      <c r="DE20" s="27">
        <f t="shared" si="24"/>
        <v>0</v>
      </c>
      <c r="DF20" s="24">
        <f t="shared" si="25"/>
        <v>0</v>
      </c>
      <c r="DG20" s="24">
        <f t="shared" si="26"/>
        <v>0</v>
      </c>
      <c r="DH20" s="24">
        <f t="shared" si="27"/>
        <v>0</v>
      </c>
      <c r="DI20" s="24">
        <f t="shared" si="28"/>
        <v>0</v>
      </c>
      <c r="DJ20" s="24">
        <v>0</v>
      </c>
      <c r="DK20" s="24">
        <v>0</v>
      </c>
      <c r="DP20" s="27"/>
      <c r="DQ20" s="27"/>
      <c r="DR20" s="27">
        <f t="shared" si="29"/>
        <v>0</v>
      </c>
      <c r="DS20" s="27">
        <f t="shared" si="30"/>
        <v>0</v>
      </c>
      <c r="DT20" s="27">
        <f t="shared" si="31"/>
        <v>0</v>
      </c>
      <c r="DU20" s="27">
        <f t="shared" si="32"/>
        <v>0</v>
      </c>
      <c r="DV20" s="27">
        <f t="shared" si="44"/>
        <v>0</v>
      </c>
      <c r="DW20" s="27">
        <f t="shared" si="45"/>
        <v>0</v>
      </c>
      <c r="DX20" s="27">
        <f t="shared" si="33"/>
        <v>0</v>
      </c>
      <c r="DY20" s="27">
        <f t="shared" si="34"/>
        <v>0</v>
      </c>
      <c r="DZ20" s="27">
        <f t="shared" si="35"/>
        <v>0</v>
      </c>
      <c r="EA20" s="27">
        <f t="shared" si="36"/>
        <v>0</v>
      </c>
      <c r="EB20" s="27">
        <f t="shared" si="46"/>
        <v>0</v>
      </c>
      <c r="EC20" s="27">
        <f t="shared" si="47"/>
        <v>0</v>
      </c>
    </row>
    <row r="21" spans="1:133" x14ac:dyDescent="0.35">
      <c r="A21" s="405"/>
      <c r="C21" s="31">
        <v>17</v>
      </c>
      <c r="D21" s="32">
        <v>8402.74</v>
      </c>
      <c r="E21" s="32">
        <v>8930.09</v>
      </c>
      <c r="F21" s="72"/>
      <c r="G21" s="31">
        <v>17</v>
      </c>
      <c r="H21" s="32">
        <v>15004.89</v>
      </c>
      <c r="I21" s="32">
        <v>15946.59</v>
      </c>
      <c r="W21" s="40" t="s">
        <v>242</v>
      </c>
      <c r="X21" s="40">
        <v>3</v>
      </c>
      <c r="Y21" s="41">
        <f t="shared" si="0"/>
        <v>0.62</v>
      </c>
      <c r="AA21" s="40">
        <v>1</v>
      </c>
      <c r="AB21" s="41">
        <v>0.44</v>
      </c>
      <c r="AC21" s="51"/>
      <c r="AH21" s="406"/>
      <c r="AN21" s="40">
        <v>17</v>
      </c>
      <c r="AO21" s="46">
        <v>7.4460000000000004E-3</v>
      </c>
      <c r="AQ21" s="40" t="s">
        <v>242</v>
      </c>
      <c r="AR21" s="40">
        <v>3</v>
      </c>
      <c r="AS21" s="49">
        <f t="shared" si="1"/>
        <v>6.9000000000000006E-2</v>
      </c>
      <c r="AT21" s="50"/>
      <c r="AU21" s="54">
        <v>40000</v>
      </c>
      <c r="AV21" s="378">
        <f t="shared" si="48"/>
        <v>0.19600000000000001</v>
      </c>
      <c r="AW21" s="55">
        <v>0.19550000000000001</v>
      </c>
      <c r="AY21" s="40" t="s">
        <v>242</v>
      </c>
      <c r="AZ21" s="40">
        <v>2</v>
      </c>
      <c r="BA21" s="40">
        <v>0.47649999999999998</v>
      </c>
      <c r="BE21" s="40">
        <v>35</v>
      </c>
      <c r="BF21" s="40">
        <v>1.514</v>
      </c>
      <c r="BG21" s="40">
        <v>2.0920000000000001</v>
      </c>
      <c r="BJ21" s="406"/>
      <c r="BL21" s="21" t="s">
        <v>54</v>
      </c>
      <c r="BM21" t="str">
        <f>IF(Cotizador!J54=TRUE,"SI","NO")</f>
        <v>NO</v>
      </c>
      <c r="BQ21">
        <v>15</v>
      </c>
      <c r="BR21" s="26" t="e">
        <f t="shared" si="37"/>
        <v>#N/A</v>
      </c>
      <c r="BS21" s="26" t="e">
        <f t="shared" si="38"/>
        <v>#N/A</v>
      </c>
      <c r="BT21" s="26"/>
      <c r="BU21" s="29">
        <v>15</v>
      </c>
      <c r="BV21" s="26" t="e">
        <f t="shared" si="2"/>
        <v>#N/A</v>
      </c>
      <c r="BW21" s="26" t="e">
        <f t="shared" si="3"/>
        <v>#N/A</v>
      </c>
      <c r="BY21" s="29">
        <v>15</v>
      </c>
      <c r="BZ21" s="26" t="e">
        <f t="shared" si="39"/>
        <v>#N/A</v>
      </c>
      <c r="CA21" s="26" t="e">
        <f t="shared" si="40"/>
        <v>#N/A</v>
      </c>
      <c r="CC21" s="29">
        <v>15</v>
      </c>
      <c r="CD21" s="26" t="e">
        <f t="shared" si="41"/>
        <v>#N/A</v>
      </c>
      <c r="CE21" s="26" t="e">
        <f t="shared" si="42"/>
        <v>#N/A</v>
      </c>
      <c r="CG21">
        <v>15</v>
      </c>
      <c r="CH21" s="24" t="e">
        <f t="shared" si="4"/>
        <v>#N/A</v>
      </c>
      <c r="CI21" s="24" t="e">
        <f t="shared" si="5"/>
        <v>#N/A</v>
      </c>
      <c r="CJ21" s="27">
        <f t="shared" si="43"/>
        <v>0</v>
      </c>
      <c r="CK21" s="27">
        <f t="shared" si="6"/>
        <v>0</v>
      </c>
      <c r="CL21" s="26">
        <f t="shared" si="7"/>
        <v>0</v>
      </c>
      <c r="CM21" s="26">
        <f t="shared" si="8"/>
        <v>0</v>
      </c>
      <c r="CN21" s="27">
        <f t="shared" si="9"/>
        <v>0</v>
      </c>
      <c r="CO21" s="27">
        <f t="shared" si="10"/>
        <v>0</v>
      </c>
      <c r="CP21" s="27">
        <f t="shared" si="11"/>
        <v>0</v>
      </c>
      <c r="CQ21" s="27">
        <f t="shared" si="12"/>
        <v>0</v>
      </c>
      <c r="CR21" s="24">
        <f t="shared" si="13"/>
        <v>0</v>
      </c>
      <c r="CS21" s="24">
        <f t="shared" si="14"/>
        <v>0</v>
      </c>
      <c r="CT21">
        <v>0</v>
      </c>
      <c r="CU21" s="24">
        <f t="shared" ref="CU21:CU52" si="49">ROUND(IF($CU$1=1,(AO19*$CU$2)/(1-$L$7),0),4)</f>
        <v>0</v>
      </c>
      <c r="CV21" s="27">
        <f t="shared" si="15"/>
        <v>0</v>
      </c>
      <c r="CW21" s="27">
        <f t="shared" si="16"/>
        <v>0</v>
      </c>
      <c r="CX21" s="27">
        <f t="shared" si="17"/>
        <v>0</v>
      </c>
      <c r="CY21" s="27">
        <f t="shared" si="18"/>
        <v>0</v>
      </c>
      <c r="CZ21" s="24">
        <f t="shared" si="19"/>
        <v>0</v>
      </c>
      <c r="DA21" s="24">
        <f t="shared" si="20"/>
        <v>0</v>
      </c>
      <c r="DB21" s="27">
        <f t="shared" si="21"/>
        <v>0</v>
      </c>
      <c r="DC21" s="27">
        <f t="shared" si="22"/>
        <v>0</v>
      </c>
      <c r="DD21" s="27">
        <f t="shared" si="23"/>
        <v>0</v>
      </c>
      <c r="DE21" s="27">
        <f t="shared" si="24"/>
        <v>0</v>
      </c>
      <c r="DF21" s="24">
        <f t="shared" si="25"/>
        <v>0</v>
      </c>
      <c r="DG21" s="24">
        <f t="shared" si="26"/>
        <v>0</v>
      </c>
      <c r="DH21" s="24">
        <f t="shared" si="27"/>
        <v>0</v>
      </c>
      <c r="DI21" s="24">
        <f t="shared" si="28"/>
        <v>0</v>
      </c>
      <c r="DJ21" s="24">
        <v>0</v>
      </c>
      <c r="DK21" s="24">
        <v>0</v>
      </c>
      <c r="DP21" s="27"/>
      <c r="DQ21" s="27"/>
      <c r="DR21" s="27">
        <f t="shared" si="29"/>
        <v>0</v>
      </c>
      <c r="DS21" s="27">
        <f t="shared" si="30"/>
        <v>0</v>
      </c>
      <c r="DT21" s="27">
        <f t="shared" si="31"/>
        <v>0</v>
      </c>
      <c r="DU21" s="27">
        <f t="shared" si="32"/>
        <v>0</v>
      </c>
      <c r="DV21" s="27">
        <f t="shared" si="44"/>
        <v>0</v>
      </c>
      <c r="DW21" s="27">
        <f t="shared" si="45"/>
        <v>0</v>
      </c>
      <c r="DX21" s="27">
        <f t="shared" si="33"/>
        <v>0</v>
      </c>
      <c r="DY21" s="27">
        <f t="shared" si="34"/>
        <v>0</v>
      </c>
      <c r="DZ21" s="27">
        <f t="shared" si="35"/>
        <v>0</v>
      </c>
      <c r="EA21" s="27">
        <f t="shared" si="36"/>
        <v>0</v>
      </c>
      <c r="EB21" s="27">
        <f t="shared" si="46"/>
        <v>0</v>
      </c>
      <c r="EC21" s="27">
        <f t="shared" si="47"/>
        <v>0</v>
      </c>
    </row>
    <row r="22" spans="1:133" x14ac:dyDescent="0.35">
      <c r="A22" s="405"/>
      <c r="C22" s="31">
        <v>18</v>
      </c>
      <c r="D22" s="32">
        <v>8496.64</v>
      </c>
      <c r="E22" s="32">
        <v>9094.7199999999993</v>
      </c>
      <c r="F22" s="72"/>
      <c r="G22" s="31">
        <v>18</v>
      </c>
      <c r="H22" s="32">
        <v>15172.57</v>
      </c>
      <c r="I22" s="32">
        <v>16240.57</v>
      </c>
      <c r="W22" s="40" t="s">
        <v>27</v>
      </c>
      <c r="X22" s="323">
        <v>1</v>
      </c>
      <c r="Y22" s="41">
        <f t="shared" si="0"/>
        <v>0.44</v>
      </c>
      <c r="AA22" s="40">
        <v>2</v>
      </c>
      <c r="AB22" s="41">
        <v>0.52</v>
      </c>
      <c r="AC22" s="51"/>
      <c r="AH22" s="406"/>
      <c r="AN22" s="40">
        <v>18</v>
      </c>
      <c r="AO22" s="46">
        <v>7.4460000000000004E-3</v>
      </c>
      <c r="AQ22" s="40" t="s">
        <v>27</v>
      </c>
      <c r="AR22" s="323">
        <v>1</v>
      </c>
      <c r="AS22" s="49">
        <f t="shared" si="1"/>
        <v>0.104</v>
      </c>
      <c r="AT22" s="50"/>
      <c r="AU22" s="56">
        <v>50000</v>
      </c>
      <c r="AV22" s="379">
        <f t="shared" si="48"/>
        <v>0.24399999999999999</v>
      </c>
      <c r="AW22" s="57">
        <v>0.24429999999999999</v>
      </c>
      <c r="AY22" s="40" t="s">
        <v>27</v>
      </c>
      <c r="AZ22" s="40">
        <v>2</v>
      </c>
      <c r="BA22" s="40">
        <v>0.47649999999999998</v>
      </c>
      <c r="BE22" s="40">
        <v>36</v>
      </c>
      <c r="BF22" s="40">
        <v>1.712</v>
      </c>
      <c r="BG22" s="40">
        <v>2.2120000000000002</v>
      </c>
      <c r="BJ22" s="406"/>
      <c r="BL22" s="21" t="s">
        <v>52</v>
      </c>
      <c r="BM22" t="str">
        <f>IF(Cotizador!J55=TRUE,"SI","NO")</f>
        <v>NO</v>
      </c>
      <c r="BQ22">
        <v>16</v>
      </c>
      <c r="BR22" s="26" t="e">
        <f t="shared" si="37"/>
        <v>#N/A</v>
      </c>
      <c r="BS22" s="26" t="e">
        <f t="shared" si="38"/>
        <v>#N/A</v>
      </c>
      <c r="BT22" s="26"/>
      <c r="BU22" s="29">
        <v>16</v>
      </c>
      <c r="BV22" s="26" t="e">
        <f t="shared" si="2"/>
        <v>#N/A</v>
      </c>
      <c r="BW22" s="26" t="e">
        <f t="shared" si="3"/>
        <v>#N/A</v>
      </c>
      <c r="BY22" s="29">
        <v>16</v>
      </c>
      <c r="BZ22" s="26" t="e">
        <f t="shared" si="39"/>
        <v>#N/A</v>
      </c>
      <c r="CA22" s="26" t="e">
        <f t="shared" si="40"/>
        <v>#N/A</v>
      </c>
      <c r="CC22" s="29">
        <v>16</v>
      </c>
      <c r="CD22" s="26" t="e">
        <f t="shared" si="41"/>
        <v>#N/A</v>
      </c>
      <c r="CE22" s="26" t="e">
        <f t="shared" si="42"/>
        <v>#N/A</v>
      </c>
      <c r="CG22">
        <v>16</v>
      </c>
      <c r="CH22" s="24" t="e">
        <f t="shared" si="4"/>
        <v>#N/A</v>
      </c>
      <c r="CI22" s="24" t="e">
        <f t="shared" si="5"/>
        <v>#N/A</v>
      </c>
      <c r="CJ22" s="27">
        <f t="shared" si="43"/>
        <v>0</v>
      </c>
      <c r="CK22" s="27">
        <f t="shared" si="6"/>
        <v>0</v>
      </c>
      <c r="CL22" s="26">
        <f t="shared" si="7"/>
        <v>0</v>
      </c>
      <c r="CM22" s="26">
        <f t="shared" si="8"/>
        <v>0</v>
      </c>
      <c r="CN22" s="27">
        <f t="shared" si="9"/>
        <v>0</v>
      </c>
      <c r="CO22" s="27">
        <f t="shared" si="10"/>
        <v>0</v>
      </c>
      <c r="CP22" s="27">
        <f t="shared" si="11"/>
        <v>0</v>
      </c>
      <c r="CQ22" s="27">
        <f t="shared" si="12"/>
        <v>0</v>
      </c>
      <c r="CR22" s="24">
        <f t="shared" si="13"/>
        <v>0</v>
      </c>
      <c r="CS22" s="24">
        <f t="shared" si="14"/>
        <v>0</v>
      </c>
      <c r="CT22">
        <v>0</v>
      </c>
      <c r="CU22" s="24">
        <f t="shared" si="49"/>
        <v>0</v>
      </c>
      <c r="CV22" s="27">
        <f t="shared" si="15"/>
        <v>0</v>
      </c>
      <c r="CW22" s="27">
        <f t="shared" si="16"/>
        <v>0</v>
      </c>
      <c r="CX22" s="27">
        <f t="shared" si="17"/>
        <v>0</v>
      </c>
      <c r="CY22" s="27">
        <f t="shared" si="18"/>
        <v>0</v>
      </c>
      <c r="CZ22" s="24">
        <f t="shared" si="19"/>
        <v>0</v>
      </c>
      <c r="DA22" s="24">
        <f t="shared" si="20"/>
        <v>0</v>
      </c>
      <c r="DB22" s="27">
        <f t="shared" si="21"/>
        <v>0</v>
      </c>
      <c r="DC22" s="27">
        <f t="shared" si="22"/>
        <v>0</v>
      </c>
      <c r="DD22" s="27">
        <f t="shared" si="23"/>
        <v>0</v>
      </c>
      <c r="DE22" s="27">
        <f t="shared" si="24"/>
        <v>0</v>
      </c>
      <c r="DF22" s="24">
        <f t="shared" si="25"/>
        <v>0</v>
      </c>
      <c r="DG22" s="24">
        <f t="shared" si="26"/>
        <v>0</v>
      </c>
      <c r="DH22" s="24">
        <f t="shared" si="27"/>
        <v>0</v>
      </c>
      <c r="DI22" s="24">
        <f t="shared" si="28"/>
        <v>0</v>
      </c>
      <c r="DJ22" s="24">
        <v>0</v>
      </c>
      <c r="DK22" s="24">
        <v>0</v>
      </c>
      <c r="DP22" s="27"/>
      <c r="DQ22" s="27"/>
      <c r="DR22" s="27">
        <f t="shared" si="29"/>
        <v>0</v>
      </c>
      <c r="DS22" s="27">
        <f t="shared" si="30"/>
        <v>0</v>
      </c>
      <c r="DT22" s="27">
        <f t="shared" si="31"/>
        <v>0</v>
      </c>
      <c r="DU22" s="27">
        <f t="shared" si="32"/>
        <v>0</v>
      </c>
      <c r="DV22" s="27">
        <f t="shared" si="44"/>
        <v>0</v>
      </c>
      <c r="DW22" s="27">
        <f t="shared" si="45"/>
        <v>0</v>
      </c>
      <c r="DX22" s="27">
        <f t="shared" si="33"/>
        <v>0</v>
      </c>
      <c r="DY22" s="27">
        <f t="shared" si="34"/>
        <v>0</v>
      </c>
      <c r="DZ22" s="27">
        <f t="shared" si="35"/>
        <v>0</v>
      </c>
      <c r="EA22" s="27">
        <f t="shared" si="36"/>
        <v>0</v>
      </c>
      <c r="EB22" s="27">
        <f t="shared" si="46"/>
        <v>0</v>
      </c>
      <c r="EC22" s="27">
        <f t="shared" si="47"/>
        <v>0</v>
      </c>
    </row>
    <row r="23" spans="1:133" x14ac:dyDescent="0.35">
      <c r="A23" s="405"/>
      <c r="C23" s="31">
        <v>19</v>
      </c>
      <c r="D23" s="32">
        <v>8596.9599999999991</v>
      </c>
      <c r="E23" s="32">
        <v>9267.07</v>
      </c>
      <c r="F23" s="72"/>
      <c r="G23" s="31">
        <v>19</v>
      </c>
      <c r="H23" s="32">
        <v>15351.71</v>
      </c>
      <c r="I23" s="32">
        <v>16548.34</v>
      </c>
      <c r="W23" s="40" t="s">
        <v>28</v>
      </c>
      <c r="X23" s="40">
        <v>7</v>
      </c>
      <c r="Y23" s="41">
        <f t="shared" si="0"/>
        <v>0.83</v>
      </c>
      <c r="AA23" s="40">
        <v>3</v>
      </c>
      <c r="AB23" s="41">
        <v>0.62</v>
      </c>
      <c r="AC23" s="51"/>
      <c r="AH23" s="406"/>
      <c r="AN23" s="40">
        <v>19</v>
      </c>
      <c r="AO23" s="46">
        <v>7.4460000000000004E-3</v>
      </c>
      <c r="AQ23" s="40" t="s">
        <v>28</v>
      </c>
      <c r="AR23" s="40">
        <v>7</v>
      </c>
      <c r="AS23" s="49">
        <f t="shared" si="1"/>
        <v>3.5000000000000003E-2</v>
      </c>
      <c r="AT23" s="50"/>
      <c r="AU23" s="56">
        <v>75000</v>
      </c>
      <c r="AV23" s="379">
        <f t="shared" si="48"/>
        <v>0.36699999999999999</v>
      </c>
      <c r="AW23" s="57">
        <v>0.36649999999999999</v>
      </c>
      <c r="AY23" s="40" t="s">
        <v>28</v>
      </c>
      <c r="AZ23" s="40">
        <v>1</v>
      </c>
      <c r="BA23" s="40">
        <v>0.95299999999999996</v>
      </c>
      <c r="BE23" s="40">
        <v>37</v>
      </c>
      <c r="BF23" s="40">
        <v>1.8620000000000001</v>
      </c>
      <c r="BG23" s="40">
        <v>2.3210000000000002</v>
      </c>
      <c r="BJ23" s="406"/>
      <c r="BL23" s="21" t="s">
        <v>57</v>
      </c>
      <c r="BM23" t="str">
        <f>IF(Cotizador!J56=TRUE,"SI","NO")</f>
        <v>NO</v>
      </c>
      <c r="BQ23">
        <v>17</v>
      </c>
      <c r="BR23" s="26" t="e">
        <f t="shared" si="37"/>
        <v>#N/A</v>
      </c>
      <c r="BS23" s="26" t="e">
        <f t="shared" si="38"/>
        <v>#N/A</v>
      </c>
      <c r="BT23" s="26"/>
      <c r="BU23" s="29">
        <v>17</v>
      </c>
      <c r="BV23" s="26" t="e">
        <f t="shared" si="2"/>
        <v>#N/A</v>
      </c>
      <c r="BW23" s="26" t="e">
        <f t="shared" si="3"/>
        <v>#N/A</v>
      </c>
      <c r="BY23" s="29">
        <v>17</v>
      </c>
      <c r="BZ23" s="26" t="e">
        <f t="shared" si="39"/>
        <v>#N/A</v>
      </c>
      <c r="CA23" s="26" t="e">
        <f t="shared" si="40"/>
        <v>#N/A</v>
      </c>
      <c r="CC23" s="29">
        <v>17</v>
      </c>
      <c r="CD23" s="26" t="e">
        <f t="shared" si="41"/>
        <v>#N/A</v>
      </c>
      <c r="CE23" s="26" t="e">
        <f t="shared" si="42"/>
        <v>#N/A</v>
      </c>
      <c r="CG23">
        <v>17</v>
      </c>
      <c r="CH23" s="24" t="e">
        <f t="shared" si="4"/>
        <v>#N/A</v>
      </c>
      <c r="CI23" s="24" t="e">
        <f t="shared" si="5"/>
        <v>#N/A</v>
      </c>
      <c r="CJ23" s="27">
        <f t="shared" si="43"/>
        <v>0</v>
      </c>
      <c r="CK23" s="27">
        <f t="shared" si="6"/>
        <v>0</v>
      </c>
      <c r="CL23" s="26">
        <f t="shared" si="7"/>
        <v>0</v>
      </c>
      <c r="CM23" s="26">
        <f t="shared" si="8"/>
        <v>0</v>
      </c>
      <c r="CN23" s="27">
        <f t="shared" si="9"/>
        <v>0</v>
      </c>
      <c r="CO23" s="27">
        <f t="shared" si="10"/>
        <v>0</v>
      </c>
      <c r="CP23" s="27">
        <f t="shared" si="11"/>
        <v>0</v>
      </c>
      <c r="CQ23" s="27">
        <f t="shared" si="12"/>
        <v>0</v>
      </c>
      <c r="CR23" s="24">
        <f t="shared" si="13"/>
        <v>0</v>
      </c>
      <c r="CS23" s="24">
        <f t="shared" si="14"/>
        <v>0</v>
      </c>
      <c r="CT23">
        <v>0</v>
      </c>
      <c r="CU23" s="24">
        <f t="shared" si="49"/>
        <v>0</v>
      </c>
      <c r="CV23" s="27">
        <f t="shared" si="15"/>
        <v>0</v>
      </c>
      <c r="CW23" s="27">
        <f t="shared" si="16"/>
        <v>0</v>
      </c>
      <c r="CX23" s="27">
        <f t="shared" si="17"/>
        <v>0</v>
      </c>
      <c r="CY23" s="27">
        <f t="shared" si="18"/>
        <v>0</v>
      </c>
      <c r="CZ23" s="24">
        <f t="shared" si="19"/>
        <v>0</v>
      </c>
      <c r="DA23" s="24">
        <f t="shared" si="20"/>
        <v>0</v>
      </c>
      <c r="DB23" s="27">
        <f t="shared" si="21"/>
        <v>0</v>
      </c>
      <c r="DC23" s="27">
        <f t="shared" si="22"/>
        <v>0</v>
      </c>
      <c r="DD23" s="27">
        <f t="shared" si="23"/>
        <v>0</v>
      </c>
      <c r="DE23" s="27">
        <f t="shared" si="24"/>
        <v>0</v>
      </c>
      <c r="DF23" s="24">
        <f t="shared" si="25"/>
        <v>0</v>
      </c>
      <c r="DG23" s="24">
        <f t="shared" si="26"/>
        <v>0</v>
      </c>
      <c r="DH23" s="24">
        <f t="shared" si="27"/>
        <v>0</v>
      </c>
      <c r="DI23" s="24">
        <f t="shared" si="28"/>
        <v>0</v>
      </c>
      <c r="DJ23" s="24">
        <v>0</v>
      </c>
      <c r="DK23" s="24">
        <v>0</v>
      </c>
      <c r="DP23" s="27"/>
      <c r="DQ23" s="27"/>
      <c r="DR23" s="27">
        <f t="shared" si="29"/>
        <v>0</v>
      </c>
      <c r="DS23" s="27">
        <f t="shared" si="30"/>
        <v>0</v>
      </c>
      <c r="DT23" s="27">
        <f t="shared" si="31"/>
        <v>0</v>
      </c>
      <c r="DU23" s="27">
        <f t="shared" si="32"/>
        <v>0</v>
      </c>
      <c r="DV23" s="27">
        <f t="shared" si="44"/>
        <v>0</v>
      </c>
      <c r="DW23" s="27">
        <f t="shared" si="45"/>
        <v>0</v>
      </c>
      <c r="DX23" s="27">
        <f t="shared" si="33"/>
        <v>0</v>
      </c>
      <c r="DY23" s="27">
        <f t="shared" si="34"/>
        <v>0</v>
      </c>
      <c r="DZ23" s="27">
        <f t="shared" si="35"/>
        <v>0</v>
      </c>
      <c r="EA23" s="27">
        <f t="shared" si="36"/>
        <v>0</v>
      </c>
      <c r="EB23" s="27">
        <f t="shared" si="46"/>
        <v>0</v>
      </c>
      <c r="EC23" s="27">
        <f t="shared" si="47"/>
        <v>0</v>
      </c>
    </row>
    <row r="24" spans="1:133" ht="15" thickBot="1" x14ac:dyDescent="0.4">
      <c r="A24" s="405"/>
      <c r="C24" s="31">
        <v>20</v>
      </c>
      <c r="D24" s="32">
        <v>8705</v>
      </c>
      <c r="E24" s="32">
        <v>9449.7099999999991</v>
      </c>
      <c r="F24" s="72"/>
      <c r="G24" s="31">
        <v>20</v>
      </c>
      <c r="H24" s="32">
        <v>15544.64</v>
      </c>
      <c r="I24" s="32">
        <v>16874.48</v>
      </c>
      <c r="W24" s="40" t="s">
        <v>29</v>
      </c>
      <c r="X24" s="40">
        <v>2</v>
      </c>
      <c r="Y24" s="41">
        <f t="shared" si="0"/>
        <v>0.52</v>
      </c>
      <c r="AA24" s="40">
        <v>4</v>
      </c>
      <c r="AB24" s="41">
        <v>0.7</v>
      </c>
      <c r="AC24" s="51"/>
      <c r="AH24" s="406"/>
      <c r="AN24" s="40">
        <v>20</v>
      </c>
      <c r="AO24" s="46">
        <v>7.4460000000000004E-3</v>
      </c>
      <c r="AQ24" s="40" t="s">
        <v>29</v>
      </c>
      <c r="AR24" s="40">
        <v>2</v>
      </c>
      <c r="AS24" s="49">
        <f t="shared" si="1"/>
        <v>0.09</v>
      </c>
      <c r="AT24" s="50"/>
      <c r="AU24" s="58">
        <v>100000</v>
      </c>
      <c r="AV24" s="380">
        <f t="shared" si="48"/>
        <v>0.48899999999999999</v>
      </c>
      <c r="AW24" s="59">
        <v>0.48870000000000002</v>
      </c>
      <c r="AY24" s="40" t="s">
        <v>29</v>
      </c>
      <c r="AZ24" s="40">
        <v>2</v>
      </c>
      <c r="BA24" s="40">
        <v>0.47649999999999998</v>
      </c>
      <c r="BE24" s="40">
        <v>38</v>
      </c>
      <c r="BF24" s="40">
        <v>2.0110000000000001</v>
      </c>
      <c r="BG24" s="40">
        <v>2.4300000000000002</v>
      </c>
      <c r="BJ24" s="406"/>
      <c r="BL24" s="21" t="s">
        <v>53</v>
      </c>
      <c r="BM24" t="str">
        <f>IF(Cotizador!J57=TRUE,"SI","NO")</f>
        <v>NO</v>
      </c>
      <c r="BQ24">
        <v>18</v>
      </c>
      <c r="BR24" s="26" t="e">
        <f t="shared" si="37"/>
        <v>#N/A</v>
      </c>
      <c r="BS24" s="26" t="e">
        <f t="shared" si="38"/>
        <v>#N/A</v>
      </c>
      <c r="BT24" s="26"/>
      <c r="BU24" s="29">
        <v>18</v>
      </c>
      <c r="BV24" s="26" t="e">
        <f t="shared" si="2"/>
        <v>#N/A</v>
      </c>
      <c r="BW24" s="26" t="e">
        <f t="shared" si="3"/>
        <v>#N/A</v>
      </c>
      <c r="BY24" s="29">
        <v>18</v>
      </c>
      <c r="BZ24" s="26" t="e">
        <f t="shared" si="39"/>
        <v>#N/A</v>
      </c>
      <c r="CA24" s="26" t="e">
        <f t="shared" si="40"/>
        <v>#N/A</v>
      </c>
      <c r="CC24" s="29">
        <v>18</v>
      </c>
      <c r="CD24" s="26" t="e">
        <f t="shared" si="41"/>
        <v>#N/A</v>
      </c>
      <c r="CE24" s="26" t="e">
        <f t="shared" si="42"/>
        <v>#N/A</v>
      </c>
      <c r="CG24">
        <v>18</v>
      </c>
      <c r="CH24" s="24" t="e">
        <f t="shared" si="4"/>
        <v>#N/A</v>
      </c>
      <c r="CI24" s="24" t="e">
        <f t="shared" si="5"/>
        <v>#N/A</v>
      </c>
      <c r="CJ24" s="27">
        <f t="shared" si="43"/>
        <v>0</v>
      </c>
      <c r="CK24" s="27">
        <f t="shared" si="6"/>
        <v>0</v>
      </c>
      <c r="CL24" s="26">
        <f t="shared" si="7"/>
        <v>0</v>
      </c>
      <c r="CM24" s="26">
        <f t="shared" si="8"/>
        <v>0</v>
      </c>
      <c r="CN24" s="27">
        <f t="shared" si="9"/>
        <v>0</v>
      </c>
      <c r="CO24" s="27">
        <f t="shared" si="10"/>
        <v>0</v>
      </c>
      <c r="CP24" s="27">
        <f t="shared" si="11"/>
        <v>0</v>
      </c>
      <c r="CQ24" s="27">
        <f t="shared" si="12"/>
        <v>0</v>
      </c>
      <c r="CR24" s="24">
        <f t="shared" si="13"/>
        <v>0</v>
      </c>
      <c r="CS24" s="24">
        <f t="shared" si="14"/>
        <v>0</v>
      </c>
      <c r="CT24">
        <v>0</v>
      </c>
      <c r="CU24" s="24">
        <f t="shared" si="49"/>
        <v>0</v>
      </c>
      <c r="CV24" s="27">
        <f t="shared" si="15"/>
        <v>0</v>
      </c>
      <c r="CW24" s="27">
        <f t="shared" si="16"/>
        <v>0</v>
      </c>
      <c r="CX24" s="27">
        <f t="shared" si="17"/>
        <v>0</v>
      </c>
      <c r="CY24" s="27">
        <f t="shared" si="18"/>
        <v>0</v>
      </c>
      <c r="CZ24" s="24">
        <f t="shared" si="19"/>
        <v>0</v>
      </c>
      <c r="DA24" s="24">
        <f t="shared" si="20"/>
        <v>0</v>
      </c>
      <c r="DB24" s="27">
        <f t="shared" si="21"/>
        <v>0</v>
      </c>
      <c r="DC24" s="27">
        <f t="shared" si="22"/>
        <v>0</v>
      </c>
      <c r="DD24" s="27">
        <f t="shared" si="23"/>
        <v>0</v>
      </c>
      <c r="DE24" s="27">
        <f t="shared" si="24"/>
        <v>0</v>
      </c>
      <c r="DF24" s="24">
        <f t="shared" si="25"/>
        <v>0</v>
      </c>
      <c r="DG24" s="24">
        <f t="shared" si="26"/>
        <v>0</v>
      </c>
      <c r="DH24" s="24">
        <f t="shared" si="27"/>
        <v>0</v>
      </c>
      <c r="DI24" s="24">
        <f t="shared" si="28"/>
        <v>0</v>
      </c>
      <c r="DJ24" s="26">
        <f t="shared" ref="DJ24:DJ55" si="50">ROUND(IF($DK$1=1,(($DK$2/1000)*BF4)/(1-$L$7),0),4)</f>
        <v>0</v>
      </c>
      <c r="DK24" s="26">
        <f t="shared" ref="DK24:DK55" si="51">ROUND(IF($DK$1=1,(($DK$2/1000)*BG4)/(1-$L$7),0),4)</f>
        <v>0</v>
      </c>
      <c r="DP24" s="27"/>
      <c r="DQ24" s="27"/>
      <c r="DR24" s="27">
        <f t="shared" si="29"/>
        <v>0</v>
      </c>
      <c r="DS24" s="27">
        <f t="shared" si="30"/>
        <v>0</v>
      </c>
      <c r="DT24" s="27">
        <f t="shared" si="31"/>
        <v>0</v>
      </c>
      <c r="DU24" s="27">
        <f t="shared" si="32"/>
        <v>0</v>
      </c>
      <c r="DV24" s="27">
        <f t="shared" si="44"/>
        <v>0</v>
      </c>
      <c r="DW24" s="27">
        <f t="shared" si="45"/>
        <v>0</v>
      </c>
      <c r="DX24" s="27">
        <f t="shared" si="33"/>
        <v>0</v>
      </c>
      <c r="DY24" s="27">
        <f t="shared" si="34"/>
        <v>0</v>
      </c>
      <c r="DZ24" s="27">
        <f t="shared" si="35"/>
        <v>0</v>
      </c>
      <c r="EA24" s="27">
        <f t="shared" si="36"/>
        <v>0</v>
      </c>
      <c r="EB24" s="27">
        <f t="shared" si="46"/>
        <v>0</v>
      </c>
      <c r="EC24" s="27">
        <f t="shared" si="47"/>
        <v>0</v>
      </c>
    </row>
    <row r="25" spans="1:133" x14ac:dyDescent="0.35">
      <c r="A25" s="405"/>
      <c r="C25" s="31">
        <v>21</v>
      </c>
      <c r="D25" s="32">
        <v>8819.4699999999993</v>
      </c>
      <c r="E25" s="32">
        <v>9643.93</v>
      </c>
      <c r="F25" s="72"/>
      <c r="G25" s="31">
        <v>21</v>
      </c>
      <c r="H25" s="32">
        <v>15749.05</v>
      </c>
      <c r="I25" s="32">
        <v>17221.3</v>
      </c>
      <c r="W25" s="40" t="s">
        <v>30</v>
      </c>
      <c r="X25" s="368">
        <v>8</v>
      </c>
      <c r="Y25" s="41">
        <f t="shared" si="0"/>
        <v>0.63</v>
      </c>
      <c r="AA25" s="40">
        <v>5</v>
      </c>
      <c r="AB25" s="41">
        <v>0.68</v>
      </c>
      <c r="AC25" s="51"/>
      <c r="AH25" s="406"/>
      <c r="AN25" s="40">
        <v>21</v>
      </c>
      <c r="AO25" s="46">
        <v>7.4460000000000004E-3</v>
      </c>
      <c r="AQ25" s="40" t="s">
        <v>30</v>
      </c>
      <c r="AR25" s="368">
        <v>8</v>
      </c>
      <c r="AS25" s="49">
        <f t="shared" si="1"/>
        <v>7.0000000000000007E-2</v>
      </c>
      <c r="AT25" s="50"/>
      <c r="AV25" s="78"/>
      <c r="AY25" s="40" t="s">
        <v>30</v>
      </c>
      <c r="AZ25" s="40">
        <v>2</v>
      </c>
      <c r="BA25" s="40">
        <v>0.47649999999999998</v>
      </c>
      <c r="BE25" s="40">
        <v>39</v>
      </c>
      <c r="BF25" s="40">
        <v>2.16</v>
      </c>
      <c r="BG25" s="40">
        <v>2.56</v>
      </c>
      <c r="BJ25" s="406"/>
      <c r="BL25" s="21" t="s">
        <v>61</v>
      </c>
      <c r="BM25" t="str">
        <f>IF(Cotizador!J58=TRUE,"SI","NO")</f>
        <v>NO</v>
      </c>
      <c r="BQ25">
        <v>19</v>
      </c>
      <c r="BR25" s="26" t="e">
        <f t="shared" si="37"/>
        <v>#N/A</v>
      </c>
      <c r="BS25" s="26" t="e">
        <f t="shared" si="38"/>
        <v>#N/A</v>
      </c>
      <c r="BT25" s="26"/>
      <c r="BU25" s="29">
        <v>19</v>
      </c>
      <c r="BV25" s="26" t="e">
        <f t="shared" si="2"/>
        <v>#N/A</v>
      </c>
      <c r="BW25" s="26" t="e">
        <f t="shared" si="3"/>
        <v>#N/A</v>
      </c>
      <c r="BY25" s="29">
        <v>19</v>
      </c>
      <c r="BZ25" s="26" t="e">
        <f t="shared" si="39"/>
        <v>#N/A</v>
      </c>
      <c r="CA25" s="26" t="e">
        <f t="shared" si="40"/>
        <v>#N/A</v>
      </c>
      <c r="CC25" s="29">
        <v>19</v>
      </c>
      <c r="CD25" s="26" t="e">
        <f t="shared" si="41"/>
        <v>#N/A</v>
      </c>
      <c r="CE25" s="26" t="e">
        <f t="shared" si="42"/>
        <v>#N/A</v>
      </c>
      <c r="CG25">
        <v>19</v>
      </c>
      <c r="CH25" s="24" t="e">
        <f t="shared" si="4"/>
        <v>#N/A</v>
      </c>
      <c r="CI25" s="24" t="e">
        <f t="shared" si="5"/>
        <v>#N/A</v>
      </c>
      <c r="CJ25" s="27">
        <f t="shared" si="43"/>
        <v>0</v>
      </c>
      <c r="CK25" s="27">
        <f t="shared" si="6"/>
        <v>0</v>
      </c>
      <c r="CL25" s="26">
        <f t="shared" si="7"/>
        <v>0</v>
      </c>
      <c r="CM25" s="26">
        <f t="shared" si="8"/>
        <v>0</v>
      </c>
      <c r="CN25" s="27">
        <f t="shared" si="9"/>
        <v>0</v>
      </c>
      <c r="CO25" s="27">
        <f t="shared" si="10"/>
        <v>0</v>
      </c>
      <c r="CP25" s="27">
        <f t="shared" si="11"/>
        <v>0</v>
      </c>
      <c r="CQ25" s="27">
        <f t="shared" si="12"/>
        <v>0</v>
      </c>
      <c r="CR25" s="24">
        <f t="shared" si="13"/>
        <v>0</v>
      </c>
      <c r="CS25" s="24">
        <f t="shared" si="14"/>
        <v>0</v>
      </c>
      <c r="CT25">
        <v>0</v>
      </c>
      <c r="CU25" s="24">
        <f t="shared" si="49"/>
        <v>0</v>
      </c>
      <c r="CV25" s="27">
        <f t="shared" si="15"/>
        <v>0</v>
      </c>
      <c r="CW25" s="27">
        <f t="shared" si="16"/>
        <v>0</v>
      </c>
      <c r="CX25" s="27">
        <f t="shared" si="17"/>
        <v>0</v>
      </c>
      <c r="CY25" s="27">
        <f t="shared" si="18"/>
        <v>0</v>
      </c>
      <c r="CZ25" s="24">
        <f t="shared" si="19"/>
        <v>0</v>
      </c>
      <c r="DA25" s="24">
        <f t="shared" si="20"/>
        <v>0</v>
      </c>
      <c r="DB25" s="27">
        <f t="shared" si="21"/>
        <v>0</v>
      </c>
      <c r="DC25" s="27">
        <f t="shared" si="22"/>
        <v>0</v>
      </c>
      <c r="DD25" s="27">
        <f t="shared" si="23"/>
        <v>0</v>
      </c>
      <c r="DE25" s="27">
        <f t="shared" si="24"/>
        <v>0</v>
      </c>
      <c r="DF25" s="24">
        <f t="shared" si="25"/>
        <v>0</v>
      </c>
      <c r="DG25" s="24">
        <f t="shared" si="26"/>
        <v>0</v>
      </c>
      <c r="DH25" s="24">
        <f t="shared" si="27"/>
        <v>0</v>
      </c>
      <c r="DI25" s="24">
        <f t="shared" si="28"/>
        <v>0</v>
      </c>
      <c r="DJ25" s="26">
        <f t="shared" si="50"/>
        <v>0</v>
      </c>
      <c r="DK25" s="26">
        <f t="shared" si="51"/>
        <v>0</v>
      </c>
      <c r="DP25" s="27"/>
      <c r="DQ25" s="27"/>
      <c r="DR25" s="27">
        <f t="shared" si="29"/>
        <v>0</v>
      </c>
      <c r="DS25" s="27">
        <f t="shared" si="30"/>
        <v>0</v>
      </c>
      <c r="DT25" s="27">
        <f t="shared" si="31"/>
        <v>0</v>
      </c>
      <c r="DU25" s="27">
        <f t="shared" si="32"/>
        <v>0</v>
      </c>
      <c r="DV25" s="27">
        <f t="shared" si="44"/>
        <v>0</v>
      </c>
      <c r="DW25" s="27">
        <f t="shared" si="45"/>
        <v>0</v>
      </c>
      <c r="DX25" s="27">
        <f t="shared" si="33"/>
        <v>0</v>
      </c>
      <c r="DY25" s="27">
        <f t="shared" si="34"/>
        <v>0</v>
      </c>
      <c r="DZ25" s="27">
        <f t="shared" si="35"/>
        <v>0</v>
      </c>
      <c r="EA25" s="27">
        <f t="shared" si="36"/>
        <v>0</v>
      </c>
      <c r="EB25" s="27">
        <f t="shared" si="46"/>
        <v>0</v>
      </c>
      <c r="EC25" s="27">
        <f t="shared" si="47"/>
        <v>0</v>
      </c>
    </row>
    <row r="26" spans="1:133" x14ac:dyDescent="0.35">
      <c r="A26" s="405"/>
      <c r="C26" s="31">
        <v>22</v>
      </c>
      <c r="D26" s="32">
        <v>8941.66</v>
      </c>
      <c r="E26" s="32">
        <v>9849.7199999999993</v>
      </c>
      <c r="F26" s="72"/>
      <c r="G26" s="31">
        <v>22</v>
      </c>
      <c r="H26" s="32">
        <v>15967.25</v>
      </c>
      <c r="I26" s="32">
        <v>17588.79</v>
      </c>
      <c r="W26" s="40" t="s">
        <v>31</v>
      </c>
      <c r="X26" s="368">
        <v>9</v>
      </c>
      <c r="Y26" s="41">
        <f t="shared" si="0"/>
        <v>0.69</v>
      </c>
      <c r="AA26" s="40">
        <v>6</v>
      </c>
      <c r="AB26" s="41">
        <v>1</v>
      </c>
      <c r="AC26" s="51"/>
      <c r="AH26" s="406"/>
      <c r="AN26" s="40">
        <v>22</v>
      </c>
      <c r="AO26" s="46">
        <v>1.1023999999999999E-2</v>
      </c>
      <c r="AQ26" s="40" t="s">
        <v>31</v>
      </c>
      <c r="AR26" s="368">
        <v>9</v>
      </c>
      <c r="AS26" s="49">
        <f t="shared" si="1"/>
        <v>6.3E-2</v>
      </c>
      <c r="AT26" s="50"/>
      <c r="AY26" s="40" t="s">
        <v>31</v>
      </c>
      <c r="AZ26" s="320">
        <v>2</v>
      </c>
      <c r="BA26" s="40">
        <v>0.47649999999999998</v>
      </c>
      <c r="BE26" s="40">
        <v>40</v>
      </c>
      <c r="BF26" s="40">
        <v>2.5670000000000002</v>
      </c>
      <c r="BG26" s="40">
        <v>2.7589999999999999</v>
      </c>
      <c r="BJ26" s="406"/>
      <c r="BL26" s="21" t="s">
        <v>296</v>
      </c>
      <c r="BM26" t="str">
        <f>IF(Cotizador!J59=TRUE,Cotizador!$H$59,"NO")</f>
        <v>NO</v>
      </c>
      <c r="BQ26">
        <v>20</v>
      </c>
      <c r="BR26" s="26" t="e">
        <f t="shared" si="37"/>
        <v>#N/A</v>
      </c>
      <c r="BS26" s="26" t="e">
        <f t="shared" si="38"/>
        <v>#N/A</v>
      </c>
      <c r="BT26" s="26"/>
      <c r="BU26" s="29">
        <v>20</v>
      </c>
      <c r="BV26" s="26" t="e">
        <f t="shared" si="2"/>
        <v>#N/A</v>
      </c>
      <c r="BW26" s="26" t="e">
        <f t="shared" si="3"/>
        <v>#N/A</v>
      </c>
      <c r="BY26" s="29">
        <v>20</v>
      </c>
      <c r="BZ26" s="26" t="e">
        <f t="shared" si="39"/>
        <v>#N/A</v>
      </c>
      <c r="CA26" s="26" t="e">
        <f t="shared" si="40"/>
        <v>#N/A</v>
      </c>
      <c r="CC26" s="29">
        <v>20</v>
      </c>
      <c r="CD26" s="26" t="e">
        <f t="shared" si="41"/>
        <v>#N/A</v>
      </c>
      <c r="CE26" s="26" t="e">
        <f t="shared" si="42"/>
        <v>#N/A</v>
      </c>
      <c r="CG26">
        <v>20</v>
      </c>
      <c r="CH26" s="24" t="e">
        <f t="shared" si="4"/>
        <v>#N/A</v>
      </c>
      <c r="CI26" s="24" t="e">
        <f t="shared" si="5"/>
        <v>#N/A</v>
      </c>
      <c r="CJ26" s="27">
        <f t="shared" si="43"/>
        <v>0</v>
      </c>
      <c r="CK26" s="27">
        <f t="shared" si="6"/>
        <v>0</v>
      </c>
      <c r="CL26" s="26">
        <f t="shared" si="7"/>
        <v>0</v>
      </c>
      <c r="CM26" s="26">
        <f t="shared" si="8"/>
        <v>0</v>
      </c>
      <c r="CN26" s="27">
        <f t="shared" si="9"/>
        <v>0</v>
      </c>
      <c r="CO26" s="27">
        <f t="shared" si="10"/>
        <v>0</v>
      </c>
      <c r="CP26" s="27">
        <f t="shared" si="11"/>
        <v>0</v>
      </c>
      <c r="CQ26" s="27">
        <f t="shared" si="12"/>
        <v>0</v>
      </c>
      <c r="CR26" s="24">
        <f t="shared" si="13"/>
        <v>0</v>
      </c>
      <c r="CS26" s="24">
        <f t="shared" si="14"/>
        <v>0</v>
      </c>
      <c r="CT26">
        <v>0</v>
      </c>
      <c r="CU26" s="24">
        <f t="shared" si="49"/>
        <v>0</v>
      </c>
      <c r="CV26" s="27">
        <f t="shared" si="15"/>
        <v>0</v>
      </c>
      <c r="CW26" s="27">
        <f t="shared" si="16"/>
        <v>0</v>
      </c>
      <c r="CX26" s="27">
        <f t="shared" si="17"/>
        <v>0</v>
      </c>
      <c r="CY26" s="27">
        <f t="shared" si="18"/>
        <v>0</v>
      </c>
      <c r="CZ26" s="24">
        <f t="shared" si="19"/>
        <v>0</v>
      </c>
      <c r="DA26" s="24">
        <f t="shared" si="20"/>
        <v>0</v>
      </c>
      <c r="DB26" s="27">
        <f t="shared" si="21"/>
        <v>0</v>
      </c>
      <c r="DC26" s="27">
        <f t="shared" si="22"/>
        <v>0</v>
      </c>
      <c r="DD26" s="27">
        <f t="shared" si="23"/>
        <v>0</v>
      </c>
      <c r="DE26" s="27">
        <f t="shared" si="24"/>
        <v>0</v>
      </c>
      <c r="DF26" s="24">
        <f t="shared" si="25"/>
        <v>0</v>
      </c>
      <c r="DG26" s="24">
        <f t="shared" si="26"/>
        <v>0</v>
      </c>
      <c r="DH26" s="24">
        <f t="shared" si="27"/>
        <v>0</v>
      </c>
      <c r="DI26" s="24">
        <f t="shared" si="28"/>
        <v>0</v>
      </c>
      <c r="DJ26" s="26">
        <f t="shared" si="50"/>
        <v>0</v>
      </c>
      <c r="DK26" s="26">
        <f t="shared" si="51"/>
        <v>0</v>
      </c>
      <c r="DP26" s="27"/>
      <c r="DQ26" s="27"/>
      <c r="DR26" s="27">
        <f t="shared" si="29"/>
        <v>0</v>
      </c>
      <c r="DS26" s="27">
        <f t="shared" si="30"/>
        <v>0</v>
      </c>
      <c r="DT26" s="27">
        <f t="shared" si="31"/>
        <v>0</v>
      </c>
      <c r="DU26" s="27">
        <f t="shared" si="32"/>
        <v>0</v>
      </c>
      <c r="DV26" s="27">
        <f t="shared" si="44"/>
        <v>0</v>
      </c>
      <c r="DW26" s="27">
        <f t="shared" si="45"/>
        <v>0</v>
      </c>
      <c r="DX26" s="27">
        <f t="shared" si="33"/>
        <v>0</v>
      </c>
      <c r="DY26" s="27">
        <f t="shared" si="34"/>
        <v>0</v>
      </c>
      <c r="DZ26" s="27">
        <f t="shared" si="35"/>
        <v>0</v>
      </c>
      <c r="EA26" s="27">
        <f t="shared" si="36"/>
        <v>0</v>
      </c>
      <c r="EB26" s="27">
        <f t="shared" si="46"/>
        <v>0</v>
      </c>
      <c r="EC26" s="27">
        <f t="shared" si="47"/>
        <v>0</v>
      </c>
    </row>
    <row r="27" spans="1:133" x14ac:dyDescent="0.35">
      <c r="A27" s="405"/>
      <c r="C27" s="31">
        <v>23</v>
      </c>
      <c r="D27" s="32">
        <v>9072.85</v>
      </c>
      <c r="E27" s="32">
        <v>10069.66</v>
      </c>
      <c r="F27" s="72"/>
      <c r="G27" s="31">
        <v>23</v>
      </c>
      <c r="H27" s="32">
        <v>16201.52</v>
      </c>
      <c r="I27" s="32">
        <v>17981.54</v>
      </c>
      <c r="W27" s="40" t="s">
        <v>32</v>
      </c>
      <c r="X27" s="40">
        <v>2</v>
      </c>
      <c r="Y27" s="41">
        <f t="shared" si="0"/>
        <v>0.52</v>
      </c>
      <c r="AA27" s="40">
        <v>7</v>
      </c>
      <c r="AB27" s="41">
        <v>0.83</v>
      </c>
      <c r="AC27" s="51"/>
      <c r="AH27" s="406"/>
      <c r="AN27" s="40">
        <v>23</v>
      </c>
      <c r="AO27" s="46">
        <v>1.5842000000000002E-2</v>
      </c>
      <c r="AQ27" s="40" t="s">
        <v>32</v>
      </c>
      <c r="AR27" s="40">
        <v>2</v>
      </c>
      <c r="AS27" s="49">
        <f t="shared" si="1"/>
        <v>0.09</v>
      </c>
      <c r="AT27" s="50"/>
      <c r="AY27" s="40" t="s">
        <v>32</v>
      </c>
      <c r="AZ27" s="40">
        <v>1</v>
      </c>
      <c r="BA27" s="40">
        <v>0.95299999999999996</v>
      </c>
      <c r="BE27" s="40">
        <v>41</v>
      </c>
      <c r="BF27" s="40">
        <v>3.0339999999999998</v>
      </c>
      <c r="BG27" s="40">
        <v>3.1869999999999998</v>
      </c>
      <c r="BJ27" s="406"/>
      <c r="BQ27">
        <v>21</v>
      </c>
      <c r="BR27" s="26" t="e">
        <f t="shared" si="37"/>
        <v>#N/A</v>
      </c>
      <c r="BS27" s="26" t="e">
        <f t="shared" si="38"/>
        <v>#N/A</v>
      </c>
      <c r="BT27" s="26"/>
      <c r="BU27" s="29">
        <v>21</v>
      </c>
      <c r="BV27" s="26" t="e">
        <f t="shared" si="2"/>
        <v>#N/A</v>
      </c>
      <c r="BW27" s="26" t="e">
        <f t="shared" si="3"/>
        <v>#N/A</v>
      </c>
      <c r="BY27" s="29">
        <v>21</v>
      </c>
      <c r="BZ27" s="26" t="e">
        <f t="shared" si="39"/>
        <v>#N/A</v>
      </c>
      <c r="CA27" s="26" t="e">
        <f t="shared" si="40"/>
        <v>#N/A</v>
      </c>
      <c r="CC27" s="29">
        <v>21</v>
      </c>
      <c r="CD27" s="26" t="e">
        <f t="shared" si="41"/>
        <v>#N/A</v>
      </c>
      <c r="CE27" s="26" t="e">
        <f t="shared" si="42"/>
        <v>#N/A</v>
      </c>
      <c r="CG27">
        <v>21</v>
      </c>
      <c r="CH27" s="24" t="e">
        <f t="shared" si="4"/>
        <v>#N/A</v>
      </c>
      <c r="CI27" s="24" t="e">
        <f t="shared" si="5"/>
        <v>#N/A</v>
      </c>
      <c r="CJ27" s="27">
        <f t="shared" si="43"/>
        <v>0</v>
      </c>
      <c r="CK27" s="27">
        <f t="shared" si="6"/>
        <v>0</v>
      </c>
      <c r="CL27" s="26">
        <f t="shared" si="7"/>
        <v>0</v>
      </c>
      <c r="CM27" s="26">
        <f t="shared" si="8"/>
        <v>0</v>
      </c>
      <c r="CN27" s="27">
        <f t="shared" si="9"/>
        <v>0</v>
      </c>
      <c r="CO27" s="27">
        <f t="shared" si="10"/>
        <v>0</v>
      </c>
      <c r="CP27" s="27">
        <f t="shared" si="11"/>
        <v>0</v>
      </c>
      <c r="CQ27" s="27">
        <f t="shared" si="12"/>
        <v>0</v>
      </c>
      <c r="CR27" s="24">
        <f t="shared" si="13"/>
        <v>0</v>
      </c>
      <c r="CS27" s="24">
        <f t="shared" si="14"/>
        <v>0</v>
      </c>
      <c r="CT27">
        <v>0</v>
      </c>
      <c r="CU27" s="24">
        <f t="shared" si="49"/>
        <v>0</v>
      </c>
      <c r="CV27" s="27">
        <f t="shared" si="15"/>
        <v>0</v>
      </c>
      <c r="CW27" s="27">
        <f t="shared" si="16"/>
        <v>0</v>
      </c>
      <c r="CX27" s="27">
        <f t="shared" si="17"/>
        <v>0</v>
      </c>
      <c r="CY27" s="27">
        <f t="shared" si="18"/>
        <v>0</v>
      </c>
      <c r="CZ27" s="24">
        <f t="shared" si="19"/>
        <v>0</v>
      </c>
      <c r="DA27" s="24">
        <f t="shared" si="20"/>
        <v>0</v>
      </c>
      <c r="DB27" s="27">
        <f t="shared" si="21"/>
        <v>0</v>
      </c>
      <c r="DC27" s="27">
        <f t="shared" si="22"/>
        <v>0</v>
      </c>
      <c r="DD27" s="27">
        <f t="shared" si="23"/>
        <v>0</v>
      </c>
      <c r="DE27" s="27">
        <f t="shared" si="24"/>
        <v>0</v>
      </c>
      <c r="DF27" s="24">
        <f t="shared" si="25"/>
        <v>0</v>
      </c>
      <c r="DG27" s="24">
        <f t="shared" si="26"/>
        <v>0</v>
      </c>
      <c r="DH27" s="24">
        <f t="shared" si="27"/>
        <v>0</v>
      </c>
      <c r="DI27" s="24">
        <f t="shared" si="28"/>
        <v>0</v>
      </c>
      <c r="DJ27" s="26">
        <f t="shared" si="50"/>
        <v>0</v>
      </c>
      <c r="DK27" s="26">
        <f t="shared" si="51"/>
        <v>0</v>
      </c>
      <c r="DP27" s="27"/>
      <c r="DQ27" s="27"/>
      <c r="DR27" s="27">
        <f t="shared" si="29"/>
        <v>0</v>
      </c>
      <c r="DS27" s="27">
        <f t="shared" si="30"/>
        <v>0</v>
      </c>
      <c r="DT27" s="27">
        <f t="shared" si="31"/>
        <v>0</v>
      </c>
      <c r="DU27" s="27">
        <f t="shared" si="32"/>
        <v>0</v>
      </c>
      <c r="DV27" s="27">
        <f t="shared" si="44"/>
        <v>0</v>
      </c>
      <c r="DW27" s="27">
        <f t="shared" si="45"/>
        <v>0</v>
      </c>
      <c r="DX27" s="27">
        <f t="shared" si="33"/>
        <v>0</v>
      </c>
      <c r="DY27" s="27">
        <f t="shared" si="34"/>
        <v>0</v>
      </c>
      <c r="DZ27" s="27">
        <f t="shared" si="35"/>
        <v>0</v>
      </c>
      <c r="EA27" s="27">
        <f t="shared" si="36"/>
        <v>0</v>
      </c>
      <c r="EB27" s="27">
        <f t="shared" si="46"/>
        <v>0</v>
      </c>
      <c r="EC27" s="27">
        <f t="shared" si="47"/>
        <v>0</v>
      </c>
    </row>
    <row r="28" spans="1:133" x14ac:dyDescent="0.35">
      <c r="A28" s="405"/>
      <c r="C28" s="31">
        <v>24</v>
      </c>
      <c r="D28" s="32">
        <v>9214.34</v>
      </c>
      <c r="E28" s="32">
        <v>10303.75</v>
      </c>
      <c r="F28" s="72"/>
      <c r="G28" s="31">
        <v>24</v>
      </c>
      <c r="H28" s="32">
        <v>16454.18</v>
      </c>
      <c r="I28" s="32">
        <v>18399.55</v>
      </c>
      <c r="W28" s="40" t="s">
        <v>33</v>
      </c>
      <c r="X28" s="40">
        <v>3</v>
      </c>
      <c r="Y28" s="41">
        <f t="shared" si="0"/>
        <v>0.62</v>
      </c>
      <c r="AA28" s="40">
        <v>8</v>
      </c>
      <c r="AB28" s="40">
        <v>0.63</v>
      </c>
      <c r="AH28" s="406"/>
      <c r="AN28" s="40">
        <v>24</v>
      </c>
      <c r="AO28" s="46">
        <v>2.2080000000000002E-2</v>
      </c>
      <c r="AQ28" s="40" t="s">
        <v>33</v>
      </c>
      <c r="AR28" s="40">
        <v>3</v>
      </c>
      <c r="AS28" s="49">
        <f t="shared" si="1"/>
        <v>6.9000000000000006E-2</v>
      </c>
      <c r="AT28" s="50"/>
      <c r="AU28" s="386" t="s">
        <v>160</v>
      </c>
      <c r="AV28" s="386"/>
      <c r="AY28" s="40" t="s">
        <v>33</v>
      </c>
      <c r="AZ28" s="40">
        <v>2</v>
      </c>
      <c r="BA28" s="40">
        <v>0.47649999999999998</v>
      </c>
      <c r="BE28" s="40">
        <v>42</v>
      </c>
      <c r="BF28" s="40">
        <v>3.5</v>
      </c>
      <c r="BG28" s="40">
        <v>3.6150000000000002</v>
      </c>
      <c r="BJ28" s="406"/>
      <c r="BQ28">
        <v>22</v>
      </c>
      <c r="BR28" s="26" t="e">
        <f t="shared" si="37"/>
        <v>#N/A</v>
      </c>
      <c r="BS28" s="26" t="e">
        <f t="shared" si="38"/>
        <v>#N/A</v>
      </c>
      <c r="BT28" s="26"/>
      <c r="BU28" s="29">
        <v>22</v>
      </c>
      <c r="BV28" s="26" t="e">
        <f t="shared" si="2"/>
        <v>#N/A</v>
      </c>
      <c r="BW28" s="26" t="e">
        <f t="shared" si="3"/>
        <v>#N/A</v>
      </c>
      <c r="BY28" s="29">
        <v>22</v>
      </c>
      <c r="BZ28" s="26" t="e">
        <f t="shared" si="39"/>
        <v>#N/A</v>
      </c>
      <c r="CA28" s="26" t="e">
        <f t="shared" si="40"/>
        <v>#N/A</v>
      </c>
      <c r="CC28" s="29">
        <v>22</v>
      </c>
      <c r="CD28" s="26" t="e">
        <f t="shared" si="41"/>
        <v>#N/A</v>
      </c>
      <c r="CE28" s="26" t="e">
        <f t="shared" si="42"/>
        <v>#N/A</v>
      </c>
      <c r="CG28">
        <v>22</v>
      </c>
      <c r="CH28" s="24" t="e">
        <f t="shared" si="4"/>
        <v>#N/A</v>
      </c>
      <c r="CI28" s="24" t="e">
        <f t="shared" si="5"/>
        <v>#N/A</v>
      </c>
      <c r="CJ28" s="27">
        <f t="shared" si="43"/>
        <v>0</v>
      </c>
      <c r="CK28" s="27">
        <f t="shared" si="6"/>
        <v>0</v>
      </c>
      <c r="CL28" s="26">
        <f t="shared" si="7"/>
        <v>0</v>
      </c>
      <c r="CM28" s="26">
        <f t="shared" si="8"/>
        <v>0</v>
      </c>
      <c r="CN28" s="27">
        <f t="shared" si="9"/>
        <v>0</v>
      </c>
      <c r="CO28" s="27">
        <f t="shared" si="10"/>
        <v>0</v>
      </c>
      <c r="CP28" s="27">
        <f t="shared" si="11"/>
        <v>0</v>
      </c>
      <c r="CQ28" s="27">
        <f t="shared" si="12"/>
        <v>0</v>
      </c>
      <c r="CR28" s="24">
        <f t="shared" si="13"/>
        <v>0</v>
      </c>
      <c r="CS28" s="24">
        <f t="shared" si="14"/>
        <v>0</v>
      </c>
      <c r="CT28">
        <v>0</v>
      </c>
      <c r="CU28" s="24">
        <f t="shared" si="49"/>
        <v>0</v>
      </c>
      <c r="CV28" s="27">
        <f t="shared" si="15"/>
        <v>0</v>
      </c>
      <c r="CW28" s="27">
        <f t="shared" si="16"/>
        <v>0</v>
      </c>
      <c r="CX28" s="27">
        <f t="shared" si="17"/>
        <v>0</v>
      </c>
      <c r="CY28" s="27">
        <f t="shared" si="18"/>
        <v>0</v>
      </c>
      <c r="CZ28" s="24">
        <f t="shared" si="19"/>
        <v>0</v>
      </c>
      <c r="DA28" s="24">
        <f t="shared" si="20"/>
        <v>0</v>
      </c>
      <c r="DB28" s="27">
        <f t="shared" si="21"/>
        <v>0</v>
      </c>
      <c r="DC28" s="27">
        <f t="shared" si="22"/>
        <v>0</v>
      </c>
      <c r="DD28" s="27">
        <f t="shared" si="23"/>
        <v>0</v>
      </c>
      <c r="DE28" s="27">
        <f t="shared" si="24"/>
        <v>0</v>
      </c>
      <c r="DF28" s="24">
        <f t="shared" si="25"/>
        <v>0</v>
      </c>
      <c r="DG28" s="24">
        <f t="shared" si="26"/>
        <v>0</v>
      </c>
      <c r="DH28" s="24">
        <f t="shared" si="27"/>
        <v>0</v>
      </c>
      <c r="DI28" s="24">
        <f t="shared" si="28"/>
        <v>0</v>
      </c>
      <c r="DJ28" s="26">
        <f t="shared" si="50"/>
        <v>0</v>
      </c>
      <c r="DK28" s="26">
        <f t="shared" si="51"/>
        <v>0</v>
      </c>
      <c r="DP28" s="27"/>
      <c r="DQ28" s="27"/>
      <c r="DR28" s="27">
        <f t="shared" si="29"/>
        <v>0</v>
      </c>
      <c r="DS28" s="27">
        <f t="shared" si="30"/>
        <v>0</v>
      </c>
      <c r="DT28" s="27">
        <f t="shared" si="31"/>
        <v>0</v>
      </c>
      <c r="DU28" s="27">
        <f t="shared" si="32"/>
        <v>0</v>
      </c>
      <c r="DV28" s="27">
        <f t="shared" si="44"/>
        <v>0</v>
      </c>
      <c r="DW28" s="27">
        <f t="shared" si="45"/>
        <v>0</v>
      </c>
      <c r="DX28" s="27">
        <f t="shared" si="33"/>
        <v>0</v>
      </c>
      <c r="DY28" s="27">
        <f t="shared" si="34"/>
        <v>0</v>
      </c>
      <c r="DZ28" s="27">
        <f t="shared" si="35"/>
        <v>0</v>
      </c>
      <c r="EA28" s="27">
        <f t="shared" si="36"/>
        <v>0</v>
      </c>
      <c r="EB28" s="27">
        <f t="shared" si="46"/>
        <v>0</v>
      </c>
      <c r="EC28" s="27">
        <f t="shared" si="47"/>
        <v>0</v>
      </c>
    </row>
    <row r="29" spans="1:133" x14ac:dyDescent="0.35">
      <c r="A29" s="405"/>
      <c r="C29" s="31">
        <v>25</v>
      </c>
      <c r="D29" s="32">
        <v>9367.39</v>
      </c>
      <c r="E29" s="32">
        <v>11051.03</v>
      </c>
      <c r="F29" s="72"/>
      <c r="G29" s="31">
        <v>25</v>
      </c>
      <c r="H29" s="32">
        <v>16727.48</v>
      </c>
      <c r="I29" s="32">
        <v>19733.98</v>
      </c>
      <c r="W29" s="40" t="s">
        <v>34</v>
      </c>
      <c r="X29" s="320">
        <v>2</v>
      </c>
      <c r="Y29" s="41">
        <f t="shared" si="0"/>
        <v>0.52</v>
      </c>
      <c r="AA29" s="40">
        <v>9</v>
      </c>
      <c r="AB29" s="41">
        <v>0.69</v>
      </c>
      <c r="AH29" s="406"/>
      <c r="AN29" s="40">
        <v>25</v>
      </c>
      <c r="AO29" s="46">
        <v>2.9918E-2</v>
      </c>
      <c r="AQ29" s="40" t="s">
        <v>34</v>
      </c>
      <c r="AR29" s="320">
        <v>2</v>
      </c>
      <c r="AS29" s="49">
        <f t="shared" si="1"/>
        <v>0.09</v>
      </c>
      <c r="AT29" s="50"/>
      <c r="AU29" s="30" t="s">
        <v>159</v>
      </c>
      <c r="AV29" s="30" t="s">
        <v>250</v>
      </c>
      <c r="AY29" s="40" t="s">
        <v>34</v>
      </c>
      <c r="AZ29" s="320">
        <v>1</v>
      </c>
      <c r="BA29" s="40">
        <v>0.47649999999999998</v>
      </c>
      <c r="BE29" s="40">
        <v>43</v>
      </c>
      <c r="BF29" s="40">
        <v>3.964</v>
      </c>
      <c r="BG29" s="40">
        <v>3.9340000000000002</v>
      </c>
      <c r="BJ29" s="406"/>
      <c r="BL29" s="3" t="s">
        <v>73</v>
      </c>
      <c r="BM29" s="4"/>
      <c r="BN29" s="4"/>
      <c r="BQ29">
        <v>23</v>
      </c>
      <c r="BR29" s="26" t="e">
        <f t="shared" si="37"/>
        <v>#N/A</v>
      </c>
      <c r="BS29" s="26" t="e">
        <f t="shared" si="38"/>
        <v>#N/A</v>
      </c>
      <c r="BT29" s="26"/>
      <c r="BU29" s="29">
        <v>23</v>
      </c>
      <c r="BV29" s="26" t="e">
        <f t="shared" si="2"/>
        <v>#N/A</v>
      </c>
      <c r="BW29" s="26" t="e">
        <f t="shared" si="3"/>
        <v>#N/A</v>
      </c>
      <c r="BY29" s="29">
        <v>23</v>
      </c>
      <c r="BZ29" s="26" t="e">
        <f t="shared" si="39"/>
        <v>#N/A</v>
      </c>
      <c r="CA29" s="26" t="e">
        <f t="shared" si="40"/>
        <v>#N/A</v>
      </c>
      <c r="CC29" s="29">
        <v>23</v>
      </c>
      <c r="CD29" s="26" t="e">
        <f t="shared" si="41"/>
        <v>#N/A</v>
      </c>
      <c r="CE29" s="26" t="e">
        <f t="shared" si="42"/>
        <v>#N/A</v>
      </c>
      <c r="CG29">
        <v>23</v>
      </c>
      <c r="CH29" s="24" t="e">
        <f t="shared" si="4"/>
        <v>#N/A</v>
      </c>
      <c r="CI29" s="24" t="e">
        <f t="shared" si="5"/>
        <v>#N/A</v>
      </c>
      <c r="CJ29" s="27">
        <f t="shared" si="43"/>
        <v>0</v>
      </c>
      <c r="CK29" s="27">
        <f t="shared" si="6"/>
        <v>0</v>
      </c>
      <c r="CL29" s="26">
        <f t="shared" si="7"/>
        <v>0</v>
      </c>
      <c r="CM29" s="26">
        <f t="shared" si="8"/>
        <v>0</v>
      </c>
      <c r="CN29" s="27">
        <f t="shared" si="9"/>
        <v>0</v>
      </c>
      <c r="CO29" s="27">
        <f t="shared" si="10"/>
        <v>0</v>
      </c>
      <c r="CP29" s="27">
        <f t="shared" si="11"/>
        <v>0</v>
      </c>
      <c r="CQ29" s="27">
        <f t="shared" si="12"/>
        <v>0</v>
      </c>
      <c r="CR29" s="24">
        <f t="shared" si="13"/>
        <v>0</v>
      </c>
      <c r="CS29" s="24">
        <f t="shared" si="14"/>
        <v>0</v>
      </c>
      <c r="CT29">
        <v>0</v>
      </c>
      <c r="CU29" s="24">
        <f t="shared" si="49"/>
        <v>0</v>
      </c>
      <c r="CV29" s="27">
        <f t="shared" si="15"/>
        <v>0</v>
      </c>
      <c r="CW29" s="27">
        <f t="shared" si="16"/>
        <v>0</v>
      </c>
      <c r="CX29" s="27">
        <f t="shared" si="17"/>
        <v>0</v>
      </c>
      <c r="CY29" s="27">
        <f t="shared" si="18"/>
        <v>0</v>
      </c>
      <c r="CZ29" s="24">
        <f t="shared" si="19"/>
        <v>0</v>
      </c>
      <c r="DA29" s="24">
        <f t="shared" si="20"/>
        <v>0</v>
      </c>
      <c r="DB29" s="27">
        <f t="shared" si="21"/>
        <v>0</v>
      </c>
      <c r="DC29" s="27">
        <f t="shared" si="22"/>
        <v>0</v>
      </c>
      <c r="DD29" s="27">
        <f t="shared" si="23"/>
        <v>0</v>
      </c>
      <c r="DE29" s="27">
        <f t="shared" si="24"/>
        <v>0</v>
      </c>
      <c r="DF29" s="24">
        <f t="shared" si="25"/>
        <v>0</v>
      </c>
      <c r="DG29" s="24">
        <f t="shared" si="26"/>
        <v>0</v>
      </c>
      <c r="DH29" s="24">
        <f t="shared" si="27"/>
        <v>0</v>
      </c>
      <c r="DI29" s="24">
        <f t="shared" si="28"/>
        <v>0</v>
      </c>
      <c r="DJ29" s="26">
        <f t="shared" si="50"/>
        <v>0</v>
      </c>
      <c r="DK29" s="26">
        <f t="shared" si="51"/>
        <v>0</v>
      </c>
      <c r="DP29" s="27"/>
      <c r="DQ29" s="27"/>
      <c r="DR29" s="27">
        <f t="shared" si="29"/>
        <v>0</v>
      </c>
      <c r="DS29" s="27">
        <f t="shared" si="30"/>
        <v>0</v>
      </c>
      <c r="DT29" s="27">
        <f t="shared" si="31"/>
        <v>0</v>
      </c>
      <c r="DU29" s="27">
        <f t="shared" si="32"/>
        <v>0</v>
      </c>
      <c r="DV29" s="27">
        <f t="shared" si="44"/>
        <v>0</v>
      </c>
      <c r="DW29" s="27">
        <f t="shared" si="45"/>
        <v>0</v>
      </c>
      <c r="DX29" s="27">
        <f t="shared" si="33"/>
        <v>0</v>
      </c>
      <c r="DY29" s="27">
        <f t="shared" si="34"/>
        <v>0</v>
      </c>
      <c r="DZ29" s="27">
        <f t="shared" si="35"/>
        <v>0</v>
      </c>
      <c r="EA29" s="27">
        <f t="shared" si="36"/>
        <v>0</v>
      </c>
      <c r="EB29" s="27">
        <f t="shared" si="46"/>
        <v>0</v>
      </c>
      <c r="EC29" s="27">
        <f t="shared" si="47"/>
        <v>0</v>
      </c>
    </row>
    <row r="30" spans="1:133" x14ac:dyDescent="0.35">
      <c r="A30" s="405"/>
      <c r="C30" s="31">
        <v>26</v>
      </c>
      <c r="D30" s="32">
        <v>9533.31</v>
      </c>
      <c r="E30" s="32">
        <v>11480.62</v>
      </c>
      <c r="F30" s="72"/>
      <c r="G30" s="31">
        <v>26</v>
      </c>
      <c r="H30" s="32">
        <v>17023.77</v>
      </c>
      <c r="I30" s="32">
        <v>20501.11</v>
      </c>
      <c r="W30" s="40" t="s">
        <v>35</v>
      </c>
      <c r="X30" s="40">
        <v>2</v>
      </c>
      <c r="Y30" s="41">
        <f t="shared" si="0"/>
        <v>0.52</v>
      </c>
      <c r="AH30" s="406"/>
      <c r="AN30" s="40">
        <v>26</v>
      </c>
      <c r="AO30" s="46">
        <v>3.9536000000000002E-2</v>
      </c>
      <c r="AQ30" s="40" t="s">
        <v>35</v>
      </c>
      <c r="AR30" s="40">
        <v>2</v>
      </c>
      <c r="AS30" s="49">
        <f t="shared" si="1"/>
        <v>0.09</v>
      </c>
      <c r="AT30" s="50"/>
      <c r="AU30" s="38">
        <v>1</v>
      </c>
      <c r="AV30" s="375">
        <v>0.104</v>
      </c>
      <c r="AW30" s="376"/>
      <c r="AY30" s="40" t="s">
        <v>35</v>
      </c>
      <c r="AZ30" s="40">
        <v>1</v>
      </c>
      <c r="BA30" s="40">
        <v>0.95299999999999996</v>
      </c>
      <c r="BE30" s="40">
        <v>44</v>
      </c>
      <c r="BF30" s="40">
        <v>4.4290000000000003</v>
      </c>
      <c r="BG30" s="40">
        <v>4.2530000000000001</v>
      </c>
      <c r="BJ30" s="406"/>
      <c r="BL30" s="365" t="s">
        <v>65</v>
      </c>
      <c r="BM30" s="365" t="s">
        <v>66</v>
      </c>
      <c r="BN30" s="365" t="s">
        <v>67</v>
      </c>
      <c r="BQ30">
        <v>24</v>
      </c>
      <c r="BR30" s="26" t="e">
        <f t="shared" si="37"/>
        <v>#N/A</v>
      </c>
      <c r="BS30" s="26" t="e">
        <f t="shared" si="38"/>
        <v>#N/A</v>
      </c>
      <c r="BT30" s="26"/>
      <c r="BU30" s="29">
        <v>24</v>
      </c>
      <c r="BV30" s="26" t="e">
        <f t="shared" si="2"/>
        <v>#N/A</v>
      </c>
      <c r="BW30" s="26" t="e">
        <f t="shared" si="3"/>
        <v>#N/A</v>
      </c>
      <c r="BY30" s="29">
        <v>24</v>
      </c>
      <c r="BZ30" s="26" t="e">
        <f t="shared" si="39"/>
        <v>#N/A</v>
      </c>
      <c r="CA30" s="26" t="e">
        <f t="shared" si="40"/>
        <v>#N/A</v>
      </c>
      <c r="CC30" s="29">
        <v>24</v>
      </c>
      <c r="CD30" s="26" t="e">
        <f t="shared" si="41"/>
        <v>#N/A</v>
      </c>
      <c r="CE30" s="26" t="e">
        <f t="shared" si="42"/>
        <v>#N/A</v>
      </c>
      <c r="CG30">
        <v>24</v>
      </c>
      <c r="CH30" s="24" t="e">
        <f t="shared" si="4"/>
        <v>#N/A</v>
      </c>
      <c r="CI30" s="24" t="e">
        <f t="shared" si="5"/>
        <v>#N/A</v>
      </c>
      <c r="CJ30" s="27">
        <f t="shared" si="43"/>
        <v>0</v>
      </c>
      <c r="CK30" s="27">
        <f t="shared" si="6"/>
        <v>0</v>
      </c>
      <c r="CL30" s="26">
        <f t="shared" si="7"/>
        <v>0</v>
      </c>
      <c r="CM30" s="26">
        <f t="shared" si="8"/>
        <v>0</v>
      </c>
      <c r="CN30" s="27">
        <f t="shared" si="9"/>
        <v>0</v>
      </c>
      <c r="CO30" s="27">
        <f t="shared" si="10"/>
        <v>0</v>
      </c>
      <c r="CP30" s="27">
        <f t="shared" si="11"/>
        <v>0</v>
      </c>
      <c r="CQ30" s="27">
        <f t="shared" si="12"/>
        <v>0</v>
      </c>
      <c r="CR30" s="24">
        <f t="shared" si="13"/>
        <v>0</v>
      </c>
      <c r="CS30" s="24">
        <f t="shared" si="14"/>
        <v>0</v>
      </c>
      <c r="CT30">
        <v>0</v>
      </c>
      <c r="CU30" s="24">
        <f t="shared" si="49"/>
        <v>0</v>
      </c>
      <c r="CV30" s="27">
        <f t="shared" si="15"/>
        <v>0</v>
      </c>
      <c r="CW30" s="27">
        <f t="shared" si="16"/>
        <v>0</v>
      </c>
      <c r="CX30" s="27">
        <f t="shared" si="17"/>
        <v>0</v>
      </c>
      <c r="CY30" s="27">
        <f t="shared" si="18"/>
        <v>0</v>
      </c>
      <c r="CZ30" s="24">
        <f t="shared" si="19"/>
        <v>0</v>
      </c>
      <c r="DA30" s="24">
        <f t="shared" si="20"/>
        <v>0</v>
      </c>
      <c r="DB30" s="27">
        <f t="shared" si="21"/>
        <v>0</v>
      </c>
      <c r="DC30" s="27">
        <f t="shared" si="22"/>
        <v>0</v>
      </c>
      <c r="DD30" s="27">
        <f t="shared" si="23"/>
        <v>0</v>
      </c>
      <c r="DE30" s="27">
        <f t="shared" si="24"/>
        <v>0</v>
      </c>
      <c r="DF30" s="24">
        <f t="shared" si="25"/>
        <v>0</v>
      </c>
      <c r="DG30" s="24">
        <f t="shared" si="26"/>
        <v>0</v>
      </c>
      <c r="DH30" s="24">
        <f t="shared" si="27"/>
        <v>0</v>
      </c>
      <c r="DI30" s="24">
        <f t="shared" si="28"/>
        <v>0</v>
      </c>
      <c r="DJ30" s="26">
        <f t="shared" si="50"/>
        <v>0</v>
      </c>
      <c r="DK30" s="26">
        <f t="shared" si="51"/>
        <v>0</v>
      </c>
      <c r="DP30" s="27"/>
      <c r="DQ30" s="27"/>
      <c r="DR30" s="27">
        <f t="shared" si="29"/>
        <v>0</v>
      </c>
      <c r="DS30" s="27">
        <f t="shared" si="30"/>
        <v>0</v>
      </c>
      <c r="DT30" s="27">
        <f t="shared" si="31"/>
        <v>0</v>
      </c>
      <c r="DU30" s="27">
        <f t="shared" si="32"/>
        <v>0</v>
      </c>
      <c r="DV30" s="27">
        <f t="shared" si="44"/>
        <v>0</v>
      </c>
      <c r="DW30" s="27">
        <f t="shared" si="45"/>
        <v>0</v>
      </c>
      <c r="DX30" s="27">
        <f t="shared" si="33"/>
        <v>0</v>
      </c>
      <c r="DY30" s="27">
        <f t="shared" si="34"/>
        <v>0</v>
      </c>
      <c r="DZ30" s="27">
        <f t="shared" si="35"/>
        <v>0</v>
      </c>
      <c r="EA30" s="27">
        <f t="shared" si="36"/>
        <v>0</v>
      </c>
      <c r="EB30" s="27">
        <f t="shared" si="46"/>
        <v>0</v>
      </c>
      <c r="EC30" s="27">
        <f t="shared" si="47"/>
        <v>0</v>
      </c>
    </row>
    <row r="31" spans="1:133" x14ac:dyDescent="0.35">
      <c r="A31" s="405"/>
      <c r="C31" s="31">
        <v>27</v>
      </c>
      <c r="D31" s="32">
        <v>9714.67</v>
      </c>
      <c r="E31" s="32">
        <v>12561.03</v>
      </c>
      <c r="F31" s="72"/>
      <c r="G31" s="31">
        <v>27</v>
      </c>
      <c r="H31" s="32">
        <v>17347.63</v>
      </c>
      <c r="I31" s="32">
        <v>22430.41</v>
      </c>
      <c r="W31" s="40" t="s">
        <v>36</v>
      </c>
      <c r="X31" s="40">
        <v>2</v>
      </c>
      <c r="Y31" s="41">
        <f t="shared" si="0"/>
        <v>0.52</v>
      </c>
      <c r="AH31" s="406"/>
      <c r="AN31" s="40">
        <v>27</v>
      </c>
      <c r="AO31" s="46">
        <v>8.7098143324294316E-2</v>
      </c>
      <c r="AQ31" s="40" t="s">
        <v>36</v>
      </c>
      <c r="AR31" s="40">
        <v>2</v>
      </c>
      <c r="AS31" s="49">
        <f t="shared" si="1"/>
        <v>0.09</v>
      </c>
      <c r="AT31" s="50"/>
      <c r="AU31" s="38">
        <v>2</v>
      </c>
      <c r="AV31" s="375">
        <v>0.09</v>
      </c>
      <c r="AW31" s="376"/>
      <c r="AY31" s="40" t="s">
        <v>36</v>
      </c>
      <c r="AZ31" s="40">
        <v>2</v>
      </c>
      <c r="BA31" s="40">
        <v>0.47649999999999998</v>
      </c>
      <c r="BE31" s="40">
        <v>45</v>
      </c>
      <c r="BF31" s="40">
        <v>4.8949999999999996</v>
      </c>
      <c r="BG31" s="40">
        <v>4.5430000000000001</v>
      </c>
      <c r="BJ31" s="406"/>
      <c r="BL31" s="365" t="s">
        <v>63</v>
      </c>
      <c r="BM31" s="367">
        <v>0</v>
      </c>
      <c r="BN31" s="365">
        <v>1</v>
      </c>
      <c r="BQ31">
        <v>25</v>
      </c>
      <c r="BR31" s="26" t="e">
        <f t="shared" si="37"/>
        <v>#N/A</v>
      </c>
      <c r="BS31" s="26" t="e">
        <f t="shared" si="38"/>
        <v>#N/A</v>
      </c>
      <c r="BT31" s="26"/>
      <c r="BU31" s="29">
        <v>25</v>
      </c>
      <c r="BV31" s="26" t="e">
        <f t="shared" si="2"/>
        <v>#N/A</v>
      </c>
      <c r="BW31" s="26" t="e">
        <f t="shared" si="3"/>
        <v>#N/A</v>
      </c>
      <c r="BY31" s="29">
        <v>25</v>
      </c>
      <c r="BZ31" s="26" t="e">
        <f t="shared" si="39"/>
        <v>#N/A</v>
      </c>
      <c r="CA31" s="26" t="e">
        <f t="shared" si="40"/>
        <v>#N/A</v>
      </c>
      <c r="CC31" s="29">
        <v>25</v>
      </c>
      <c r="CD31" s="26" t="e">
        <f t="shared" si="41"/>
        <v>#N/A</v>
      </c>
      <c r="CE31" s="26" t="e">
        <f t="shared" si="42"/>
        <v>#N/A</v>
      </c>
      <c r="CG31">
        <v>25</v>
      </c>
      <c r="CH31" s="24" t="e">
        <f t="shared" si="4"/>
        <v>#N/A</v>
      </c>
      <c r="CI31" s="24" t="e">
        <f t="shared" si="5"/>
        <v>#N/A</v>
      </c>
      <c r="CJ31" s="27">
        <f t="shared" si="43"/>
        <v>0</v>
      </c>
      <c r="CK31" s="27">
        <f t="shared" si="6"/>
        <v>0</v>
      </c>
      <c r="CL31" s="26">
        <f t="shared" si="7"/>
        <v>0</v>
      </c>
      <c r="CM31" s="26">
        <f t="shared" si="8"/>
        <v>0</v>
      </c>
      <c r="CN31" s="27">
        <f t="shared" si="9"/>
        <v>0</v>
      </c>
      <c r="CO31" s="27">
        <f t="shared" si="10"/>
        <v>0</v>
      </c>
      <c r="CP31" s="27">
        <f t="shared" si="11"/>
        <v>0</v>
      </c>
      <c r="CQ31" s="27">
        <f t="shared" si="12"/>
        <v>0</v>
      </c>
      <c r="CR31" s="24">
        <f t="shared" si="13"/>
        <v>0</v>
      </c>
      <c r="CS31" s="24">
        <f t="shared" si="14"/>
        <v>0</v>
      </c>
      <c r="CT31">
        <v>0</v>
      </c>
      <c r="CU31" s="24">
        <f t="shared" si="49"/>
        <v>0</v>
      </c>
      <c r="CV31" s="27">
        <f t="shared" si="15"/>
        <v>0</v>
      </c>
      <c r="CW31" s="27">
        <f t="shared" si="16"/>
        <v>0</v>
      </c>
      <c r="CX31" s="27">
        <f t="shared" si="17"/>
        <v>0</v>
      </c>
      <c r="CY31" s="27">
        <f t="shared" si="18"/>
        <v>0</v>
      </c>
      <c r="CZ31" s="24">
        <f t="shared" si="19"/>
        <v>0</v>
      </c>
      <c r="DA31" s="24">
        <f t="shared" si="20"/>
        <v>0</v>
      </c>
      <c r="DB31" s="27">
        <f t="shared" si="21"/>
        <v>0</v>
      </c>
      <c r="DC31" s="27">
        <f t="shared" si="22"/>
        <v>0</v>
      </c>
      <c r="DD31" s="27">
        <f t="shared" si="23"/>
        <v>0</v>
      </c>
      <c r="DE31" s="27">
        <f t="shared" si="24"/>
        <v>0</v>
      </c>
      <c r="DF31" s="24">
        <f t="shared" si="25"/>
        <v>0</v>
      </c>
      <c r="DG31" s="24">
        <f t="shared" si="26"/>
        <v>0</v>
      </c>
      <c r="DH31" s="24">
        <f t="shared" si="27"/>
        <v>0</v>
      </c>
      <c r="DI31" s="24">
        <f t="shared" si="28"/>
        <v>0</v>
      </c>
      <c r="DJ31" s="26">
        <f t="shared" si="50"/>
        <v>0</v>
      </c>
      <c r="DK31" s="26">
        <f t="shared" si="51"/>
        <v>0</v>
      </c>
      <c r="DP31" s="27"/>
      <c r="DQ31" s="27"/>
      <c r="DR31" s="27">
        <f t="shared" si="29"/>
        <v>0</v>
      </c>
      <c r="DS31" s="27">
        <f t="shared" si="30"/>
        <v>0</v>
      </c>
      <c r="DT31" s="27">
        <f t="shared" si="31"/>
        <v>0</v>
      </c>
      <c r="DU31" s="27">
        <f t="shared" si="32"/>
        <v>0</v>
      </c>
      <c r="DV31" s="27">
        <f t="shared" si="44"/>
        <v>0</v>
      </c>
      <c r="DW31" s="27">
        <f t="shared" si="45"/>
        <v>0</v>
      </c>
      <c r="DX31" s="27">
        <f t="shared" si="33"/>
        <v>0</v>
      </c>
      <c r="DY31" s="27">
        <f t="shared" si="34"/>
        <v>0</v>
      </c>
      <c r="DZ31" s="27">
        <f t="shared" si="35"/>
        <v>0</v>
      </c>
      <c r="EA31" s="27">
        <f t="shared" si="36"/>
        <v>0</v>
      </c>
      <c r="EB31" s="27">
        <f t="shared" si="46"/>
        <v>0</v>
      </c>
      <c r="EC31" s="27">
        <f t="shared" si="47"/>
        <v>0</v>
      </c>
    </row>
    <row r="32" spans="1:133" x14ac:dyDescent="0.35">
      <c r="A32" s="405"/>
      <c r="C32" s="31">
        <v>28</v>
      </c>
      <c r="D32" s="32">
        <v>9912.74</v>
      </c>
      <c r="E32" s="32">
        <v>13000.91</v>
      </c>
      <c r="F32" s="72"/>
      <c r="G32" s="31">
        <v>28</v>
      </c>
      <c r="H32" s="32">
        <v>17701.32</v>
      </c>
      <c r="I32" s="32">
        <v>23215.91</v>
      </c>
      <c r="W32" s="40" t="s">
        <v>37</v>
      </c>
      <c r="X32" s="40">
        <v>2</v>
      </c>
      <c r="Y32" s="41">
        <f t="shared" si="0"/>
        <v>0.52</v>
      </c>
      <c r="AH32" s="406"/>
      <c r="AN32" s="40">
        <v>28</v>
      </c>
      <c r="AO32" s="46">
        <v>9.4598143324294309E-2</v>
      </c>
      <c r="AQ32" s="40" t="s">
        <v>37</v>
      </c>
      <c r="AR32" s="40">
        <v>2</v>
      </c>
      <c r="AS32" s="49">
        <f t="shared" si="1"/>
        <v>0.09</v>
      </c>
      <c r="AT32" s="50"/>
      <c r="AU32" s="38">
        <v>3</v>
      </c>
      <c r="AV32" s="375">
        <v>6.9000000000000006E-2</v>
      </c>
      <c r="AW32" s="376"/>
      <c r="AY32" s="40" t="s">
        <v>37</v>
      </c>
      <c r="AZ32" s="40">
        <v>1</v>
      </c>
      <c r="BA32" s="40">
        <v>0.95299999999999996</v>
      </c>
      <c r="BE32" s="40">
        <v>46</v>
      </c>
      <c r="BF32" s="40">
        <v>5.36</v>
      </c>
      <c r="BG32" s="40">
        <v>4.8319999999999999</v>
      </c>
      <c r="BJ32" s="406"/>
      <c r="BL32" s="365" t="s">
        <v>68</v>
      </c>
      <c r="BM32" s="367">
        <v>0.04</v>
      </c>
      <c r="BN32" s="365">
        <v>2</v>
      </c>
      <c r="BQ32">
        <v>26</v>
      </c>
      <c r="BR32" s="26" t="e">
        <f t="shared" si="37"/>
        <v>#N/A</v>
      </c>
      <c r="BS32" s="26" t="e">
        <f t="shared" si="38"/>
        <v>#N/A</v>
      </c>
      <c r="BT32" s="26"/>
      <c r="BU32" s="29">
        <v>26</v>
      </c>
      <c r="BV32" s="26" t="e">
        <f t="shared" si="2"/>
        <v>#N/A</v>
      </c>
      <c r="BW32" s="26" t="e">
        <f t="shared" si="3"/>
        <v>#N/A</v>
      </c>
      <c r="BY32" s="29">
        <v>26</v>
      </c>
      <c r="BZ32" s="26" t="e">
        <f t="shared" si="39"/>
        <v>#N/A</v>
      </c>
      <c r="CA32" s="26" t="e">
        <f t="shared" si="40"/>
        <v>#N/A</v>
      </c>
      <c r="CC32" s="29">
        <v>26</v>
      </c>
      <c r="CD32" s="26" t="e">
        <f t="shared" si="41"/>
        <v>#N/A</v>
      </c>
      <c r="CE32" s="26" t="e">
        <f t="shared" si="42"/>
        <v>#N/A</v>
      </c>
      <c r="CG32">
        <v>26</v>
      </c>
      <c r="CH32" s="24" t="e">
        <f t="shared" si="4"/>
        <v>#N/A</v>
      </c>
      <c r="CI32" s="24" t="e">
        <f t="shared" si="5"/>
        <v>#N/A</v>
      </c>
      <c r="CJ32" s="27">
        <f t="shared" si="43"/>
        <v>0</v>
      </c>
      <c r="CK32" s="27">
        <f t="shared" si="6"/>
        <v>0</v>
      </c>
      <c r="CL32" s="26">
        <f t="shared" si="7"/>
        <v>0</v>
      </c>
      <c r="CM32" s="26">
        <f t="shared" si="8"/>
        <v>0</v>
      </c>
      <c r="CN32" s="27">
        <f t="shared" si="9"/>
        <v>0</v>
      </c>
      <c r="CO32" s="27">
        <f t="shared" si="10"/>
        <v>0</v>
      </c>
      <c r="CP32" s="27">
        <f t="shared" si="11"/>
        <v>0</v>
      </c>
      <c r="CQ32" s="27">
        <f t="shared" si="12"/>
        <v>0</v>
      </c>
      <c r="CR32" s="24">
        <f t="shared" si="13"/>
        <v>0</v>
      </c>
      <c r="CS32" s="24">
        <f t="shared" si="14"/>
        <v>0</v>
      </c>
      <c r="CT32">
        <v>0</v>
      </c>
      <c r="CU32" s="24">
        <f t="shared" si="49"/>
        <v>0</v>
      </c>
      <c r="CV32" s="27">
        <f t="shared" si="15"/>
        <v>0</v>
      </c>
      <c r="CW32" s="27">
        <f t="shared" si="16"/>
        <v>0</v>
      </c>
      <c r="CX32" s="27">
        <f t="shared" si="17"/>
        <v>0</v>
      </c>
      <c r="CY32" s="27">
        <f t="shared" si="18"/>
        <v>0</v>
      </c>
      <c r="CZ32" s="24">
        <f t="shared" si="19"/>
        <v>0</v>
      </c>
      <c r="DA32" s="24">
        <f t="shared" si="20"/>
        <v>0</v>
      </c>
      <c r="DB32" s="27">
        <f t="shared" si="21"/>
        <v>0</v>
      </c>
      <c r="DC32" s="27">
        <f t="shared" si="22"/>
        <v>0</v>
      </c>
      <c r="DD32" s="27">
        <f t="shared" si="23"/>
        <v>0</v>
      </c>
      <c r="DE32" s="27">
        <f t="shared" si="24"/>
        <v>0</v>
      </c>
      <c r="DF32" s="24">
        <f t="shared" si="25"/>
        <v>0</v>
      </c>
      <c r="DG32" s="24">
        <f t="shared" si="26"/>
        <v>0</v>
      </c>
      <c r="DH32" s="24">
        <f t="shared" si="27"/>
        <v>0</v>
      </c>
      <c r="DI32" s="24">
        <f t="shared" si="28"/>
        <v>0</v>
      </c>
      <c r="DJ32" s="26">
        <f t="shared" si="50"/>
        <v>0</v>
      </c>
      <c r="DK32" s="26">
        <f t="shared" si="51"/>
        <v>0</v>
      </c>
      <c r="DP32" s="27"/>
      <c r="DQ32" s="27"/>
      <c r="DR32" s="27">
        <f t="shared" si="29"/>
        <v>0</v>
      </c>
      <c r="DS32" s="27">
        <f t="shared" si="30"/>
        <v>0</v>
      </c>
      <c r="DT32" s="27">
        <f t="shared" si="31"/>
        <v>0</v>
      </c>
      <c r="DU32" s="27">
        <f t="shared" si="32"/>
        <v>0</v>
      </c>
      <c r="DV32" s="27">
        <f t="shared" si="44"/>
        <v>0</v>
      </c>
      <c r="DW32" s="27">
        <f t="shared" si="45"/>
        <v>0</v>
      </c>
      <c r="DX32" s="27">
        <f t="shared" si="33"/>
        <v>0</v>
      </c>
      <c r="DY32" s="27">
        <f t="shared" si="34"/>
        <v>0</v>
      </c>
      <c r="DZ32" s="27">
        <f t="shared" si="35"/>
        <v>0</v>
      </c>
      <c r="EA32" s="27">
        <f t="shared" si="36"/>
        <v>0</v>
      </c>
      <c r="EB32" s="27">
        <f t="shared" si="46"/>
        <v>0</v>
      </c>
      <c r="EC32" s="27">
        <f t="shared" si="47"/>
        <v>0</v>
      </c>
    </row>
    <row r="33" spans="1:133" x14ac:dyDescent="0.35">
      <c r="A33" s="405"/>
      <c r="C33" s="31">
        <v>29</v>
      </c>
      <c r="D33" s="32">
        <v>10131.4</v>
      </c>
      <c r="E33" s="32">
        <v>13430.5</v>
      </c>
      <c r="F33" s="72"/>
      <c r="G33" s="31">
        <v>29</v>
      </c>
      <c r="H33" s="32">
        <v>18091.79</v>
      </c>
      <c r="I33" s="32">
        <v>23983.040000000001</v>
      </c>
      <c r="W33" s="40" t="s">
        <v>38</v>
      </c>
      <c r="X33" s="40">
        <v>1</v>
      </c>
      <c r="Y33" s="41">
        <f t="shared" si="0"/>
        <v>0.44</v>
      </c>
      <c r="AH33" s="406"/>
      <c r="AN33" s="40">
        <v>29</v>
      </c>
      <c r="AO33" s="46">
        <v>9.9898143324294308E-2</v>
      </c>
      <c r="AQ33" s="40" t="s">
        <v>38</v>
      </c>
      <c r="AR33" s="40">
        <v>1</v>
      </c>
      <c r="AS33" s="49">
        <f t="shared" si="1"/>
        <v>0.104</v>
      </c>
      <c r="AT33" s="50"/>
      <c r="AU33" s="38">
        <v>4</v>
      </c>
      <c r="AV33" s="375">
        <v>5.5E-2</v>
      </c>
      <c r="AW33" s="376"/>
      <c r="AY33" s="40" t="s">
        <v>38</v>
      </c>
      <c r="AZ33" s="40">
        <v>2</v>
      </c>
      <c r="BA33" s="40">
        <v>0.47649999999999998</v>
      </c>
      <c r="BE33" s="40">
        <v>47</v>
      </c>
      <c r="BF33" s="40">
        <v>5.8239999999999998</v>
      </c>
      <c r="BG33" s="40">
        <v>5.1020000000000003</v>
      </c>
      <c r="BJ33" s="406"/>
      <c r="BL33" s="365" t="s">
        <v>69</v>
      </c>
      <c r="BM33" s="367">
        <v>4.7500000000000001E-2</v>
      </c>
      <c r="BN33" s="365">
        <v>4</v>
      </c>
      <c r="BQ33">
        <v>27</v>
      </c>
      <c r="BR33" s="26" t="e">
        <f t="shared" si="37"/>
        <v>#N/A</v>
      </c>
      <c r="BS33" s="26" t="e">
        <f t="shared" si="38"/>
        <v>#N/A</v>
      </c>
      <c r="BT33" s="26"/>
      <c r="BU33" s="29">
        <v>27</v>
      </c>
      <c r="BV33" s="26" t="e">
        <f t="shared" si="2"/>
        <v>#N/A</v>
      </c>
      <c r="BW33" s="26" t="e">
        <f t="shared" si="3"/>
        <v>#N/A</v>
      </c>
      <c r="BY33" s="29">
        <v>27</v>
      </c>
      <c r="BZ33" s="26" t="e">
        <f t="shared" si="39"/>
        <v>#N/A</v>
      </c>
      <c r="CA33" s="26" t="e">
        <f t="shared" si="40"/>
        <v>#N/A</v>
      </c>
      <c r="CC33" s="29">
        <v>27</v>
      </c>
      <c r="CD33" s="26" t="e">
        <f t="shared" si="41"/>
        <v>#N/A</v>
      </c>
      <c r="CE33" s="26" t="e">
        <f t="shared" si="42"/>
        <v>#N/A</v>
      </c>
      <c r="CG33">
        <v>27</v>
      </c>
      <c r="CH33" s="24" t="e">
        <f t="shared" si="4"/>
        <v>#N/A</v>
      </c>
      <c r="CI33" s="24" t="e">
        <f t="shared" si="5"/>
        <v>#N/A</v>
      </c>
      <c r="CJ33" s="27">
        <f t="shared" si="43"/>
        <v>0</v>
      </c>
      <c r="CK33" s="27">
        <f t="shared" si="6"/>
        <v>0</v>
      </c>
      <c r="CL33" s="26">
        <f t="shared" si="7"/>
        <v>0</v>
      </c>
      <c r="CM33" s="26">
        <f t="shared" si="8"/>
        <v>0</v>
      </c>
      <c r="CN33" s="27">
        <f t="shared" si="9"/>
        <v>0</v>
      </c>
      <c r="CO33" s="27">
        <f t="shared" si="10"/>
        <v>0</v>
      </c>
      <c r="CP33" s="27">
        <f t="shared" si="11"/>
        <v>0</v>
      </c>
      <c r="CQ33" s="27">
        <f t="shared" si="12"/>
        <v>0</v>
      </c>
      <c r="CR33" s="24">
        <f t="shared" si="13"/>
        <v>0</v>
      </c>
      <c r="CS33" s="24">
        <f t="shared" si="14"/>
        <v>0</v>
      </c>
      <c r="CT33">
        <v>0</v>
      </c>
      <c r="CU33" s="24">
        <f t="shared" si="49"/>
        <v>0</v>
      </c>
      <c r="CV33" s="27">
        <f t="shared" si="15"/>
        <v>0</v>
      </c>
      <c r="CW33" s="27">
        <f t="shared" si="16"/>
        <v>0</v>
      </c>
      <c r="CX33" s="27">
        <f t="shared" si="17"/>
        <v>0</v>
      </c>
      <c r="CY33" s="27">
        <f t="shared" si="18"/>
        <v>0</v>
      </c>
      <c r="CZ33" s="24">
        <f t="shared" si="19"/>
        <v>0</v>
      </c>
      <c r="DA33" s="24">
        <f t="shared" si="20"/>
        <v>0</v>
      </c>
      <c r="DB33" s="27">
        <f t="shared" si="21"/>
        <v>0</v>
      </c>
      <c r="DC33" s="27">
        <f t="shared" si="22"/>
        <v>0</v>
      </c>
      <c r="DD33" s="27">
        <f t="shared" si="23"/>
        <v>0</v>
      </c>
      <c r="DE33" s="27">
        <f t="shared" si="24"/>
        <v>0</v>
      </c>
      <c r="DF33" s="24">
        <f t="shared" si="25"/>
        <v>0</v>
      </c>
      <c r="DG33" s="24">
        <f t="shared" si="26"/>
        <v>0</v>
      </c>
      <c r="DH33" s="24">
        <f t="shared" si="27"/>
        <v>0</v>
      </c>
      <c r="DI33" s="24">
        <f t="shared" si="28"/>
        <v>0</v>
      </c>
      <c r="DJ33" s="26">
        <f t="shared" si="50"/>
        <v>0</v>
      </c>
      <c r="DK33" s="26">
        <f t="shared" si="51"/>
        <v>0</v>
      </c>
      <c r="DP33" s="27"/>
      <c r="DQ33" s="27"/>
      <c r="DR33" s="27">
        <f t="shared" si="29"/>
        <v>0</v>
      </c>
      <c r="DS33" s="27">
        <f t="shared" si="30"/>
        <v>0</v>
      </c>
      <c r="DT33" s="27">
        <f t="shared" si="31"/>
        <v>0</v>
      </c>
      <c r="DU33" s="27">
        <f t="shared" si="32"/>
        <v>0</v>
      </c>
      <c r="DV33" s="27">
        <f t="shared" si="44"/>
        <v>0</v>
      </c>
      <c r="DW33" s="27">
        <f t="shared" si="45"/>
        <v>0</v>
      </c>
      <c r="DX33" s="27">
        <f t="shared" si="33"/>
        <v>0</v>
      </c>
      <c r="DY33" s="27">
        <f t="shared" si="34"/>
        <v>0</v>
      </c>
      <c r="DZ33" s="27">
        <f t="shared" si="35"/>
        <v>0</v>
      </c>
      <c r="EA33" s="27">
        <f t="shared" si="36"/>
        <v>0</v>
      </c>
      <c r="EB33" s="27">
        <f t="shared" si="46"/>
        <v>0</v>
      </c>
      <c r="EC33" s="27">
        <f t="shared" si="47"/>
        <v>0</v>
      </c>
    </row>
    <row r="34" spans="1:133" x14ac:dyDescent="0.35">
      <c r="A34" s="405"/>
      <c r="C34" s="31">
        <v>30</v>
      </c>
      <c r="D34" s="32">
        <v>10370.629999999999</v>
      </c>
      <c r="E34" s="32">
        <v>13852.37</v>
      </c>
      <c r="F34" s="72"/>
      <c r="G34" s="31">
        <v>30</v>
      </c>
      <c r="H34" s="32">
        <v>18518.98</v>
      </c>
      <c r="I34" s="32">
        <v>24736.38</v>
      </c>
      <c r="W34" s="40" t="s">
        <v>39</v>
      </c>
      <c r="X34" s="40">
        <v>2</v>
      </c>
      <c r="Y34" s="41">
        <f t="shared" si="0"/>
        <v>0.52</v>
      </c>
      <c r="AH34" s="406"/>
      <c r="AN34" s="40">
        <v>30</v>
      </c>
      <c r="AO34" s="46">
        <v>0.10299814332429433</v>
      </c>
      <c r="AQ34" s="40" t="s">
        <v>39</v>
      </c>
      <c r="AR34" s="40">
        <v>2</v>
      </c>
      <c r="AS34" s="49">
        <f t="shared" si="1"/>
        <v>0.09</v>
      </c>
      <c r="AT34" s="50"/>
      <c r="AU34" s="38">
        <v>5</v>
      </c>
      <c r="AV34" s="375">
        <v>6.2100000000000002E-2</v>
      </c>
      <c r="AW34" s="376"/>
      <c r="AY34" s="40" t="s">
        <v>39</v>
      </c>
      <c r="AZ34" s="40">
        <v>2</v>
      </c>
      <c r="BA34" s="40">
        <v>0.47649999999999998</v>
      </c>
      <c r="BE34" s="40">
        <v>48</v>
      </c>
      <c r="BF34" s="40">
        <v>6.2930000000000001</v>
      </c>
      <c r="BG34" s="40">
        <v>5.3609999999999998</v>
      </c>
      <c r="BJ34" s="406"/>
      <c r="BL34" s="365" t="s">
        <v>297</v>
      </c>
      <c r="BM34" s="367">
        <v>5.5E-2</v>
      </c>
      <c r="BN34" s="365">
        <v>6</v>
      </c>
      <c r="BQ34">
        <v>28</v>
      </c>
      <c r="BR34" s="26" t="e">
        <f t="shared" si="37"/>
        <v>#N/A</v>
      </c>
      <c r="BS34" s="26" t="e">
        <f t="shared" si="38"/>
        <v>#N/A</v>
      </c>
      <c r="BT34" s="26"/>
      <c r="BU34" s="29">
        <v>28</v>
      </c>
      <c r="BV34" s="26" t="e">
        <f t="shared" si="2"/>
        <v>#N/A</v>
      </c>
      <c r="BW34" s="26" t="e">
        <f t="shared" si="3"/>
        <v>#N/A</v>
      </c>
      <c r="BY34" s="29">
        <v>28</v>
      </c>
      <c r="BZ34" s="26" t="e">
        <f t="shared" si="39"/>
        <v>#N/A</v>
      </c>
      <c r="CA34" s="26" t="e">
        <f t="shared" si="40"/>
        <v>#N/A</v>
      </c>
      <c r="CC34" s="29">
        <v>28</v>
      </c>
      <c r="CD34" s="26" t="e">
        <f t="shared" si="41"/>
        <v>#N/A</v>
      </c>
      <c r="CE34" s="26" t="e">
        <f t="shared" si="42"/>
        <v>#N/A</v>
      </c>
      <c r="CG34">
        <v>28</v>
      </c>
      <c r="CH34" s="24" t="e">
        <f t="shared" si="4"/>
        <v>#N/A</v>
      </c>
      <c r="CI34" s="24" t="e">
        <f t="shared" si="5"/>
        <v>#N/A</v>
      </c>
      <c r="CJ34" s="27">
        <f t="shared" si="43"/>
        <v>0</v>
      </c>
      <c r="CK34" s="27">
        <f t="shared" si="6"/>
        <v>0</v>
      </c>
      <c r="CL34" s="26">
        <f t="shared" si="7"/>
        <v>0</v>
      </c>
      <c r="CM34" s="26">
        <f t="shared" si="8"/>
        <v>0</v>
      </c>
      <c r="CN34" s="27">
        <f t="shared" si="9"/>
        <v>0</v>
      </c>
      <c r="CO34" s="27">
        <f t="shared" si="10"/>
        <v>0</v>
      </c>
      <c r="CP34" s="27">
        <f t="shared" si="11"/>
        <v>0</v>
      </c>
      <c r="CQ34" s="27">
        <f t="shared" si="12"/>
        <v>0</v>
      </c>
      <c r="CR34" s="24">
        <f t="shared" si="13"/>
        <v>0</v>
      </c>
      <c r="CS34" s="24">
        <f t="shared" si="14"/>
        <v>0</v>
      </c>
      <c r="CT34">
        <v>0</v>
      </c>
      <c r="CU34" s="24">
        <f t="shared" si="49"/>
        <v>0</v>
      </c>
      <c r="CV34" s="27">
        <f t="shared" si="15"/>
        <v>0</v>
      </c>
      <c r="CW34" s="27">
        <f t="shared" si="16"/>
        <v>0</v>
      </c>
      <c r="CX34" s="27">
        <f t="shared" si="17"/>
        <v>0</v>
      </c>
      <c r="CY34" s="27">
        <f t="shared" si="18"/>
        <v>0</v>
      </c>
      <c r="CZ34" s="24">
        <f t="shared" si="19"/>
        <v>0</v>
      </c>
      <c r="DA34" s="24">
        <f t="shared" si="20"/>
        <v>0</v>
      </c>
      <c r="DB34" s="27">
        <f t="shared" si="21"/>
        <v>0</v>
      </c>
      <c r="DC34" s="27">
        <f t="shared" si="22"/>
        <v>0</v>
      </c>
      <c r="DD34" s="27">
        <f t="shared" si="23"/>
        <v>0</v>
      </c>
      <c r="DE34" s="27">
        <f t="shared" si="24"/>
        <v>0</v>
      </c>
      <c r="DF34" s="24">
        <f t="shared" si="25"/>
        <v>0</v>
      </c>
      <c r="DG34" s="24">
        <f t="shared" si="26"/>
        <v>0</v>
      </c>
      <c r="DH34" s="24">
        <f t="shared" si="27"/>
        <v>0</v>
      </c>
      <c r="DI34" s="24">
        <f t="shared" si="28"/>
        <v>0</v>
      </c>
      <c r="DJ34" s="26">
        <f t="shared" si="50"/>
        <v>0</v>
      </c>
      <c r="DK34" s="26">
        <f t="shared" si="51"/>
        <v>0</v>
      </c>
      <c r="DP34" s="27"/>
      <c r="DQ34" s="27"/>
      <c r="DR34" s="27">
        <f t="shared" si="29"/>
        <v>0</v>
      </c>
      <c r="DS34" s="27">
        <f t="shared" si="30"/>
        <v>0</v>
      </c>
      <c r="DT34" s="27">
        <f t="shared" si="31"/>
        <v>0</v>
      </c>
      <c r="DU34" s="27">
        <f t="shared" si="32"/>
        <v>0</v>
      </c>
      <c r="DV34" s="27">
        <f t="shared" si="44"/>
        <v>0</v>
      </c>
      <c r="DW34" s="27">
        <f t="shared" si="45"/>
        <v>0</v>
      </c>
      <c r="DX34" s="27">
        <f t="shared" si="33"/>
        <v>0</v>
      </c>
      <c r="DY34" s="27">
        <f t="shared" si="34"/>
        <v>0</v>
      </c>
      <c r="DZ34" s="27">
        <f t="shared" si="35"/>
        <v>0</v>
      </c>
      <c r="EA34" s="27">
        <f t="shared" si="36"/>
        <v>0</v>
      </c>
      <c r="EB34" s="27">
        <f t="shared" si="46"/>
        <v>0</v>
      </c>
      <c r="EC34" s="27">
        <f t="shared" si="47"/>
        <v>0</v>
      </c>
    </row>
    <row r="35" spans="1:133" x14ac:dyDescent="0.35">
      <c r="A35" s="405"/>
      <c r="C35" s="31">
        <v>31</v>
      </c>
      <c r="D35" s="32">
        <v>10635.59</v>
      </c>
      <c r="E35" s="32">
        <v>14270.39</v>
      </c>
      <c r="F35" s="72"/>
      <c r="G35" s="31">
        <v>31</v>
      </c>
      <c r="H35" s="32">
        <v>18992.13</v>
      </c>
      <c r="I35" s="32">
        <v>25482.84</v>
      </c>
      <c r="W35" s="40" t="s">
        <v>40</v>
      </c>
      <c r="X35" s="40">
        <v>1</v>
      </c>
      <c r="Y35" s="41">
        <f t="shared" si="0"/>
        <v>0.44</v>
      </c>
      <c r="AH35" s="406"/>
      <c r="AN35" s="40">
        <v>31</v>
      </c>
      <c r="AO35" s="46">
        <v>0.10389814332429431</v>
      </c>
      <c r="AQ35" s="40" t="s">
        <v>40</v>
      </c>
      <c r="AR35" s="40">
        <v>1</v>
      </c>
      <c r="AS35" s="49">
        <f t="shared" si="1"/>
        <v>0.104</v>
      </c>
      <c r="AT35" s="50"/>
      <c r="AU35" s="38">
        <v>6</v>
      </c>
      <c r="AV35" s="375">
        <v>0</v>
      </c>
      <c r="AW35" s="376"/>
      <c r="AY35" s="40" t="s">
        <v>40</v>
      </c>
      <c r="AZ35" s="40">
        <v>1</v>
      </c>
      <c r="BA35" s="40">
        <v>0.95299999999999996</v>
      </c>
      <c r="BE35" s="40">
        <v>49</v>
      </c>
      <c r="BF35" s="40">
        <v>6.76</v>
      </c>
      <c r="BG35" s="40">
        <v>5.601</v>
      </c>
      <c r="BJ35" s="406"/>
      <c r="BL35" s="365" t="s">
        <v>70</v>
      </c>
      <c r="BM35" s="367">
        <v>6.5000000000000002E-2</v>
      </c>
      <c r="BN35" s="365">
        <v>12</v>
      </c>
      <c r="BQ35">
        <v>29</v>
      </c>
      <c r="BR35" s="26" t="e">
        <f t="shared" si="37"/>
        <v>#N/A</v>
      </c>
      <c r="BS35" s="26" t="e">
        <f t="shared" si="38"/>
        <v>#N/A</v>
      </c>
      <c r="BT35" s="26"/>
      <c r="BU35" s="29">
        <v>29</v>
      </c>
      <c r="BV35" s="26" t="e">
        <f t="shared" si="2"/>
        <v>#N/A</v>
      </c>
      <c r="BW35" s="26" t="e">
        <f t="shared" si="3"/>
        <v>#N/A</v>
      </c>
      <c r="BY35" s="29">
        <v>29</v>
      </c>
      <c r="BZ35" s="26" t="e">
        <f t="shared" si="39"/>
        <v>#N/A</v>
      </c>
      <c r="CA35" s="26" t="e">
        <f t="shared" si="40"/>
        <v>#N/A</v>
      </c>
      <c r="CC35" s="29">
        <v>29</v>
      </c>
      <c r="CD35" s="26" t="e">
        <f t="shared" si="41"/>
        <v>#N/A</v>
      </c>
      <c r="CE35" s="26" t="e">
        <f t="shared" si="42"/>
        <v>#N/A</v>
      </c>
      <c r="CG35">
        <v>29</v>
      </c>
      <c r="CH35" s="24" t="e">
        <f t="shared" si="4"/>
        <v>#N/A</v>
      </c>
      <c r="CI35" s="24" t="e">
        <f t="shared" si="5"/>
        <v>#N/A</v>
      </c>
      <c r="CJ35" s="27">
        <f t="shared" si="43"/>
        <v>0</v>
      </c>
      <c r="CK35" s="27">
        <f t="shared" si="6"/>
        <v>0</v>
      </c>
      <c r="CL35" s="26">
        <f t="shared" si="7"/>
        <v>0</v>
      </c>
      <c r="CM35" s="26">
        <f t="shared" si="8"/>
        <v>0</v>
      </c>
      <c r="CN35" s="27">
        <f t="shared" si="9"/>
        <v>0</v>
      </c>
      <c r="CO35" s="27">
        <f t="shared" si="10"/>
        <v>0</v>
      </c>
      <c r="CP35" s="27">
        <f t="shared" si="11"/>
        <v>0</v>
      </c>
      <c r="CQ35" s="27">
        <f t="shared" si="12"/>
        <v>0</v>
      </c>
      <c r="CR35" s="24">
        <f t="shared" si="13"/>
        <v>0</v>
      </c>
      <c r="CS35" s="24">
        <f t="shared" si="14"/>
        <v>0</v>
      </c>
      <c r="CT35">
        <v>0</v>
      </c>
      <c r="CU35" s="24">
        <f t="shared" si="49"/>
        <v>0</v>
      </c>
      <c r="CV35" s="27">
        <f t="shared" si="15"/>
        <v>0</v>
      </c>
      <c r="CW35" s="27">
        <f t="shared" si="16"/>
        <v>0</v>
      </c>
      <c r="CX35" s="27">
        <f t="shared" si="17"/>
        <v>0</v>
      </c>
      <c r="CY35" s="27">
        <f t="shared" si="18"/>
        <v>0</v>
      </c>
      <c r="CZ35" s="24">
        <f t="shared" si="19"/>
        <v>0</v>
      </c>
      <c r="DA35" s="24">
        <f t="shared" si="20"/>
        <v>0</v>
      </c>
      <c r="DB35" s="27">
        <f t="shared" si="21"/>
        <v>0</v>
      </c>
      <c r="DC35" s="27">
        <f t="shared" si="22"/>
        <v>0</v>
      </c>
      <c r="DD35" s="27">
        <f t="shared" si="23"/>
        <v>0</v>
      </c>
      <c r="DE35" s="27">
        <f t="shared" si="24"/>
        <v>0</v>
      </c>
      <c r="DF35" s="24">
        <f t="shared" si="25"/>
        <v>0</v>
      </c>
      <c r="DG35" s="24">
        <f t="shared" si="26"/>
        <v>0</v>
      </c>
      <c r="DH35" s="24">
        <f t="shared" si="27"/>
        <v>0</v>
      </c>
      <c r="DI35" s="24">
        <f t="shared" si="28"/>
        <v>0</v>
      </c>
      <c r="DJ35" s="26">
        <f t="shared" si="50"/>
        <v>0</v>
      </c>
      <c r="DK35" s="26">
        <f t="shared" si="51"/>
        <v>0</v>
      </c>
      <c r="DP35" s="27"/>
      <c r="DQ35" s="27"/>
      <c r="DR35" s="27">
        <f t="shared" si="29"/>
        <v>0</v>
      </c>
      <c r="DS35" s="27">
        <f t="shared" si="30"/>
        <v>0</v>
      </c>
      <c r="DT35" s="27">
        <f t="shared" si="31"/>
        <v>0</v>
      </c>
      <c r="DU35" s="27">
        <f t="shared" si="32"/>
        <v>0</v>
      </c>
      <c r="DV35" s="27">
        <f t="shared" si="44"/>
        <v>0</v>
      </c>
      <c r="DW35" s="27">
        <f t="shared" si="45"/>
        <v>0</v>
      </c>
      <c r="DX35" s="27">
        <f t="shared" si="33"/>
        <v>0</v>
      </c>
      <c r="DY35" s="27">
        <f t="shared" si="34"/>
        <v>0</v>
      </c>
      <c r="DZ35" s="27">
        <f t="shared" si="35"/>
        <v>0</v>
      </c>
      <c r="EA35" s="27">
        <f t="shared" si="36"/>
        <v>0</v>
      </c>
      <c r="EB35" s="27">
        <f t="shared" si="46"/>
        <v>0</v>
      </c>
      <c r="EC35" s="27">
        <f t="shared" si="47"/>
        <v>0</v>
      </c>
    </row>
    <row r="36" spans="1:133" x14ac:dyDescent="0.35">
      <c r="A36" s="405"/>
      <c r="C36" s="31">
        <v>32</v>
      </c>
      <c r="D36" s="32">
        <v>10928.84</v>
      </c>
      <c r="E36" s="32">
        <v>14689.69</v>
      </c>
      <c r="F36" s="72"/>
      <c r="G36" s="31">
        <v>32</v>
      </c>
      <c r="H36" s="32">
        <v>19515.79</v>
      </c>
      <c r="I36" s="32">
        <v>26231.59</v>
      </c>
      <c r="W36" s="40" t="s">
        <v>41</v>
      </c>
      <c r="X36" s="40">
        <v>3</v>
      </c>
      <c r="Y36" s="41">
        <f t="shared" si="0"/>
        <v>0.62</v>
      </c>
      <c r="AH36" s="406"/>
      <c r="AN36" s="40">
        <v>32</v>
      </c>
      <c r="AO36" s="46">
        <v>0.10259814332429432</v>
      </c>
      <c r="AQ36" s="40" t="s">
        <v>41</v>
      </c>
      <c r="AR36" s="40">
        <v>3</v>
      </c>
      <c r="AS36" s="49">
        <f t="shared" si="1"/>
        <v>6.9000000000000006E-2</v>
      </c>
      <c r="AT36" s="50"/>
      <c r="AU36" s="38">
        <v>7</v>
      </c>
      <c r="AV36" s="375">
        <v>3.5000000000000003E-2</v>
      </c>
      <c r="AW36" s="376"/>
      <c r="AY36" s="40" t="s">
        <v>41</v>
      </c>
      <c r="AZ36" s="40">
        <v>2</v>
      </c>
      <c r="BA36" s="40">
        <v>0.47649999999999998</v>
      </c>
      <c r="BE36" s="40">
        <v>50</v>
      </c>
      <c r="BF36" s="40">
        <v>7.2270000000000003</v>
      </c>
      <c r="BG36" s="40">
        <v>5.8310000000000004</v>
      </c>
      <c r="BJ36" s="406"/>
      <c r="BQ36">
        <v>30</v>
      </c>
      <c r="BR36" s="26" t="e">
        <f t="shared" si="37"/>
        <v>#N/A</v>
      </c>
      <c r="BS36" s="26" t="e">
        <f t="shared" si="38"/>
        <v>#N/A</v>
      </c>
      <c r="BT36" s="26"/>
      <c r="BU36" s="29">
        <v>30</v>
      </c>
      <c r="BV36" s="26" t="e">
        <f t="shared" si="2"/>
        <v>#N/A</v>
      </c>
      <c r="BW36" s="26" t="e">
        <f t="shared" si="3"/>
        <v>#N/A</v>
      </c>
      <c r="BY36" s="29">
        <v>30</v>
      </c>
      <c r="BZ36" s="26" t="e">
        <f t="shared" si="39"/>
        <v>#N/A</v>
      </c>
      <c r="CA36" s="26" t="e">
        <f t="shared" si="40"/>
        <v>#N/A</v>
      </c>
      <c r="CC36" s="29">
        <v>30</v>
      </c>
      <c r="CD36" s="26" t="e">
        <f t="shared" si="41"/>
        <v>#N/A</v>
      </c>
      <c r="CE36" s="26" t="e">
        <f t="shared" si="42"/>
        <v>#N/A</v>
      </c>
      <c r="CG36">
        <v>30</v>
      </c>
      <c r="CH36" s="24" t="e">
        <f t="shared" si="4"/>
        <v>#N/A</v>
      </c>
      <c r="CI36" s="24" t="e">
        <f t="shared" si="5"/>
        <v>#N/A</v>
      </c>
      <c r="CJ36" s="27">
        <f t="shared" si="43"/>
        <v>0</v>
      </c>
      <c r="CK36" s="27">
        <f t="shared" si="6"/>
        <v>0</v>
      </c>
      <c r="CL36" s="26">
        <f t="shared" si="7"/>
        <v>0</v>
      </c>
      <c r="CM36" s="26">
        <f t="shared" si="8"/>
        <v>0</v>
      </c>
      <c r="CN36" s="27">
        <f t="shared" si="9"/>
        <v>0</v>
      </c>
      <c r="CO36" s="27">
        <f t="shared" si="10"/>
        <v>0</v>
      </c>
      <c r="CP36" s="27">
        <f t="shared" si="11"/>
        <v>0</v>
      </c>
      <c r="CQ36" s="27">
        <f t="shared" si="12"/>
        <v>0</v>
      </c>
      <c r="CR36" s="24">
        <f t="shared" si="13"/>
        <v>0</v>
      </c>
      <c r="CS36" s="24">
        <f t="shared" si="14"/>
        <v>0</v>
      </c>
      <c r="CT36">
        <v>0</v>
      </c>
      <c r="CU36" s="24">
        <f t="shared" si="49"/>
        <v>0</v>
      </c>
      <c r="CV36" s="27">
        <f t="shared" si="15"/>
        <v>0</v>
      </c>
      <c r="CW36" s="27">
        <f t="shared" si="16"/>
        <v>0</v>
      </c>
      <c r="CX36" s="27">
        <f t="shared" si="17"/>
        <v>0</v>
      </c>
      <c r="CY36" s="27">
        <f t="shared" si="18"/>
        <v>0</v>
      </c>
      <c r="CZ36" s="24">
        <f t="shared" si="19"/>
        <v>0</v>
      </c>
      <c r="DA36" s="24">
        <f t="shared" si="20"/>
        <v>0</v>
      </c>
      <c r="DB36" s="27">
        <f t="shared" si="21"/>
        <v>0</v>
      </c>
      <c r="DC36" s="27">
        <f t="shared" si="22"/>
        <v>0</v>
      </c>
      <c r="DD36" s="27">
        <f t="shared" si="23"/>
        <v>0</v>
      </c>
      <c r="DE36" s="27">
        <f t="shared" si="24"/>
        <v>0</v>
      </c>
      <c r="DF36" s="24">
        <f t="shared" si="25"/>
        <v>0</v>
      </c>
      <c r="DG36" s="24">
        <f t="shared" si="26"/>
        <v>0</v>
      </c>
      <c r="DH36" s="24">
        <f t="shared" si="27"/>
        <v>0</v>
      </c>
      <c r="DI36" s="24">
        <f t="shared" si="28"/>
        <v>0</v>
      </c>
      <c r="DJ36" s="26">
        <f t="shared" si="50"/>
        <v>0</v>
      </c>
      <c r="DK36" s="26">
        <f t="shared" si="51"/>
        <v>0</v>
      </c>
      <c r="DP36" s="27"/>
      <c r="DQ36" s="27"/>
      <c r="DR36" s="27">
        <f t="shared" si="29"/>
        <v>0</v>
      </c>
      <c r="DS36" s="27">
        <f t="shared" si="30"/>
        <v>0</v>
      </c>
      <c r="DT36" s="27">
        <f t="shared" si="31"/>
        <v>0</v>
      </c>
      <c r="DU36" s="27">
        <f t="shared" si="32"/>
        <v>0</v>
      </c>
      <c r="DV36" s="27">
        <f t="shared" si="44"/>
        <v>0</v>
      </c>
      <c r="DW36" s="27">
        <f t="shared" si="45"/>
        <v>0</v>
      </c>
      <c r="DX36" s="27">
        <f t="shared" si="33"/>
        <v>0</v>
      </c>
      <c r="DY36" s="27">
        <f t="shared" si="34"/>
        <v>0</v>
      </c>
      <c r="DZ36" s="27">
        <f t="shared" si="35"/>
        <v>0</v>
      </c>
      <c r="EA36" s="27">
        <f t="shared" si="36"/>
        <v>0</v>
      </c>
      <c r="EB36" s="27">
        <f t="shared" si="46"/>
        <v>0</v>
      </c>
      <c r="EC36" s="27">
        <f t="shared" si="47"/>
        <v>0</v>
      </c>
    </row>
    <row r="37" spans="1:133" x14ac:dyDescent="0.35">
      <c r="A37" s="405"/>
      <c r="C37" s="31">
        <v>33</v>
      </c>
      <c r="D37" s="32">
        <v>11254.25</v>
      </c>
      <c r="E37" s="32">
        <v>15231.18</v>
      </c>
      <c r="F37" s="72"/>
      <c r="G37" s="31">
        <v>33</v>
      </c>
      <c r="H37" s="32">
        <v>20096.88</v>
      </c>
      <c r="I37" s="32">
        <v>27198.54</v>
      </c>
      <c r="W37" s="40" t="s">
        <v>42</v>
      </c>
      <c r="X37" s="40"/>
      <c r="Y37" s="41"/>
      <c r="AH37" s="406"/>
      <c r="AN37" s="40">
        <v>33</v>
      </c>
      <c r="AO37" s="46">
        <v>0.10637326543958747</v>
      </c>
      <c r="AQ37" s="40" t="s">
        <v>42</v>
      </c>
      <c r="AR37" s="40"/>
      <c r="AS37" s="49"/>
      <c r="AT37" s="50"/>
      <c r="AU37" s="383">
        <v>8</v>
      </c>
      <c r="AV37" s="384">
        <f>ROUND(AV32/AB23*AB28,3)</f>
        <v>7.0000000000000007E-2</v>
      </c>
      <c r="AW37" s="385" t="s">
        <v>303</v>
      </c>
      <c r="AY37" s="40" t="s">
        <v>42</v>
      </c>
      <c r="AZ37" s="40"/>
      <c r="BA37" s="40"/>
      <c r="BE37" s="40">
        <v>51</v>
      </c>
      <c r="BF37" s="40">
        <v>8.0389999999999997</v>
      </c>
      <c r="BG37" s="40">
        <v>6.2679999999999998</v>
      </c>
      <c r="BJ37" s="406"/>
      <c r="BQ37">
        <v>31</v>
      </c>
      <c r="BR37" s="26" t="e">
        <f t="shared" si="37"/>
        <v>#N/A</v>
      </c>
      <c r="BS37" s="26" t="e">
        <f t="shared" si="38"/>
        <v>#N/A</v>
      </c>
      <c r="BT37" s="26"/>
      <c r="BU37" s="29">
        <v>31</v>
      </c>
      <c r="BV37" s="26" t="e">
        <f t="shared" si="2"/>
        <v>#N/A</v>
      </c>
      <c r="BW37" s="26" t="e">
        <f t="shared" si="3"/>
        <v>#N/A</v>
      </c>
      <c r="BY37" s="29">
        <v>31</v>
      </c>
      <c r="BZ37" s="26" t="e">
        <f t="shared" si="39"/>
        <v>#N/A</v>
      </c>
      <c r="CA37" s="26" t="e">
        <f t="shared" si="40"/>
        <v>#N/A</v>
      </c>
      <c r="CC37" s="29">
        <v>31</v>
      </c>
      <c r="CD37" s="26" t="e">
        <f t="shared" si="41"/>
        <v>#N/A</v>
      </c>
      <c r="CE37" s="26" t="e">
        <f t="shared" si="42"/>
        <v>#N/A</v>
      </c>
      <c r="CG37">
        <v>31</v>
      </c>
      <c r="CH37" s="24" t="e">
        <f t="shared" si="4"/>
        <v>#N/A</v>
      </c>
      <c r="CI37" s="24" t="e">
        <f t="shared" si="5"/>
        <v>#N/A</v>
      </c>
      <c r="CJ37" s="27">
        <f t="shared" si="43"/>
        <v>0</v>
      </c>
      <c r="CK37" s="27">
        <f t="shared" si="6"/>
        <v>0</v>
      </c>
      <c r="CL37" s="26">
        <f t="shared" si="7"/>
        <v>0</v>
      </c>
      <c r="CM37" s="26">
        <f t="shared" si="8"/>
        <v>0</v>
      </c>
      <c r="CN37" s="27">
        <f t="shared" si="9"/>
        <v>0</v>
      </c>
      <c r="CO37" s="27">
        <f t="shared" si="10"/>
        <v>0</v>
      </c>
      <c r="CP37" s="27">
        <f t="shared" si="11"/>
        <v>0</v>
      </c>
      <c r="CQ37" s="27">
        <f t="shared" si="12"/>
        <v>0</v>
      </c>
      <c r="CR37" s="24">
        <f t="shared" si="13"/>
        <v>0</v>
      </c>
      <c r="CS37" s="24">
        <f t="shared" si="14"/>
        <v>0</v>
      </c>
      <c r="CT37">
        <v>0</v>
      </c>
      <c r="CU37" s="24">
        <f t="shared" si="49"/>
        <v>0</v>
      </c>
      <c r="CV37" s="27">
        <f t="shared" si="15"/>
        <v>0</v>
      </c>
      <c r="CW37" s="27">
        <f t="shared" si="16"/>
        <v>0</v>
      </c>
      <c r="CX37" s="27">
        <f t="shared" si="17"/>
        <v>0</v>
      </c>
      <c r="CY37" s="27">
        <f t="shared" si="18"/>
        <v>0</v>
      </c>
      <c r="CZ37" s="24">
        <f t="shared" si="19"/>
        <v>0</v>
      </c>
      <c r="DA37" s="24">
        <f t="shared" si="20"/>
        <v>0</v>
      </c>
      <c r="DB37" s="27">
        <f t="shared" si="21"/>
        <v>0</v>
      </c>
      <c r="DC37" s="27">
        <f t="shared" si="22"/>
        <v>0</v>
      </c>
      <c r="DD37" s="27">
        <f t="shared" si="23"/>
        <v>0</v>
      </c>
      <c r="DE37" s="27">
        <f t="shared" si="24"/>
        <v>0</v>
      </c>
      <c r="DF37" s="24">
        <f t="shared" si="25"/>
        <v>0</v>
      </c>
      <c r="DG37" s="24">
        <f t="shared" si="26"/>
        <v>0</v>
      </c>
      <c r="DH37" s="24">
        <f t="shared" si="27"/>
        <v>0</v>
      </c>
      <c r="DI37" s="24">
        <f t="shared" si="28"/>
        <v>0</v>
      </c>
      <c r="DJ37" s="26">
        <f t="shared" si="50"/>
        <v>0</v>
      </c>
      <c r="DK37" s="26">
        <f t="shared" si="51"/>
        <v>0</v>
      </c>
      <c r="DP37" s="27"/>
      <c r="DQ37" s="27"/>
      <c r="DR37" s="27">
        <f t="shared" si="29"/>
        <v>0</v>
      </c>
      <c r="DS37" s="27">
        <f t="shared" si="30"/>
        <v>0</v>
      </c>
      <c r="DT37" s="27">
        <f t="shared" si="31"/>
        <v>0</v>
      </c>
      <c r="DU37" s="27">
        <f t="shared" si="32"/>
        <v>0</v>
      </c>
      <c r="DV37" s="27">
        <f t="shared" si="44"/>
        <v>0</v>
      </c>
      <c r="DW37" s="27">
        <f t="shared" si="45"/>
        <v>0</v>
      </c>
      <c r="DX37" s="27">
        <f t="shared" si="33"/>
        <v>0</v>
      </c>
      <c r="DY37" s="27">
        <f t="shared" si="34"/>
        <v>0</v>
      </c>
      <c r="DZ37" s="27">
        <f t="shared" si="35"/>
        <v>0</v>
      </c>
      <c r="EA37" s="27">
        <f t="shared" si="36"/>
        <v>0</v>
      </c>
      <c r="EB37" s="27">
        <f t="shared" si="46"/>
        <v>0</v>
      </c>
      <c r="EC37" s="27">
        <f t="shared" si="47"/>
        <v>0</v>
      </c>
    </row>
    <row r="38" spans="1:133" x14ac:dyDescent="0.35">
      <c r="A38" s="405"/>
      <c r="C38" s="31">
        <v>34</v>
      </c>
      <c r="D38" s="32">
        <v>11615.67</v>
      </c>
      <c r="E38" s="32">
        <v>15660.77</v>
      </c>
      <c r="F38" s="72"/>
      <c r="G38" s="31">
        <v>34</v>
      </c>
      <c r="H38" s="32">
        <v>20742.27</v>
      </c>
      <c r="I38" s="32">
        <v>27965.66</v>
      </c>
      <c r="W38" s="40"/>
      <c r="X38" s="40"/>
      <c r="Y38" s="40"/>
      <c r="AH38" s="406"/>
      <c r="AN38" s="40">
        <v>34</v>
      </c>
      <c r="AO38" s="46">
        <v>0.10067326543958746</v>
      </c>
      <c r="AQ38" s="40"/>
      <c r="AR38" s="40"/>
      <c r="AS38" s="49"/>
      <c r="AT38" s="50"/>
      <c r="AU38" s="383">
        <v>9</v>
      </c>
      <c r="AV38" s="384">
        <f>ROUND(AV34/AB25*AB29,3)</f>
        <v>6.3E-2</v>
      </c>
      <c r="AW38" s="385" t="s">
        <v>303</v>
      </c>
      <c r="AY38" s="40"/>
      <c r="AZ38" s="40"/>
      <c r="BA38" s="40"/>
      <c r="BE38" s="40">
        <v>52</v>
      </c>
      <c r="BF38" s="40">
        <v>9.0779999999999994</v>
      </c>
      <c r="BG38" s="40">
        <v>6.6769999999999996</v>
      </c>
      <c r="BJ38" s="406"/>
      <c r="BQ38">
        <v>32</v>
      </c>
      <c r="BR38" s="26" t="e">
        <f t="shared" si="37"/>
        <v>#N/A</v>
      </c>
      <c r="BS38" s="26" t="e">
        <f t="shared" si="38"/>
        <v>#N/A</v>
      </c>
      <c r="BT38" s="26"/>
      <c r="BU38" s="29">
        <v>32</v>
      </c>
      <c r="BV38" s="26" t="e">
        <f t="shared" ref="BV38:BV69" si="52">BR38-CH38</f>
        <v>#N/A</v>
      </c>
      <c r="BW38" s="26" t="e">
        <f t="shared" ref="BW38:BW69" si="53">BS38-CI38</f>
        <v>#N/A</v>
      </c>
      <c r="BY38" s="29">
        <v>32</v>
      </c>
      <c r="BZ38" s="26" t="e">
        <f t="shared" si="39"/>
        <v>#N/A</v>
      </c>
      <c r="CA38" s="26" t="e">
        <f t="shared" si="40"/>
        <v>#N/A</v>
      </c>
      <c r="CC38" s="29">
        <v>32</v>
      </c>
      <c r="CD38" s="26" t="e">
        <f t="shared" si="41"/>
        <v>#N/A</v>
      </c>
      <c r="CE38" s="26" t="e">
        <f t="shared" si="42"/>
        <v>#N/A</v>
      </c>
      <c r="CG38">
        <v>32</v>
      </c>
      <c r="CH38" s="24" t="e">
        <f t="shared" ref="CH38:CH69" si="54">ROUND((H36*$BN$4*$BN$5*$BN$6*$BN$7*$BN$8*$BN$9),4)</f>
        <v>#N/A</v>
      </c>
      <c r="CI38" s="24" t="e">
        <f t="shared" ref="CI38:CI69" si="55">ROUND((I36*$BN$4*$BN$5*$BN$6*$BN$7*$BN$8*$BN$9),4)</f>
        <v>#N/A</v>
      </c>
      <c r="CJ38" s="27">
        <f t="shared" ref="CJ38:CJ69" si="56">ROUND(IF($CK$1=1,CH38*$BI$7,0),4)</f>
        <v>0</v>
      </c>
      <c r="CK38" s="27">
        <f t="shared" ref="CK38:CK69" si="57">ROUND(IF($CK$1=1,CI38*$BI$7,0),4)</f>
        <v>0</v>
      </c>
      <c r="CL38" s="26">
        <f t="shared" ref="CL38:CL69" si="58">ROUND(IF($CM$1=1,((D36*$BN$4*$BN$5*$BN$7*$BN$8*$BN$9)/(1-$L$7))*$AJ$3,0),4)</f>
        <v>0</v>
      </c>
      <c r="CM38" s="26">
        <f t="shared" ref="CM38:CM69" si="59">ROUND(IF($CM$1=1,((E36*$BN$4*$BN$5*$BN$7*$BN$8*$BN$9)/(1-$L$7))*$AJ$3,0),4)</f>
        <v>0</v>
      </c>
      <c r="CN38" s="27">
        <f t="shared" ref="CN38:CN69" si="60">ROUND(IF($CO$1=1,((D36*$BN$4*$BN$5*$BN$6*$BN$8*$BN$9)/(1-$L$7))*$AJ$11,0),4)</f>
        <v>0</v>
      </c>
      <c r="CO38" s="27">
        <f t="shared" ref="CO38:CO69" si="61">ROUND(IF($CO$1=1,((E36*$BN$4*$BN$5*$BN$6*$BN$8*$BN$9)/(1-$L$7))*$AJ$11,0),4)</f>
        <v>0</v>
      </c>
      <c r="CP38" s="27">
        <f t="shared" ref="CP38:CP69" si="62">ROUND(IF($CQ$1=1,CH38*$AJ$7,0),4)</f>
        <v>0</v>
      </c>
      <c r="CQ38" s="27">
        <f t="shared" ref="CQ38:CQ69" si="63">ROUND(IF($CQ$1=1,CI38*$AJ$7,0),4)</f>
        <v>0</v>
      </c>
      <c r="CR38" s="24">
        <f t="shared" ref="CR38:CR69" si="64">ROUND(IF($CS$1=1,((D36*$CS$2*$BN$4*$BN$5)/(1-$L$7)),0),4)</f>
        <v>0</v>
      </c>
      <c r="CS38" s="24">
        <f t="shared" ref="CS38:CS69" si="65">ROUND(IF($CS$1=1,((E36*$CS$2*$BN$4*$BN$5)/(1-$L$7)),0),4)</f>
        <v>0</v>
      </c>
      <c r="CT38">
        <v>0</v>
      </c>
      <c r="CU38" s="24">
        <f t="shared" si="49"/>
        <v>0</v>
      </c>
      <c r="CV38" s="27">
        <f t="shared" ref="CV38:CV69" si="66">ROUND(IF($CW$1=1,(D36*$BN$5*$BN$6*$BN$7*$BN$8*$BN$9*$CW$2)/(1-$L$7),0),4)</f>
        <v>0</v>
      </c>
      <c r="CW38" s="27">
        <f t="shared" ref="CW38:CW69" si="67">ROUND(IF($CW$1=1,(E36*$BN$5*$BN$6*$BN$7*$BN$8*$BN$9*$CW$2)/(1-$L$7),0),4)</f>
        <v>0</v>
      </c>
      <c r="CX38" s="27">
        <f t="shared" ref="CX38:CX69" si="68">ROUND(IF($CY$1=1,(D36*$BN$4*$BN$5*$BI$3)/(1-$L$7),0),4)</f>
        <v>0</v>
      </c>
      <c r="CY38" s="27">
        <f t="shared" ref="CY38:CY69" si="69">ROUND(IF($CY$1=1,(E36*$BN$4*$BN$5*$BI$3)/(1-$L$7),0),4)</f>
        <v>0</v>
      </c>
      <c r="CZ38" s="24">
        <f t="shared" ref="CZ38:CZ69" si="70">ROUND(IF($DA$1=1,(D36*$AW$3)/(1-$L$7),0),4)</f>
        <v>0</v>
      </c>
      <c r="DA38" s="24">
        <f t="shared" ref="DA38:DA69" si="71">ROUND(IF($DA$1=1,(E36*$AW$3)/(1-$L$7),0),4)</f>
        <v>0</v>
      </c>
      <c r="DB38" s="27">
        <f t="shared" ref="DB38:DB69" si="72">ROUND(IF($DC$1=1,CH38*$AW$7,0),4)</f>
        <v>0</v>
      </c>
      <c r="DC38" s="27">
        <f t="shared" ref="DC38:DC69" si="73">ROUND(IF($DC$1=1,CI38*$AW$7,0),4)</f>
        <v>0</v>
      </c>
      <c r="DD38" s="27">
        <f t="shared" ref="DD38:DD69" si="74">ROUND(IF($DE$1=1,(D36*$BN$4*$BN$5*$BN$7*$BN$8*$BN$9*$DE$2)/(1-$L$7),0),4)</f>
        <v>0</v>
      </c>
      <c r="DE38" s="27">
        <f t="shared" ref="DE38:DE69" si="75">ROUND(IF($DE$1=1,(E36*$BN$4*$BN$5*$BN$7*$BN$8*$BN$9*$DE$2)/(1-$L$7),0),4)</f>
        <v>0</v>
      </c>
      <c r="DF38" s="24">
        <f t="shared" ref="DF38:DF69" si="76">ROUND(IF($DG$1=1,((D36*$BN$4*$BN$5*$BN$6*$BN$9)/(1-$L$7))*$BC$7,0),4)</f>
        <v>0</v>
      </c>
      <c r="DG38" s="24">
        <f t="shared" ref="DG38:DG69" si="77">ROUND(IF($DG$1=1,((E36*$BN$4*$BN$5*$BN$6*$BN$9)/(1-$L$7))*$BC$7,0),4)</f>
        <v>0</v>
      </c>
      <c r="DH38" s="24">
        <f t="shared" ref="DH38:DH69" si="78">ROUND(IF($DI$1=1,(D36*$BC$3)/(1-$L$7),0),4)</f>
        <v>0</v>
      </c>
      <c r="DI38" s="24">
        <f t="shared" ref="DI38:DI69" si="79">ROUND(IF($DI$1=1,(E36*$BC$3)/(1-$L$7),0),4)</f>
        <v>0</v>
      </c>
      <c r="DJ38" s="26">
        <f t="shared" si="50"/>
        <v>0</v>
      </c>
      <c r="DK38" s="26">
        <f t="shared" si="51"/>
        <v>0</v>
      </c>
      <c r="DP38" s="27"/>
      <c r="DQ38" s="27"/>
      <c r="DR38" s="27">
        <f t="shared" ref="DR38:DR69" si="80">+CV38</f>
        <v>0</v>
      </c>
      <c r="DS38" s="27">
        <f t="shared" ref="DS38:DS69" si="81">+CW38</f>
        <v>0</v>
      </c>
      <c r="DT38" s="27">
        <f t="shared" ref="DT38:DT69" si="82">ROUND(IF($DS$1=1,CH38*$DS$2,0),4)</f>
        <v>0</v>
      </c>
      <c r="DU38" s="27">
        <f t="shared" ref="DU38:DU69" si="83">ROUND(IF($DS$1=1,CI38*$DS$2,0),4)</f>
        <v>0</v>
      </c>
      <c r="DV38" s="27">
        <f t="shared" si="44"/>
        <v>0</v>
      </c>
      <c r="DW38" s="27">
        <f t="shared" si="45"/>
        <v>0</v>
      </c>
      <c r="DX38" s="27">
        <f t="shared" ref="DX38:DX69" si="84">ROUND(IF($DY$1=1,(D36*$BN$5*$BN$7*$BN$8*$BN$9*$DY$2)/(1-$L$7),0),4)</f>
        <v>0</v>
      </c>
      <c r="DY38" s="27">
        <f t="shared" ref="DY38:DY69" si="85">ROUND(IF($DY$1=1,(E36*$BN$5*$BN$7*$BN$8*$BN$9*$DY$2)/(1-$L$7),0),4)</f>
        <v>0</v>
      </c>
      <c r="DZ38" s="27">
        <f t="shared" ref="DZ38:DZ69" si="86">DD38</f>
        <v>0</v>
      </c>
      <c r="EA38" s="27">
        <f t="shared" ref="EA38:EA69" si="87">DE38</f>
        <v>0</v>
      </c>
      <c r="EB38" s="27">
        <f t="shared" si="46"/>
        <v>0</v>
      </c>
      <c r="EC38" s="27">
        <f t="shared" si="47"/>
        <v>0</v>
      </c>
    </row>
    <row r="39" spans="1:133" x14ac:dyDescent="0.35">
      <c r="A39" s="405"/>
      <c r="C39" s="31">
        <v>35</v>
      </c>
      <c r="D39" s="32">
        <v>12016.97</v>
      </c>
      <c r="E39" s="32">
        <v>16103.22</v>
      </c>
      <c r="F39" s="72"/>
      <c r="G39" s="31">
        <v>35</v>
      </c>
      <c r="H39" s="32">
        <v>21458.880000000001</v>
      </c>
      <c r="I39" s="32">
        <v>28755.75</v>
      </c>
      <c r="AH39" s="406"/>
      <c r="AN39" s="40">
        <v>35</v>
      </c>
      <c r="AO39" s="46">
        <v>9.2773265439587471E-2</v>
      </c>
      <c r="AU39" s="376"/>
      <c r="AV39" s="376"/>
      <c r="AW39" s="376"/>
      <c r="BE39" s="40">
        <v>53</v>
      </c>
      <c r="BF39" s="40">
        <v>10.012</v>
      </c>
      <c r="BG39" s="40">
        <v>7.0650000000000004</v>
      </c>
      <c r="BJ39" s="406"/>
      <c r="BQ39">
        <v>33</v>
      </c>
      <c r="BR39" s="26" t="e">
        <f t="shared" si="37"/>
        <v>#N/A</v>
      </c>
      <c r="BS39" s="26" t="e">
        <f t="shared" si="38"/>
        <v>#N/A</v>
      </c>
      <c r="BT39" s="26"/>
      <c r="BU39" s="29">
        <v>33</v>
      </c>
      <c r="BV39" s="26" t="e">
        <f t="shared" si="52"/>
        <v>#N/A</v>
      </c>
      <c r="BW39" s="26" t="e">
        <f t="shared" si="53"/>
        <v>#N/A</v>
      </c>
      <c r="BY39" s="29">
        <v>33</v>
      </c>
      <c r="BZ39" s="26" t="e">
        <f t="shared" si="39"/>
        <v>#N/A</v>
      </c>
      <c r="CA39" s="26" t="e">
        <f t="shared" si="40"/>
        <v>#N/A</v>
      </c>
      <c r="CC39" s="29">
        <v>33</v>
      </c>
      <c r="CD39" s="26" t="e">
        <f t="shared" si="41"/>
        <v>#N/A</v>
      </c>
      <c r="CE39" s="26" t="e">
        <f t="shared" si="42"/>
        <v>#N/A</v>
      </c>
      <c r="CG39">
        <v>33</v>
      </c>
      <c r="CH39" s="24" t="e">
        <f t="shared" si="54"/>
        <v>#N/A</v>
      </c>
      <c r="CI39" s="24" t="e">
        <f t="shared" si="55"/>
        <v>#N/A</v>
      </c>
      <c r="CJ39" s="27">
        <f t="shared" si="56"/>
        <v>0</v>
      </c>
      <c r="CK39" s="27">
        <f t="shared" si="57"/>
        <v>0</v>
      </c>
      <c r="CL39" s="26">
        <f t="shared" si="58"/>
        <v>0</v>
      </c>
      <c r="CM39" s="26">
        <f t="shared" si="59"/>
        <v>0</v>
      </c>
      <c r="CN39" s="27">
        <f t="shared" si="60"/>
        <v>0</v>
      </c>
      <c r="CO39" s="27">
        <f t="shared" si="61"/>
        <v>0</v>
      </c>
      <c r="CP39" s="27">
        <f t="shared" si="62"/>
        <v>0</v>
      </c>
      <c r="CQ39" s="27">
        <f t="shared" si="63"/>
        <v>0</v>
      </c>
      <c r="CR39" s="24">
        <f t="shared" si="64"/>
        <v>0</v>
      </c>
      <c r="CS39" s="24">
        <f t="shared" si="65"/>
        <v>0</v>
      </c>
      <c r="CT39">
        <v>0</v>
      </c>
      <c r="CU39" s="24">
        <f t="shared" si="49"/>
        <v>0</v>
      </c>
      <c r="CV39" s="27">
        <f t="shared" si="66"/>
        <v>0</v>
      </c>
      <c r="CW39" s="27">
        <f t="shared" si="67"/>
        <v>0</v>
      </c>
      <c r="CX39" s="27">
        <f t="shared" si="68"/>
        <v>0</v>
      </c>
      <c r="CY39" s="27">
        <f t="shared" si="69"/>
        <v>0</v>
      </c>
      <c r="CZ39" s="24">
        <f t="shared" si="70"/>
        <v>0</v>
      </c>
      <c r="DA39" s="24">
        <f t="shared" si="71"/>
        <v>0</v>
      </c>
      <c r="DB39" s="27">
        <f t="shared" si="72"/>
        <v>0</v>
      </c>
      <c r="DC39" s="27">
        <f t="shared" si="73"/>
        <v>0</v>
      </c>
      <c r="DD39" s="27">
        <f t="shared" si="74"/>
        <v>0</v>
      </c>
      <c r="DE39" s="27">
        <f t="shared" si="75"/>
        <v>0</v>
      </c>
      <c r="DF39" s="24">
        <f t="shared" si="76"/>
        <v>0</v>
      </c>
      <c r="DG39" s="24">
        <f t="shared" si="77"/>
        <v>0</v>
      </c>
      <c r="DH39" s="24">
        <f t="shared" si="78"/>
        <v>0</v>
      </c>
      <c r="DI39" s="24">
        <f t="shared" si="79"/>
        <v>0</v>
      </c>
      <c r="DJ39" s="26">
        <f t="shared" si="50"/>
        <v>0</v>
      </c>
      <c r="DK39" s="26">
        <f t="shared" si="51"/>
        <v>0</v>
      </c>
      <c r="DP39" s="27"/>
      <c r="DQ39" s="27"/>
      <c r="DR39" s="27">
        <f t="shared" si="80"/>
        <v>0</v>
      </c>
      <c r="DS39" s="27">
        <f t="shared" si="81"/>
        <v>0</v>
      </c>
      <c r="DT39" s="27">
        <f t="shared" si="82"/>
        <v>0</v>
      </c>
      <c r="DU39" s="27">
        <f t="shared" si="83"/>
        <v>0</v>
      </c>
      <c r="DV39" s="27">
        <f t="shared" si="44"/>
        <v>0</v>
      </c>
      <c r="DW39" s="27">
        <f t="shared" si="45"/>
        <v>0</v>
      </c>
      <c r="DX39" s="27">
        <f t="shared" si="84"/>
        <v>0</v>
      </c>
      <c r="DY39" s="27">
        <f t="shared" si="85"/>
        <v>0</v>
      </c>
      <c r="DZ39" s="27">
        <f t="shared" si="86"/>
        <v>0</v>
      </c>
      <c r="EA39" s="27">
        <f t="shared" si="87"/>
        <v>0</v>
      </c>
      <c r="EB39" s="27">
        <f t="shared" si="46"/>
        <v>0</v>
      </c>
      <c r="EC39" s="27">
        <f t="shared" si="47"/>
        <v>0</v>
      </c>
    </row>
    <row r="40" spans="1:133" x14ac:dyDescent="0.35">
      <c r="A40" s="405"/>
      <c r="C40" s="31">
        <v>36</v>
      </c>
      <c r="D40" s="32">
        <v>12461.99</v>
      </c>
      <c r="E40" s="32">
        <v>16517.38</v>
      </c>
      <c r="F40" s="72"/>
      <c r="G40" s="31">
        <v>36</v>
      </c>
      <c r="H40" s="32">
        <v>22253.55</v>
      </c>
      <c r="I40" s="32">
        <v>29495.32</v>
      </c>
      <c r="AH40" s="406"/>
      <c r="AN40" s="40">
        <v>36</v>
      </c>
      <c r="AO40" s="46">
        <v>8.0073265439587468E-2</v>
      </c>
      <c r="AQ40" s="386" t="s">
        <v>161</v>
      </c>
      <c r="AR40" s="386"/>
      <c r="AS40" s="386"/>
      <c r="AU40" s="386" t="s">
        <v>161</v>
      </c>
      <c r="AV40" s="386"/>
      <c r="AW40" s="376"/>
      <c r="AY40" s="386" t="s">
        <v>165</v>
      </c>
      <c r="AZ40" s="386"/>
      <c r="BA40" s="386"/>
      <c r="BE40" s="40">
        <v>54</v>
      </c>
      <c r="BF40" s="40">
        <v>10.935</v>
      </c>
      <c r="BG40" s="40">
        <v>7.4240000000000004</v>
      </c>
      <c r="BJ40" s="406"/>
      <c r="BQ40">
        <v>34</v>
      </c>
      <c r="BR40" s="26" t="e">
        <f t="shared" si="37"/>
        <v>#N/A</v>
      </c>
      <c r="BS40" s="26" t="e">
        <f t="shared" si="38"/>
        <v>#N/A</v>
      </c>
      <c r="BT40" s="26"/>
      <c r="BU40" s="29">
        <v>34</v>
      </c>
      <c r="BV40" s="26" t="e">
        <f t="shared" si="52"/>
        <v>#N/A</v>
      </c>
      <c r="BW40" s="26" t="e">
        <f t="shared" si="53"/>
        <v>#N/A</v>
      </c>
      <c r="BY40" s="29">
        <v>34</v>
      </c>
      <c r="BZ40" s="26" t="e">
        <f t="shared" si="39"/>
        <v>#N/A</v>
      </c>
      <c r="CA40" s="26" t="e">
        <f t="shared" si="40"/>
        <v>#N/A</v>
      </c>
      <c r="CC40" s="29">
        <v>34</v>
      </c>
      <c r="CD40" s="26" t="e">
        <f t="shared" si="41"/>
        <v>#N/A</v>
      </c>
      <c r="CE40" s="26" t="e">
        <f t="shared" si="42"/>
        <v>#N/A</v>
      </c>
      <c r="CG40">
        <v>34</v>
      </c>
      <c r="CH40" s="24" t="e">
        <f t="shared" si="54"/>
        <v>#N/A</v>
      </c>
      <c r="CI40" s="24" t="e">
        <f t="shared" si="55"/>
        <v>#N/A</v>
      </c>
      <c r="CJ40" s="27">
        <f t="shared" si="56"/>
        <v>0</v>
      </c>
      <c r="CK40" s="27">
        <f t="shared" si="57"/>
        <v>0</v>
      </c>
      <c r="CL40" s="26">
        <f t="shared" si="58"/>
        <v>0</v>
      </c>
      <c r="CM40" s="26">
        <f t="shared" si="59"/>
        <v>0</v>
      </c>
      <c r="CN40" s="27">
        <f t="shared" si="60"/>
        <v>0</v>
      </c>
      <c r="CO40" s="27">
        <f t="shared" si="61"/>
        <v>0</v>
      </c>
      <c r="CP40" s="27">
        <f t="shared" si="62"/>
        <v>0</v>
      </c>
      <c r="CQ40" s="27">
        <f t="shared" si="63"/>
        <v>0</v>
      </c>
      <c r="CR40" s="24">
        <f t="shared" si="64"/>
        <v>0</v>
      </c>
      <c r="CS40" s="24">
        <f t="shared" si="65"/>
        <v>0</v>
      </c>
      <c r="CT40">
        <v>0</v>
      </c>
      <c r="CU40" s="24">
        <f t="shared" si="49"/>
        <v>0</v>
      </c>
      <c r="CV40" s="27">
        <f t="shared" si="66"/>
        <v>0</v>
      </c>
      <c r="CW40" s="27">
        <f t="shared" si="67"/>
        <v>0</v>
      </c>
      <c r="CX40" s="27">
        <f t="shared" si="68"/>
        <v>0</v>
      </c>
      <c r="CY40" s="27">
        <f t="shared" si="69"/>
        <v>0</v>
      </c>
      <c r="CZ40" s="24">
        <f t="shared" si="70"/>
        <v>0</v>
      </c>
      <c r="DA40" s="24">
        <f t="shared" si="71"/>
        <v>0</v>
      </c>
      <c r="DB40" s="27">
        <f t="shared" si="72"/>
        <v>0</v>
      </c>
      <c r="DC40" s="27">
        <f t="shared" si="73"/>
        <v>0</v>
      </c>
      <c r="DD40" s="27">
        <f t="shared" si="74"/>
        <v>0</v>
      </c>
      <c r="DE40" s="27">
        <f t="shared" si="75"/>
        <v>0</v>
      </c>
      <c r="DF40" s="24">
        <f t="shared" si="76"/>
        <v>0</v>
      </c>
      <c r="DG40" s="24">
        <f t="shared" si="77"/>
        <v>0</v>
      </c>
      <c r="DH40" s="24">
        <f t="shared" si="78"/>
        <v>0</v>
      </c>
      <c r="DI40" s="24">
        <f t="shared" si="79"/>
        <v>0</v>
      </c>
      <c r="DJ40" s="26">
        <f t="shared" si="50"/>
        <v>0</v>
      </c>
      <c r="DK40" s="26">
        <f t="shared" si="51"/>
        <v>0</v>
      </c>
      <c r="DP40" s="27"/>
      <c r="DQ40" s="27"/>
      <c r="DR40" s="27">
        <f t="shared" si="80"/>
        <v>0</v>
      </c>
      <c r="DS40" s="27">
        <f t="shared" si="81"/>
        <v>0</v>
      </c>
      <c r="DT40" s="27">
        <f t="shared" si="82"/>
        <v>0</v>
      </c>
      <c r="DU40" s="27">
        <f t="shared" si="83"/>
        <v>0</v>
      </c>
      <c r="DV40" s="27">
        <f t="shared" si="44"/>
        <v>0</v>
      </c>
      <c r="DW40" s="27">
        <f t="shared" si="45"/>
        <v>0</v>
      </c>
      <c r="DX40" s="27">
        <f t="shared" si="84"/>
        <v>0</v>
      </c>
      <c r="DY40" s="27">
        <f t="shared" si="85"/>
        <v>0</v>
      </c>
      <c r="DZ40" s="27">
        <f t="shared" si="86"/>
        <v>0</v>
      </c>
      <c r="EA40" s="27">
        <f t="shared" si="87"/>
        <v>0</v>
      </c>
      <c r="EB40" s="27">
        <f t="shared" si="46"/>
        <v>0</v>
      </c>
      <c r="EC40" s="27">
        <f t="shared" si="47"/>
        <v>0</v>
      </c>
    </row>
    <row r="41" spans="1:133" x14ac:dyDescent="0.35">
      <c r="A41" s="405"/>
      <c r="C41" s="31">
        <v>37</v>
      </c>
      <c r="D41" s="32">
        <v>12957.18</v>
      </c>
      <c r="E41" s="32">
        <v>17200.349999999999</v>
      </c>
      <c r="F41" s="72"/>
      <c r="G41" s="31">
        <v>37</v>
      </c>
      <c r="H41" s="32">
        <v>23137.82</v>
      </c>
      <c r="I41" s="32">
        <v>30714.91</v>
      </c>
      <c r="AH41" s="406"/>
      <c r="AN41" s="40">
        <v>37</v>
      </c>
      <c r="AO41" s="46">
        <v>8.0073265439587468E-2</v>
      </c>
      <c r="AQ41" s="30" t="s">
        <v>104</v>
      </c>
      <c r="AR41" s="30" t="s">
        <v>132</v>
      </c>
      <c r="AS41" s="30" t="s">
        <v>102</v>
      </c>
      <c r="AU41" s="30" t="s">
        <v>159</v>
      </c>
      <c r="AV41" s="30" t="s">
        <v>102</v>
      </c>
      <c r="AW41" s="376"/>
      <c r="AY41" s="30" t="s">
        <v>104</v>
      </c>
      <c r="AZ41" s="30" t="s">
        <v>105</v>
      </c>
      <c r="BA41" s="30" t="s">
        <v>14</v>
      </c>
      <c r="BE41" s="40">
        <v>55</v>
      </c>
      <c r="BF41" s="40">
        <v>11.872999999999999</v>
      </c>
      <c r="BG41" s="40">
        <v>7.7750000000000004</v>
      </c>
      <c r="BJ41" s="406"/>
      <c r="BQ41">
        <v>35</v>
      </c>
      <c r="BR41" s="26" t="e">
        <f t="shared" si="37"/>
        <v>#N/A</v>
      </c>
      <c r="BS41" s="26" t="e">
        <f t="shared" si="38"/>
        <v>#N/A</v>
      </c>
      <c r="BT41" s="26"/>
      <c r="BU41" s="29">
        <v>35</v>
      </c>
      <c r="BV41" s="26" t="e">
        <f t="shared" si="52"/>
        <v>#N/A</v>
      </c>
      <c r="BW41" s="26" t="e">
        <f t="shared" si="53"/>
        <v>#N/A</v>
      </c>
      <c r="BY41" s="29">
        <v>35</v>
      </c>
      <c r="BZ41" s="26" t="e">
        <f t="shared" si="39"/>
        <v>#N/A</v>
      </c>
      <c r="CA41" s="26" t="e">
        <f t="shared" si="40"/>
        <v>#N/A</v>
      </c>
      <c r="CC41" s="29">
        <v>35</v>
      </c>
      <c r="CD41" s="26" t="e">
        <f t="shared" si="41"/>
        <v>#N/A</v>
      </c>
      <c r="CE41" s="26" t="e">
        <f t="shared" si="42"/>
        <v>#N/A</v>
      </c>
      <c r="CG41">
        <v>35</v>
      </c>
      <c r="CH41" s="24" t="e">
        <f t="shared" si="54"/>
        <v>#N/A</v>
      </c>
      <c r="CI41" s="24" t="e">
        <f t="shared" si="55"/>
        <v>#N/A</v>
      </c>
      <c r="CJ41" s="27">
        <f t="shared" si="56"/>
        <v>0</v>
      </c>
      <c r="CK41" s="27">
        <f t="shared" si="57"/>
        <v>0</v>
      </c>
      <c r="CL41" s="26">
        <f t="shared" si="58"/>
        <v>0</v>
      </c>
      <c r="CM41" s="26">
        <f t="shared" si="59"/>
        <v>0</v>
      </c>
      <c r="CN41" s="27">
        <f t="shared" si="60"/>
        <v>0</v>
      </c>
      <c r="CO41" s="27">
        <f t="shared" si="61"/>
        <v>0</v>
      </c>
      <c r="CP41" s="27">
        <f t="shared" si="62"/>
        <v>0</v>
      </c>
      <c r="CQ41" s="27">
        <f t="shared" si="63"/>
        <v>0</v>
      </c>
      <c r="CR41" s="24">
        <f t="shared" si="64"/>
        <v>0</v>
      </c>
      <c r="CS41" s="24">
        <f t="shared" si="65"/>
        <v>0</v>
      </c>
      <c r="CT41">
        <v>0</v>
      </c>
      <c r="CU41" s="24">
        <f t="shared" si="49"/>
        <v>0</v>
      </c>
      <c r="CV41" s="27">
        <f t="shared" si="66"/>
        <v>0</v>
      </c>
      <c r="CW41" s="27">
        <f t="shared" si="67"/>
        <v>0</v>
      </c>
      <c r="CX41" s="27">
        <f t="shared" si="68"/>
        <v>0</v>
      </c>
      <c r="CY41" s="27">
        <f t="shared" si="69"/>
        <v>0</v>
      </c>
      <c r="CZ41" s="24">
        <f t="shared" si="70"/>
        <v>0</v>
      </c>
      <c r="DA41" s="24">
        <f t="shared" si="71"/>
        <v>0</v>
      </c>
      <c r="DB41" s="27">
        <f t="shared" si="72"/>
        <v>0</v>
      </c>
      <c r="DC41" s="27">
        <f t="shared" si="73"/>
        <v>0</v>
      </c>
      <c r="DD41" s="27">
        <f t="shared" si="74"/>
        <v>0</v>
      </c>
      <c r="DE41" s="27">
        <f t="shared" si="75"/>
        <v>0</v>
      </c>
      <c r="DF41" s="24">
        <f t="shared" si="76"/>
        <v>0</v>
      </c>
      <c r="DG41" s="24">
        <f t="shared" si="77"/>
        <v>0</v>
      </c>
      <c r="DH41" s="24">
        <f t="shared" si="78"/>
        <v>0</v>
      </c>
      <c r="DI41" s="24">
        <f t="shared" si="79"/>
        <v>0</v>
      </c>
      <c r="DJ41" s="26">
        <f t="shared" si="50"/>
        <v>0</v>
      </c>
      <c r="DK41" s="26">
        <f t="shared" si="51"/>
        <v>0</v>
      </c>
      <c r="DP41" s="27"/>
      <c r="DQ41" s="27"/>
      <c r="DR41" s="27">
        <f t="shared" si="80"/>
        <v>0</v>
      </c>
      <c r="DS41" s="27">
        <f t="shared" si="81"/>
        <v>0</v>
      </c>
      <c r="DT41" s="27">
        <f t="shared" si="82"/>
        <v>0</v>
      </c>
      <c r="DU41" s="27">
        <f t="shared" si="83"/>
        <v>0</v>
      </c>
      <c r="DV41" s="27">
        <f t="shared" si="44"/>
        <v>0</v>
      </c>
      <c r="DW41" s="27">
        <f t="shared" si="45"/>
        <v>0</v>
      </c>
      <c r="DX41" s="27">
        <f t="shared" si="84"/>
        <v>0</v>
      </c>
      <c r="DY41" s="27">
        <f t="shared" si="85"/>
        <v>0</v>
      </c>
      <c r="DZ41" s="27">
        <f t="shared" si="86"/>
        <v>0</v>
      </c>
      <c r="EA41" s="27">
        <f t="shared" si="87"/>
        <v>0</v>
      </c>
      <c r="EB41" s="27">
        <f t="shared" si="46"/>
        <v>0</v>
      </c>
      <c r="EC41" s="27">
        <f t="shared" si="47"/>
        <v>0</v>
      </c>
    </row>
    <row r="42" spans="1:133" x14ac:dyDescent="0.35">
      <c r="A42" s="405"/>
      <c r="C42" s="31">
        <v>38</v>
      </c>
      <c r="D42" s="32">
        <v>13506.39</v>
      </c>
      <c r="E42" s="32">
        <v>17946.349999999999</v>
      </c>
      <c r="F42" s="72"/>
      <c r="G42" s="31">
        <v>38</v>
      </c>
      <c r="H42" s="32">
        <v>24118.55</v>
      </c>
      <c r="I42" s="32">
        <v>32047.05</v>
      </c>
      <c r="AH42" s="406"/>
      <c r="AN42" s="40">
        <v>38</v>
      </c>
      <c r="AO42" s="46">
        <v>8.0073265439587468E-2</v>
      </c>
      <c r="AQ42" s="40" t="s">
        <v>15</v>
      </c>
      <c r="AR42" s="40">
        <v>3</v>
      </c>
      <c r="AS42" s="49">
        <f>VLOOKUP(AR42,$AU$42:$AV$48,2,0)</f>
        <v>0.111</v>
      </c>
      <c r="AU42" s="38">
        <v>1</v>
      </c>
      <c r="AV42" s="375">
        <f>ROUND(AV30/AB21,3)</f>
        <v>0.23599999999999999</v>
      </c>
      <c r="AW42" s="376"/>
      <c r="AY42" s="40" t="s">
        <v>15</v>
      </c>
      <c r="AZ42" s="40">
        <v>3</v>
      </c>
      <c r="BA42" s="41">
        <v>0.76854999999999996</v>
      </c>
      <c r="BE42" s="40">
        <v>56</v>
      </c>
      <c r="BF42" s="40">
        <v>12.819000000000001</v>
      </c>
      <c r="BG42" s="40">
        <v>8.0969999999999995</v>
      </c>
      <c r="BJ42" s="406"/>
      <c r="BQ42">
        <v>36</v>
      </c>
      <c r="BR42" s="26" t="e">
        <f t="shared" si="37"/>
        <v>#N/A</v>
      </c>
      <c r="BS42" s="26" t="e">
        <f t="shared" si="38"/>
        <v>#N/A</v>
      </c>
      <c r="BT42" s="26"/>
      <c r="BU42" s="29">
        <v>36</v>
      </c>
      <c r="BV42" s="26" t="e">
        <f t="shared" si="52"/>
        <v>#N/A</v>
      </c>
      <c r="BW42" s="26" t="e">
        <f t="shared" si="53"/>
        <v>#N/A</v>
      </c>
      <c r="BY42" s="29">
        <v>36</v>
      </c>
      <c r="BZ42" s="26" t="e">
        <f t="shared" si="39"/>
        <v>#N/A</v>
      </c>
      <c r="CA42" s="26" t="e">
        <f t="shared" si="40"/>
        <v>#N/A</v>
      </c>
      <c r="CC42" s="29">
        <v>36</v>
      </c>
      <c r="CD42" s="26" t="e">
        <f t="shared" si="41"/>
        <v>#N/A</v>
      </c>
      <c r="CE42" s="26" t="e">
        <f t="shared" si="42"/>
        <v>#N/A</v>
      </c>
      <c r="CG42">
        <v>36</v>
      </c>
      <c r="CH42" s="24" t="e">
        <f t="shared" si="54"/>
        <v>#N/A</v>
      </c>
      <c r="CI42" s="24" t="e">
        <f t="shared" si="55"/>
        <v>#N/A</v>
      </c>
      <c r="CJ42" s="27">
        <f t="shared" si="56"/>
        <v>0</v>
      </c>
      <c r="CK42" s="27">
        <f t="shared" si="57"/>
        <v>0</v>
      </c>
      <c r="CL42" s="26">
        <f t="shared" si="58"/>
        <v>0</v>
      </c>
      <c r="CM42" s="26">
        <f t="shared" si="59"/>
        <v>0</v>
      </c>
      <c r="CN42" s="27">
        <f t="shared" si="60"/>
        <v>0</v>
      </c>
      <c r="CO42" s="27">
        <f t="shared" si="61"/>
        <v>0</v>
      </c>
      <c r="CP42" s="27">
        <f t="shared" si="62"/>
        <v>0</v>
      </c>
      <c r="CQ42" s="27">
        <f t="shared" si="63"/>
        <v>0</v>
      </c>
      <c r="CR42" s="24">
        <f t="shared" si="64"/>
        <v>0</v>
      </c>
      <c r="CS42" s="24">
        <f t="shared" si="65"/>
        <v>0</v>
      </c>
      <c r="CT42">
        <v>0</v>
      </c>
      <c r="CU42" s="24">
        <f t="shared" si="49"/>
        <v>0</v>
      </c>
      <c r="CV42" s="27">
        <f t="shared" si="66"/>
        <v>0</v>
      </c>
      <c r="CW42" s="27">
        <f t="shared" si="67"/>
        <v>0</v>
      </c>
      <c r="CX42" s="27">
        <f t="shared" si="68"/>
        <v>0</v>
      </c>
      <c r="CY42" s="27">
        <f t="shared" si="69"/>
        <v>0</v>
      </c>
      <c r="CZ42" s="24">
        <f t="shared" si="70"/>
        <v>0</v>
      </c>
      <c r="DA42" s="24">
        <f t="shared" si="71"/>
        <v>0</v>
      </c>
      <c r="DB42" s="27">
        <f t="shared" si="72"/>
        <v>0</v>
      </c>
      <c r="DC42" s="27">
        <f t="shared" si="73"/>
        <v>0</v>
      </c>
      <c r="DD42" s="27">
        <f t="shared" si="74"/>
        <v>0</v>
      </c>
      <c r="DE42" s="27">
        <f t="shared" si="75"/>
        <v>0</v>
      </c>
      <c r="DF42" s="24">
        <f t="shared" si="76"/>
        <v>0</v>
      </c>
      <c r="DG42" s="24">
        <f t="shared" si="77"/>
        <v>0</v>
      </c>
      <c r="DH42" s="24">
        <f t="shared" si="78"/>
        <v>0</v>
      </c>
      <c r="DI42" s="24">
        <f t="shared" si="79"/>
        <v>0</v>
      </c>
      <c r="DJ42" s="26">
        <f t="shared" si="50"/>
        <v>0</v>
      </c>
      <c r="DK42" s="26">
        <f t="shared" si="51"/>
        <v>0</v>
      </c>
      <c r="DP42" s="27"/>
      <c r="DQ42" s="27"/>
      <c r="DR42" s="27">
        <f t="shared" si="80"/>
        <v>0</v>
      </c>
      <c r="DS42" s="27">
        <f t="shared" si="81"/>
        <v>0</v>
      </c>
      <c r="DT42" s="27">
        <f t="shared" si="82"/>
        <v>0</v>
      </c>
      <c r="DU42" s="27">
        <f t="shared" si="83"/>
        <v>0</v>
      </c>
      <c r="DV42" s="27">
        <f t="shared" si="44"/>
        <v>0</v>
      </c>
      <c r="DW42" s="27">
        <f t="shared" si="45"/>
        <v>0</v>
      </c>
      <c r="DX42" s="27">
        <f t="shared" si="84"/>
        <v>0</v>
      </c>
      <c r="DY42" s="27">
        <f t="shared" si="85"/>
        <v>0</v>
      </c>
      <c r="DZ42" s="27">
        <f t="shared" si="86"/>
        <v>0</v>
      </c>
      <c r="EA42" s="27">
        <f t="shared" si="87"/>
        <v>0</v>
      </c>
      <c r="EB42" s="27">
        <f t="shared" si="46"/>
        <v>0</v>
      </c>
      <c r="EC42" s="27">
        <f t="shared" si="47"/>
        <v>0</v>
      </c>
    </row>
    <row r="43" spans="1:133" x14ac:dyDescent="0.35">
      <c r="A43" s="405"/>
      <c r="C43" s="31">
        <v>39</v>
      </c>
      <c r="D43" s="32">
        <v>14117.33</v>
      </c>
      <c r="E43" s="32">
        <v>18760.509999999998</v>
      </c>
      <c r="F43" s="72"/>
      <c r="G43" s="31">
        <v>39</v>
      </c>
      <c r="H43" s="32">
        <v>25209.52</v>
      </c>
      <c r="I43" s="32">
        <v>33500.910000000003</v>
      </c>
      <c r="AH43" s="406"/>
      <c r="AN43" s="40">
        <v>39</v>
      </c>
      <c r="AO43" s="46">
        <v>8.0073265439587468E-2</v>
      </c>
      <c r="AQ43" s="40" t="s">
        <v>16</v>
      </c>
      <c r="AR43" s="40">
        <v>2</v>
      </c>
      <c r="AS43" s="49">
        <f t="shared" ref="AS43:AS74" si="88">VLOOKUP(AR43,$AU$42:$AV$48,2,0)</f>
        <v>0.17299999999999999</v>
      </c>
      <c r="AU43" s="38">
        <v>2</v>
      </c>
      <c r="AV43" s="375">
        <f t="shared" ref="AV43:AV48" si="89">ROUND(AV31/AB22,3)</f>
        <v>0.17299999999999999</v>
      </c>
      <c r="AW43" s="376"/>
      <c r="AY43" s="40" t="s">
        <v>16</v>
      </c>
      <c r="AZ43" s="40">
        <v>2</v>
      </c>
      <c r="BA43" s="41">
        <v>1.8326899999999999</v>
      </c>
      <c r="BE43" s="40">
        <v>57</v>
      </c>
      <c r="BF43" s="40">
        <v>13.756</v>
      </c>
      <c r="BG43" s="40">
        <v>8.4009999999999998</v>
      </c>
      <c r="BJ43" s="406"/>
      <c r="BQ43">
        <v>37</v>
      </c>
      <c r="BR43" s="26" t="e">
        <f t="shared" si="37"/>
        <v>#N/A</v>
      </c>
      <c r="BS43" s="26" t="e">
        <f t="shared" si="38"/>
        <v>#N/A</v>
      </c>
      <c r="BT43" s="26"/>
      <c r="BU43" s="29">
        <v>37</v>
      </c>
      <c r="BV43" s="26" t="e">
        <f t="shared" si="52"/>
        <v>#N/A</v>
      </c>
      <c r="BW43" s="26" t="e">
        <f t="shared" si="53"/>
        <v>#N/A</v>
      </c>
      <c r="BY43" s="29">
        <v>37</v>
      </c>
      <c r="BZ43" s="26" t="e">
        <f t="shared" si="39"/>
        <v>#N/A</v>
      </c>
      <c r="CA43" s="26" t="e">
        <f t="shared" si="40"/>
        <v>#N/A</v>
      </c>
      <c r="CC43" s="29">
        <v>37</v>
      </c>
      <c r="CD43" s="26" t="e">
        <f t="shared" si="41"/>
        <v>#N/A</v>
      </c>
      <c r="CE43" s="26" t="e">
        <f t="shared" si="42"/>
        <v>#N/A</v>
      </c>
      <c r="CG43">
        <v>37</v>
      </c>
      <c r="CH43" s="24" t="e">
        <f t="shared" si="54"/>
        <v>#N/A</v>
      </c>
      <c r="CI43" s="24" t="e">
        <f t="shared" si="55"/>
        <v>#N/A</v>
      </c>
      <c r="CJ43" s="27">
        <f t="shared" si="56"/>
        <v>0</v>
      </c>
      <c r="CK43" s="27">
        <f t="shared" si="57"/>
        <v>0</v>
      </c>
      <c r="CL43" s="26">
        <f t="shared" si="58"/>
        <v>0</v>
      </c>
      <c r="CM43" s="26">
        <f t="shared" si="59"/>
        <v>0</v>
      </c>
      <c r="CN43" s="27">
        <f t="shared" si="60"/>
        <v>0</v>
      </c>
      <c r="CO43" s="27">
        <f t="shared" si="61"/>
        <v>0</v>
      </c>
      <c r="CP43" s="27">
        <f t="shared" si="62"/>
        <v>0</v>
      </c>
      <c r="CQ43" s="27">
        <f t="shared" si="63"/>
        <v>0</v>
      </c>
      <c r="CR43" s="24">
        <f t="shared" si="64"/>
        <v>0</v>
      </c>
      <c r="CS43" s="24">
        <f t="shared" si="65"/>
        <v>0</v>
      </c>
      <c r="CT43">
        <v>0</v>
      </c>
      <c r="CU43" s="24">
        <f t="shared" si="49"/>
        <v>0</v>
      </c>
      <c r="CV43" s="27">
        <f t="shared" si="66"/>
        <v>0</v>
      </c>
      <c r="CW43" s="27">
        <f t="shared" si="67"/>
        <v>0</v>
      </c>
      <c r="CX43" s="27">
        <f t="shared" si="68"/>
        <v>0</v>
      </c>
      <c r="CY43" s="27">
        <f t="shared" si="69"/>
        <v>0</v>
      </c>
      <c r="CZ43" s="24">
        <f t="shared" si="70"/>
        <v>0</v>
      </c>
      <c r="DA43" s="24">
        <f t="shared" si="71"/>
        <v>0</v>
      </c>
      <c r="DB43" s="27">
        <f t="shared" si="72"/>
        <v>0</v>
      </c>
      <c r="DC43" s="27">
        <f t="shared" si="73"/>
        <v>0</v>
      </c>
      <c r="DD43" s="27">
        <f t="shared" si="74"/>
        <v>0</v>
      </c>
      <c r="DE43" s="27">
        <f t="shared" si="75"/>
        <v>0</v>
      </c>
      <c r="DF43" s="24">
        <f t="shared" si="76"/>
        <v>0</v>
      </c>
      <c r="DG43" s="24">
        <f t="shared" si="77"/>
        <v>0</v>
      </c>
      <c r="DH43" s="24">
        <f t="shared" si="78"/>
        <v>0</v>
      </c>
      <c r="DI43" s="24">
        <f t="shared" si="79"/>
        <v>0</v>
      </c>
      <c r="DJ43" s="26">
        <f t="shared" si="50"/>
        <v>0</v>
      </c>
      <c r="DK43" s="26">
        <f t="shared" si="51"/>
        <v>0</v>
      </c>
      <c r="DP43" s="27"/>
      <c r="DQ43" s="27"/>
      <c r="DR43" s="27">
        <f t="shared" si="80"/>
        <v>0</v>
      </c>
      <c r="DS43" s="27">
        <f t="shared" si="81"/>
        <v>0</v>
      </c>
      <c r="DT43" s="27">
        <f t="shared" si="82"/>
        <v>0</v>
      </c>
      <c r="DU43" s="27">
        <f t="shared" si="83"/>
        <v>0</v>
      </c>
      <c r="DV43" s="27">
        <f t="shared" si="44"/>
        <v>0</v>
      </c>
      <c r="DW43" s="27">
        <f t="shared" si="45"/>
        <v>0</v>
      </c>
      <c r="DX43" s="27">
        <f t="shared" si="84"/>
        <v>0</v>
      </c>
      <c r="DY43" s="27">
        <f t="shared" si="85"/>
        <v>0</v>
      </c>
      <c r="DZ43" s="27">
        <f t="shared" si="86"/>
        <v>0</v>
      </c>
      <c r="EA43" s="27">
        <f t="shared" si="87"/>
        <v>0</v>
      </c>
      <c r="EB43" s="27">
        <f t="shared" si="46"/>
        <v>0</v>
      </c>
      <c r="EC43" s="27">
        <f t="shared" si="47"/>
        <v>0</v>
      </c>
    </row>
    <row r="44" spans="1:133" x14ac:dyDescent="0.35">
      <c r="A44" s="405"/>
      <c r="C44" s="31">
        <v>40</v>
      </c>
      <c r="D44" s="32">
        <v>14793.87</v>
      </c>
      <c r="E44" s="32">
        <v>19646.71</v>
      </c>
      <c r="F44" s="72"/>
      <c r="G44" s="31">
        <v>40</v>
      </c>
      <c r="H44" s="32">
        <v>26417.63</v>
      </c>
      <c r="I44" s="32">
        <v>35083.410000000003</v>
      </c>
      <c r="AH44" s="406"/>
      <c r="AN44" s="40">
        <v>40</v>
      </c>
      <c r="AO44" s="46">
        <v>8.0073265439587468E-2</v>
      </c>
      <c r="AQ44" s="40" t="s">
        <v>17</v>
      </c>
      <c r="AR44" s="40">
        <v>1</v>
      </c>
      <c r="AS44" s="49">
        <f t="shared" si="88"/>
        <v>0.23599999999999999</v>
      </c>
      <c r="AU44" s="38">
        <v>3</v>
      </c>
      <c r="AV44" s="375">
        <f t="shared" si="89"/>
        <v>0.111</v>
      </c>
      <c r="AW44" s="376"/>
      <c r="AY44" s="40" t="s">
        <v>17</v>
      </c>
      <c r="AZ44" s="40">
        <v>1</v>
      </c>
      <c r="BA44" s="41">
        <v>2.1659099999999998</v>
      </c>
      <c r="BE44" s="40">
        <v>58</v>
      </c>
      <c r="BF44" s="40">
        <v>14.706</v>
      </c>
      <c r="BG44" s="40">
        <v>8.6349999999999998</v>
      </c>
      <c r="BJ44" s="406"/>
      <c r="BQ44">
        <v>38</v>
      </c>
      <c r="BR44" s="26" t="e">
        <f t="shared" si="37"/>
        <v>#N/A</v>
      </c>
      <c r="BS44" s="26" t="e">
        <f t="shared" si="38"/>
        <v>#N/A</v>
      </c>
      <c r="BT44" s="26"/>
      <c r="BU44" s="29">
        <v>38</v>
      </c>
      <c r="BV44" s="26" t="e">
        <f t="shared" si="52"/>
        <v>#N/A</v>
      </c>
      <c r="BW44" s="26" t="e">
        <f t="shared" si="53"/>
        <v>#N/A</v>
      </c>
      <c r="BY44" s="29">
        <v>38</v>
      </c>
      <c r="BZ44" s="26" t="e">
        <f t="shared" si="39"/>
        <v>#N/A</v>
      </c>
      <c r="CA44" s="26" t="e">
        <f t="shared" si="40"/>
        <v>#N/A</v>
      </c>
      <c r="CC44" s="29">
        <v>38</v>
      </c>
      <c r="CD44" s="26" t="e">
        <f t="shared" si="41"/>
        <v>#N/A</v>
      </c>
      <c r="CE44" s="26" t="e">
        <f t="shared" si="42"/>
        <v>#N/A</v>
      </c>
      <c r="CG44">
        <v>38</v>
      </c>
      <c r="CH44" s="24" t="e">
        <f t="shared" si="54"/>
        <v>#N/A</v>
      </c>
      <c r="CI44" s="24" t="e">
        <f t="shared" si="55"/>
        <v>#N/A</v>
      </c>
      <c r="CJ44" s="27">
        <f t="shared" si="56"/>
        <v>0</v>
      </c>
      <c r="CK44" s="27">
        <f t="shared" si="57"/>
        <v>0</v>
      </c>
      <c r="CL44" s="26">
        <f t="shared" si="58"/>
        <v>0</v>
      </c>
      <c r="CM44" s="26">
        <f t="shared" si="59"/>
        <v>0</v>
      </c>
      <c r="CN44" s="27">
        <f t="shared" si="60"/>
        <v>0</v>
      </c>
      <c r="CO44" s="27">
        <f t="shared" si="61"/>
        <v>0</v>
      </c>
      <c r="CP44" s="27">
        <f t="shared" si="62"/>
        <v>0</v>
      </c>
      <c r="CQ44" s="27">
        <f t="shared" si="63"/>
        <v>0</v>
      </c>
      <c r="CR44" s="24">
        <f t="shared" si="64"/>
        <v>0</v>
      </c>
      <c r="CS44" s="24">
        <f t="shared" si="65"/>
        <v>0</v>
      </c>
      <c r="CT44">
        <v>0</v>
      </c>
      <c r="CU44" s="24">
        <f t="shared" si="49"/>
        <v>0</v>
      </c>
      <c r="CV44" s="27">
        <f t="shared" si="66"/>
        <v>0</v>
      </c>
      <c r="CW44" s="27">
        <f t="shared" si="67"/>
        <v>0</v>
      </c>
      <c r="CX44" s="27">
        <f t="shared" si="68"/>
        <v>0</v>
      </c>
      <c r="CY44" s="27">
        <f t="shared" si="69"/>
        <v>0</v>
      </c>
      <c r="CZ44" s="24">
        <f t="shared" si="70"/>
        <v>0</v>
      </c>
      <c r="DA44" s="24">
        <f t="shared" si="71"/>
        <v>0</v>
      </c>
      <c r="DB44" s="27">
        <f t="shared" si="72"/>
        <v>0</v>
      </c>
      <c r="DC44" s="27">
        <f t="shared" si="73"/>
        <v>0</v>
      </c>
      <c r="DD44" s="27">
        <f t="shared" si="74"/>
        <v>0</v>
      </c>
      <c r="DE44" s="27">
        <f t="shared" si="75"/>
        <v>0</v>
      </c>
      <c r="DF44" s="24">
        <f t="shared" si="76"/>
        <v>0</v>
      </c>
      <c r="DG44" s="24">
        <f t="shared" si="77"/>
        <v>0</v>
      </c>
      <c r="DH44" s="24">
        <f t="shared" si="78"/>
        <v>0</v>
      </c>
      <c r="DI44" s="24">
        <f t="shared" si="79"/>
        <v>0</v>
      </c>
      <c r="DJ44" s="26">
        <f t="shared" si="50"/>
        <v>0</v>
      </c>
      <c r="DK44" s="26">
        <f t="shared" si="51"/>
        <v>0</v>
      </c>
      <c r="DP44" s="27"/>
      <c r="DQ44" s="27"/>
      <c r="DR44" s="27">
        <f t="shared" si="80"/>
        <v>0</v>
      </c>
      <c r="DS44" s="27">
        <f t="shared" si="81"/>
        <v>0</v>
      </c>
      <c r="DT44" s="27">
        <f t="shared" si="82"/>
        <v>0</v>
      </c>
      <c r="DU44" s="27">
        <f t="shared" si="83"/>
        <v>0</v>
      </c>
      <c r="DV44" s="27">
        <f t="shared" si="44"/>
        <v>0</v>
      </c>
      <c r="DW44" s="27">
        <f t="shared" si="45"/>
        <v>0</v>
      </c>
      <c r="DX44" s="27">
        <f t="shared" si="84"/>
        <v>0</v>
      </c>
      <c r="DY44" s="27">
        <f t="shared" si="85"/>
        <v>0</v>
      </c>
      <c r="DZ44" s="27">
        <f t="shared" si="86"/>
        <v>0</v>
      </c>
      <c r="EA44" s="27">
        <f t="shared" si="87"/>
        <v>0</v>
      </c>
      <c r="EB44" s="27">
        <f t="shared" si="46"/>
        <v>0</v>
      </c>
      <c r="EC44" s="27">
        <f t="shared" si="47"/>
        <v>0</v>
      </c>
    </row>
    <row r="45" spans="1:133" x14ac:dyDescent="0.35">
      <c r="A45" s="405"/>
      <c r="C45" s="31">
        <v>41</v>
      </c>
      <c r="D45" s="32">
        <v>15545.01</v>
      </c>
      <c r="E45" s="32">
        <v>20493.02</v>
      </c>
      <c r="F45" s="72"/>
      <c r="G45" s="31">
        <v>41</v>
      </c>
      <c r="H45" s="32">
        <v>27758.95</v>
      </c>
      <c r="I45" s="32">
        <v>36594.68</v>
      </c>
      <c r="AH45" s="406"/>
      <c r="AN45" s="40">
        <v>41</v>
      </c>
      <c r="AO45" s="46">
        <v>7.287326543958747E-2</v>
      </c>
      <c r="AQ45" s="40" t="s">
        <v>18</v>
      </c>
      <c r="AR45" s="40">
        <v>2</v>
      </c>
      <c r="AS45" s="49">
        <f t="shared" si="88"/>
        <v>0.17299999999999999</v>
      </c>
      <c r="AU45" s="372">
        <v>4</v>
      </c>
      <c r="AV45" s="373">
        <f t="shared" si="89"/>
        <v>7.9000000000000001E-2</v>
      </c>
      <c r="AW45" s="374" t="s">
        <v>304</v>
      </c>
      <c r="AY45" s="40" t="s">
        <v>18</v>
      </c>
      <c r="AZ45" s="40">
        <v>2</v>
      </c>
      <c r="BA45" s="41">
        <v>1.8326899999999999</v>
      </c>
      <c r="BE45" s="40">
        <v>59</v>
      </c>
      <c r="BF45" s="40">
        <v>15.646000000000001</v>
      </c>
      <c r="BG45" s="40">
        <v>8.9390000000000001</v>
      </c>
      <c r="BJ45" s="406"/>
      <c r="BQ45">
        <v>39</v>
      </c>
      <c r="BR45" s="26" t="e">
        <f t="shared" si="37"/>
        <v>#N/A</v>
      </c>
      <c r="BS45" s="26" t="e">
        <f t="shared" si="38"/>
        <v>#N/A</v>
      </c>
      <c r="BT45" s="26"/>
      <c r="BU45" s="29">
        <v>39</v>
      </c>
      <c r="BV45" s="26" t="e">
        <f t="shared" si="52"/>
        <v>#N/A</v>
      </c>
      <c r="BW45" s="26" t="e">
        <f t="shared" si="53"/>
        <v>#N/A</v>
      </c>
      <c r="BY45" s="29">
        <v>39</v>
      </c>
      <c r="BZ45" s="26" t="e">
        <f t="shared" si="39"/>
        <v>#N/A</v>
      </c>
      <c r="CA45" s="26" t="e">
        <f t="shared" si="40"/>
        <v>#N/A</v>
      </c>
      <c r="CC45" s="29">
        <v>39</v>
      </c>
      <c r="CD45" s="26" t="e">
        <f t="shared" si="41"/>
        <v>#N/A</v>
      </c>
      <c r="CE45" s="26" t="e">
        <f t="shared" si="42"/>
        <v>#N/A</v>
      </c>
      <c r="CG45">
        <v>39</v>
      </c>
      <c r="CH45" s="24" t="e">
        <f t="shared" si="54"/>
        <v>#N/A</v>
      </c>
      <c r="CI45" s="24" t="e">
        <f t="shared" si="55"/>
        <v>#N/A</v>
      </c>
      <c r="CJ45" s="27">
        <f t="shared" si="56"/>
        <v>0</v>
      </c>
      <c r="CK45" s="27">
        <f t="shared" si="57"/>
        <v>0</v>
      </c>
      <c r="CL45" s="26">
        <f t="shared" si="58"/>
        <v>0</v>
      </c>
      <c r="CM45" s="26">
        <f t="shared" si="59"/>
        <v>0</v>
      </c>
      <c r="CN45" s="27">
        <f t="shared" si="60"/>
        <v>0</v>
      </c>
      <c r="CO45" s="27">
        <f t="shared" si="61"/>
        <v>0</v>
      </c>
      <c r="CP45" s="27">
        <f t="shared" si="62"/>
        <v>0</v>
      </c>
      <c r="CQ45" s="27">
        <f t="shared" si="63"/>
        <v>0</v>
      </c>
      <c r="CR45" s="24">
        <f t="shared" si="64"/>
        <v>0</v>
      </c>
      <c r="CS45" s="24">
        <f t="shared" si="65"/>
        <v>0</v>
      </c>
      <c r="CT45">
        <v>0</v>
      </c>
      <c r="CU45" s="24">
        <f t="shared" si="49"/>
        <v>0</v>
      </c>
      <c r="CV45" s="27">
        <f t="shared" si="66"/>
        <v>0</v>
      </c>
      <c r="CW45" s="27">
        <f t="shared" si="67"/>
        <v>0</v>
      </c>
      <c r="CX45" s="27">
        <f t="shared" si="68"/>
        <v>0</v>
      </c>
      <c r="CY45" s="27">
        <f t="shared" si="69"/>
        <v>0</v>
      </c>
      <c r="CZ45" s="24">
        <f t="shared" si="70"/>
        <v>0</v>
      </c>
      <c r="DA45" s="24">
        <f t="shared" si="71"/>
        <v>0</v>
      </c>
      <c r="DB45" s="27">
        <f t="shared" si="72"/>
        <v>0</v>
      </c>
      <c r="DC45" s="27">
        <f t="shared" si="73"/>
        <v>0</v>
      </c>
      <c r="DD45" s="27">
        <f t="shared" si="74"/>
        <v>0</v>
      </c>
      <c r="DE45" s="27">
        <f t="shared" si="75"/>
        <v>0</v>
      </c>
      <c r="DF45" s="24">
        <f t="shared" si="76"/>
        <v>0</v>
      </c>
      <c r="DG45" s="24">
        <f t="shared" si="77"/>
        <v>0</v>
      </c>
      <c r="DH45" s="24">
        <f t="shared" si="78"/>
        <v>0</v>
      </c>
      <c r="DI45" s="24">
        <f t="shared" si="79"/>
        <v>0</v>
      </c>
      <c r="DJ45" s="26">
        <f t="shared" si="50"/>
        <v>0</v>
      </c>
      <c r="DK45" s="26">
        <f t="shared" si="51"/>
        <v>0</v>
      </c>
      <c r="DP45" s="27"/>
      <c r="DQ45" s="27"/>
      <c r="DR45" s="27">
        <f t="shared" si="80"/>
        <v>0</v>
      </c>
      <c r="DS45" s="27">
        <f t="shared" si="81"/>
        <v>0</v>
      </c>
      <c r="DT45" s="27">
        <f t="shared" si="82"/>
        <v>0</v>
      </c>
      <c r="DU45" s="27">
        <f t="shared" si="83"/>
        <v>0</v>
      </c>
      <c r="DV45" s="27">
        <f t="shared" si="44"/>
        <v>0</v>
      </c>
      <c r="DW45" s="27">
        <f t="shared" si="45"/>
        <v>0</v>
      </c>
      <c r="DX45" s="27">
        <f t="shared" si="84"/>
        <v>0</v>
      </c>
      <c r="DY45" s="27">
        <f t="shared" si="85"/>
        <v>0</v>
      </c>
      <c r="DZ45" s="27">
        <f t="shared" si="86"/>
        <v>0</v>
      </c>
      <c r="EA45" s="27">
        <f t="shared" si="87"/>
        <v>0</v>
      </c>
      <c r="EB45" s="27">
        <f t="shared" si="46"/>
        <v>0</v>
      </c>
      <c r="EC45" s="27">
        <f t="shared" si="47"/>
        <v>0</v>
      </c>
    </row>
    <row r="46" spans="1:133" x14ac:dyDescent="0.35">
      <c r="A46" s="405"/>
      <c r="C46" s="31">
        <v>42</v>
      </c>
      <c r="D46" s="32">
        <v>16374.61</v>
      </c>
      <c r="E46" s="32">
        <v>21543.85</v>
      </c>
      <c r="F46" s="72"/>
      <c r="G46" s="31">
        <v>42</v>
      </c>
      <c r="H46" s="32">
        <v>29240.38</v>
      </c>
      <c r="I46" s="32">
        <v>38471.160000000003</v>
      </c>
      <c r="AH46" s="406"/>
      <c r="AN46" s="40">
        <v>42</v>
      </c>
      <c r="AO46" s="46">
        <v>7.287326543958747E-2</v>
      </c>
      <c r="AQ46" s="40" t="s">
        <v>21</v>
      </c>
      <c r="AR46" s="40">
        <v>2</v>
      </c>
      <c r="AS46" s="49">
        <f t="shared" si="88"/>
        <v>0.17299999999999999</v>
      </c>
      <c r="AU46" s="38">
        <v>5</v>
      </c>
      <c r="AV46" s="375">
        <f t="shared" si="89"/>
        <v>9.0999999999999998E-2</v>
      </c>
      <c r="AW46" s="376"/>
      <c r="AY46" s="40" t="s">
        <v>21</v>
      </c>
      <c r="AZ46" s="40">
        <v>2</v>
      </c>
      <c r="BA46" s="41">
        <v>1.8326899999999999</v>
      </c>
      <c r="BE46" s="40">
        <v>60</v>
      </c>
      <c r="BF46" s="40">
        <v>16.594000000000001</v>
      </c>
      <c r="BG46" s="40">
        <v>9.1720000000000006</v>
      </c>
      <c r="BJ46" s="406"/>
      <c r="BQ46">
        <v>40</v>
      </c>
      <c r="BR46" s="26" t="e">
        <f t="shared" si="37"/>
        <v>#N/A</v>
      </c>
      <c r="BS46" s="26" t="e">
        <f t="shared" si="38"/>
        <v>#N/A</v>
      </c>
      <c r="BT46" s="26"/>
      <c r="BU46" s="29">
        <v>40</v>
      </c>
      <c r="BV46" s="26" t="e">
        <f t="shared" si="52"/>
        <v>#N/A</v>
      </c>
      <c r="BW46" s="26" t="e">
        <f t="shared" si="53"/>
        <v>#N/A</v>
      </c>
      <c r="BY46" s="29">
        <v>40</v>
      </c>
      <c r="BZ46" s="26" t="e">
        <f t="shared" si="39"/>
        <v>#N/A</v>
      </c>
      <c r="CA46" s="26" t="e">
        <f t="shared" si="40"/>
        <v>#N/A</v>
      </c>
      <c r="CC46" s="29">
        <v>40</v>
      </c>
      <c r="CD46" s="26" t="e">
        <f t="shared" si="41"/>
        <v>#N/A</v>
      </c>
      <c r="CE46" s="26" t="e">
        <f t="shared" si="42"/>
        <v>#N/A</v>
      </c>
      <c r="CG46">
        <v>40</v>
      </c>
      <c r="CH46" s="24" t="e">
        <f t="shared" si="54"/>
        <v>#N/A</v>
      </c>
      <c r="CI46" s="24" t="e">
        <f t="shared" si="55"/>
        <v>#N/A</v>
      </c>
      <c r="CJ46" s="27">
        <f t="shared" si="56"/>
        <v>0</v>
      </c>
      <c r="CK46" s="27">
        <f t="shared" si="57"/>
        <v>0</v>
      </c>
      <c r="CL46" s="26">
        <f t="shared" si="58"/>
        <v>0</v>
      </c>
      <c r="CM46" s="26">
        <f t="shared" si="59"/>
        <v>0</v>
      </c>
      <c r="CN46" s="27">
        <f t="shared" si="60"/>
        <v>0</v>
      </c>
      <c r="CO46" s="27">
        <f t="shared" si="61"/>
        <v>0</v>
      </c>
      <c r="CP46" s="27">
        <f t="shared" si="62"/>
        <v>0</v>
      </c>
      <c r="CQ46" s="27">
        <f t="shared" si="63"/>
        <v>0</v>
      </c>
      <c r="CR46" s="24">
        <f t="shared" si="64"/>
        <v>0</v>
      </c>
      <c r="CS46" s="24">
        <f t="shared" si="65"/>
        <v>0</v>
      </c>
      <c r="CT46">
        <v>0</v>
      </c>
      <c r="CU46" s="24">
        <f t="shared" si="49"/>
        <v>0</v>
      </c>
      <c r="CV46" s="27">
        <f t="shared" si="66"/>
        <v>0</v>
      </c>
      <c r="CW46" s="27">
        <f t="shared" si="67"/>
        <v>0</v>
      </c>
      <c r="CX46" s="27">
        <f t="shared" si="68"/>
        <v>0</v>
      </c>
      <c r="CY46" s="27">
        <f t="shared" si="69"/>
        <v>0</v>
      </c>
      <c r="CZ46" s="24">
        <f t="shared" si="70"/>
        <v>0</v>
      </c>
      <c r="DA46" s="24">
        <f t="shared" si="71"/>
        <v>0</v>
      </c>
      <c r="DB46" s="27">
        <f t="shared" si="72"/>
        <v>0</v>
      </c>
      <c r="DC46" s="27">
        <f t="shared" si="73"/>
        <v>0</v>
      </c>
      <c r="DD46" s="27">
        <f t="shared" si="74"/>
        <v>0</v>
      </c>
      <c r="DE46" s="27">
        <f t="shared" si="75"/>
        <v>0</v>
      </c>
      <c r="DF46" s="24">
        <f t="shared" si="76"/>
        <v>0</v>
      </c>
      <c r="DG46" s="24">
        <f t="shared" si="77"/>
        <v>0</v>
      </c>
      <c r="DH46" s="24">
        <f t="shared" si="78"/>
        <v>0</v>
      </c>
      <c r="DI46" s="24">
        <f t="shared" si="79"/>
        <v>0</v>
      </c>
      <c r="DJ46" s="26">
        <f t="shared" si="50"/>
        <v>0</v>
      </c>
      <c r="DK46" s="26">
        <f t="shared" si="51"/>
        <v>0</v>
      </c>
      <c r="DP46" s="27"/>
      <c r="DQ46" s="27"/>
      <c r="DR46" s="27">
        <f t="shared" si="80"/>
        <v>0</v>
      </c>
      <c r="DS46" s="27">
        <f t="shared" si="81"/>
        <v>0</v>
      </c>
      <c r="DT46" s="27">
        <f t="shared" si="82"/>
        <v>0</v>
      </c>
      <c r="DU46" s="27">
        <f t="shared" si="83"/>
        <v>0</v>
      </c>
      <c r="DV46" s="27">
        <f t="shared" si="44"/>
        <v>0</v>
      </c>
      <c r="DW46" s="27">
        <f t="shared" si="45"/>
        <v>0</v>
      </c>
      <c r="DX46" s="27">
        <f t="shared" si="84"/>
        <v>0</v>
      </c>
      <c r="DY46" s="27">
        <f t="shared" si="85"/>
        <v>0</v>
      </c>
      <c r="DZ46" s="27">
        <f t="shared" si="86"/>
        <v>0</v>
      </c>
      <c r="EA46" s="27">
        <f t="shared" si="87"/>
        <v>0</v>
      </c>
      <c r="EB46" s="27">
        <f t="shared" si="46"/>
        <v>0</v>
      </c>
      <c r="EC46" s="27">
        <f t="shared" si="47"/>
        <v>0</v>
      </c>
    </row>
    <row r="47" spans="1:133" x14ac:dyDescent="0.35">
      <c r="A47" s="405"/>
      <c r="C47" s="31">
        <v>43</v>
      </c>
      <c r="D47" s="32">
        <v>17292.96</v>
      </c>
      <c r="E47" s="32">
        <v>22686</v>
      </c>
      <c r="F47" s="72"/>
      <c r="G47" s="31">
        <v>43</v>
      </c>
      <c r="H47" s="32">
        <v>30880.29</v>
      </c>
      <c r="I47" s="32">
        <v>40510.71</v>
      </c>
      <c r="AH47" s="406"/>
      <c r="AN47" s="40">
        <v>43</v>
      </c>
      <c r="AO47" s="46">
        <v>7.287326543958747E-2</v>
      </c>
      <c r="AQ47" s="40" t="s">
        <v>22</v>
      </c>
      <c r="AR47" s="40">
        <v>2</v>
      </c>
      <c r="AS47" s="49">
        <f t="shared" si="88"/>
        <v>0.17299999999999999</v>
      </c>
      <c r="AU47" s="38">
        <v>6</v>
      </c>
      <c r="AV47" s="375">
        <f t="shared" si="89"/>
        <v>0</v>
      </c>
      <c r="AW47" s="376"/>
      <c r="AY47" s="40" t="s">
        <v>22</v>
      </c>
      <c r="AZ47" s="40">
        <v>2</v>
      </c>
      <c r="BA47" s="41">
        <v>1.8326899999999999</v>
      </c>
      <c r="BE47" s="40">
        <v>61</v>
      </c>
      <c r="BF47" s="40">
        <v>17.841000000000001</v>
      </c>
      <c r="BG47" s="40">
        <v>9.8840000000000003</v>
      </c>
      <c r="BJ47" s="406"/>
      <c r="BQ47">
        <v>41</v>
      </c>
      <c r="BR47" s="26" t="e">
        <f t="shared" si="37"/>
        <v>#N/A</v>
      </c>
      <c r="BS47" s="26" t="e">
        <f t="shared" si="38"/>
        <v>#N/A</v>
      </c>
      <c r="BT47" s="26"/>
      <c r="BU47" s="29">
        <v>41</v>
      </c>
      <c r="BV47" s="26" t="e">
        <f t="shared" si="52"/>
        <v>#N/A</v>
      </c>
      <c r="BW47" s="26" t="e">
        <f t="shared" si="53"/>
        <v>#N/A</v>
      </c>
      <c r="BY47" s="29">
        <v>41</v>
      </c>
      <c r="BZ47" s="26" t="e">
        <f t="shared" si="39"/>
        <v>#N/A</v>
      </c>
      <c r="CA47" s="26" t="e">
        <f t="shared" si="40"/>
        <v>#N/A</v>
      </c>
      <c r="CC47" s="29">
        <v>41</v>
      </c>
      <c r="CD47" s="26" t="e">
        <f t="shared" si="41"/>
        <v>#N/A</v>
      </c>
      <c r="CE47" s="26" t="e">
        <f t="shared" si="42"/>
        <v>#N/A</v>
      </c>
      <c r="CG47">
        <v>41</v>
      </c>
      <c r="CH47" s="24" t="e">
        <f t="shared" si="54"/>
        <v>#N/A</v>
      </c>
      <c r="CI47" s="24" t="e">
        <f t="shared" si="55"/>
        <v>#N/A</v>
      </c>
      <c r="CJ47" s="27">
        <f t="shared" si="56"/>
        <v>0</v>
      </c>
      <c r="CK47" s="27">
        <f t="shared" si="57"/>
        <v>0</v>
      </c>
      <c r="CL47" s="26">
        <f t="shared" si="58"/>
        <v>0</v>
      </c>
      <c r="CM47" s="26">
        <f t="shared" si="59"/>
        <v>0</v>
      </c>
      <c r="CN47" s="27">
        <f t="shared" si="60"/>
        <v>0</v>
      </c>
      <c r="CO47" s="27">
        <f t="shared" si="61"/>
        <v>0</v>
      </c>
      <c r="CP47" s="27">
        <f t="shared" si="62"/>
        <v>0</v>
      </c>
      <c r="CQ47" s="27">
        <f t="shared" si="63"/>
        <v>0</v>
      </c>
      <c r="CR47" s="24">
        <f t="shared" si="64"/>
        <v>0</v>
      </c>
      <c r="CS47" s="24">
        <f t="shared" si="65"/>
        <v>0</v>
      </c>
      <c r="CT47">
        <v>0</v>
      </c>
      <c r="CU47" s="24">
        <f t="shared" si="49"/>
        <v>0</v>
      </c>
      <c r="CV47" s="27">
        <f t="shared" si="66"/>
        <v>0</v>
      </c>
      <c r="CW47" s="27">
        <f t="shared" si="67"/>
        <v>0</v>
      </c>
      <c r="CX47" s="27">
        <f t="shared" si="68"/>
        <v>0</v>
      </c>
      <c r="CY47" s="27">
        <f t="shared" si="69"/>
        <v>0</v>
      </c>
      <c r="CZ47" s="24">
        <f t="shared" si="70"/>
        <v>0</v>
      </c>
      <c r="DA47" s="24">
        <f t="shared" si="71"/>
        <v>0</v>
      </c>
      <c r="DB47" s="27">
        <f t="shared" si="72"/>
        <v>0</v>
      </c>
      <c r="DC47" s="27">
        <f t="shared" si="73"/>
        <v>0</v>
      </c>
      <c r="DD47" s="27">
        <f t="shared" si="74"/>
        <v>0</v>
      </c>
      <c r="DE47" s="27">
        <f t="shared" si="75"/>
        <v>0</v>
      </c>
      <c r="DF47" s="24">
        <f t="shared" si="76"/>
        <v>0</v>
      </c>
      <c r="DG47" s="24">
        <f t="shared" si="77"/>
        <v>0</v>
      </c>
      <c r="DH47" s="24">
        <f t="shared" si="78"/>
        <v>0</v>
      </c>
      <c r="DI47" s="24">
        <f t="shared" si="79"/>
        <v>0</v>
      </c>
      <c r="DJ47" s="26">
        <f t="shared" si="50"/>
        <v>0</v>
      </c>
      <c r="DK47" s="26">
        <f t="shared" si="51"/>
        <v>0</v>
      </c>
      <c r="DP47" s="27"/>
      <c r="DQ47" s="27"/>
      <c r="DR47" s="27">
        <f t="shared" si="80"/>
        <v>0</v>
      </c>
      <c r="DS47" s="27">
        <f t="shared" si="81"/>
        <v>0</v>
      </c>
      <c r="DT47" s="27">
        <f t="shared" si="82"/>
        <v>0</v>
      </c>
      <c r="DU47" s="27">
        <f t="shared" si="83"/>
        <v>0</v>
      </c>
      <c r="DV47" s="27">
        <f t="shared" si="44"/>
        <v>0</v>
      </c>
      <c r="DW47" s="27">
        <f t="shared" si="45"/>
        <v>0</v>
      </c>
      <c r="DX47" s="27">
        <f t="shared" si="84"/>
        <v>0</v>
      </c>
      <c r="DY47" s="27">
        <f t="shared" si="85"/>
        <v>0</v>
      </c>
      <c r="DZ47" s="27">
        <f t="shared" si="86"/>
        <v>0</v>
      </c>
      <c r="EA47" s="27">
        <f t="shared" si="87"/>
        <v>0</v>
      </c>
      <c r="EB47" s="27">
        <f t="shared" si="46"/>
        <v>0</v>
      </c>
      <c r="EC47" s="27">
        <f t="shared" si="47"/>
        <v>0</v>
      </c>
    </row>
    <row r="48" spans="1:133" x14ac:dyDescent="0.35">
      <c r="A48" s="405"/>
      <c r="C48" s="31">
        <v>44</v>
      </c>
      <c r="D48" s="32">
        <v>18306.48</v>
      </c>
      <c r="E48" s="32">
        <v>23925.89</v>
      </c>
      <c r="F48" s="72"/>
      <c r="G48" s="31">
        <v>44</v>
      </c>
      <c r="H48" s="32">
        <v>32690.14</v>
      </c>
      <c r="I48" s="32">
        <v>42724.800000000003</v>
      </c>
      <c r="AH48" s="406"/>
      <c r="AN48" s="40">
        <v>44</v>
      </c>
      <c r="AO48" s="46">
        <v>7.287326543958747E-2</v>
      </c>
      <c r="AQ48" s="40" t="s">
        <v>3</v>
      </c>
      <c r="AR48" s="40">
        <v>6</v>
      </c>
      <c r="AS48" s="49">
        <f t="shared" si="88"/>
        <v>0</v>
      </c>
      <c r="AU48" s="38">
        <v>7</v>
      </c>
      <c r="AV48" s="375">
        <f t="shared" si="89"/>
        <v>4.2000000000000003E-2</v>
      </c>
      <c r="AW48" s="376"/>
      <c r="AY48" s="40" t="s">
        <v>3</v>
      </c>
      <c r="AZ48" s="40">
        <v>6</v>
      </c>
      <c r="BA48" s="41">
        <v>0.47649999999999998</v>
      </c>
      <c r="BE48" s="40">
        <v>62</v>
      </c>
      <c r="BF48" s="40">
        <v>19.097999999999999</v>
      </c>
      <c r="BG48" s="40">
        <v>10.595000000000001</v>
      </c>
      <c r="BJ48" s="406"/>
      <c r="BQ48">
        <v>42</v>
      </c>
      <c r="BR48" s="26" t="e">
        <f t="shared" si="37"/>
        <v>#N/A</v>
      </c>
      <c r="BS48" s="26" t="e">
        <f t="shared" si="38"/>
        <v>#N/A</v>
      </c>
      <c r="BT48" s="26"/>
      <c r="BU48" s="29">
        <v>42</v>
      </c>
      <c r="BV48" s="26" t="e">
        <f t="shared" si="52"/>
        <v>#N/A</v>
      </c>
      <c r="BW48" s="26" t="e">
        <f t="shared" si="53"/>
        <v>#N/A</v>
      </c>
      <c r="BY48" s="29">
        <v>42</v>
      </c>
      <c r="BZ48" s="26" t="e">
        <f t="shared" si="39"/>
        <v>#N/A</v>
      </c>
      <c r="CA48" s="26" t="e">
        <f t="shared" si="40"/>
        <v>#N/A</v>
      </c>
      <c r="CC48" s="29">
        <v>42</v>
      </c>
      <c r="CD48" s="26" t="e">
        <f t="shared" si="41"/>
        <v>#N/A</v>
      </c>
      <c r="CE48" s="26" t="e">
        <f t="shared" si="42"/>
        <v>#N/A</v>
      </c>
      <c r="CG48">
        <v>42</v>
      </c>
      <c r="CH48" s="24" t="e">
        <f t="shared" si="54"/>
        <v>#N/A</v>
      </c>
      <c r="CI48" s="24" t="e">
        <f t="shared" si="55"/>
        <v>#N/A</v>
      </c>
      <c r="CJ48" s="27">
        <f t="shared" si="56"/>
        <v>0</v>
      </c>
      <c r="CK48" s="27">
        <f t="shared" si="57"/>
        <v>0</v>
      </c>
      <c r="CL48" s="26">
        <f t="shared" si="58"/>
        <v>0</v>
      </c>
      <c r="CM48" s="26">
        <f t="shared" si="59"/>
        <v>0</v>
      </c>
      <c r="CN48" s="27">
        <f t="shared" si="60"/>
        <v>0</v>
      </c>
      <c r="CO48" s="27">
        <f t="shared" si="61"/>
        <v>0</v>
      </c>
      <c r="CP48" s="27">
        <f t="shared" si="62"/>
        <v>0</v>
      </c>
      <c r="CQ48" s="27">
        <f t="shared" si="63"/>
        <v>0</v>
      </c>
      <c r="CR48" s="24">
        <f t="shared" si="64"/>
        <v>0</v>
      </c>
      <c r="CS48" s="24">
        <f t="shared" si="65"/>
        <v>0</v>
      </c>
      <c r="CT48">
        <v>0</v>
      </c>
      <c r="CU48" s="24">
        <f t="shared" si="49"/>
        <v>0</v>
      </c>
      <c r="CV48" s="27">
        <f t="shared" si="66"/>
        <v>0</v>
      </c>
      <c r="CW48" s="27">
        <f t="shared" si="67"/>
        <v>0</v>
      </c>
      <c r="CX48" s="27">
        <f t="shared" si="68"/>
        <v>0</v>
      </c>
      <c r="CY48" s="27">
        <f t="shared" si="69"/>
        <v>0</v>
      </c>
      <c r="CZ48" s="24">
        <f t="shared" si="70"/>
        <v>0</v>
      </c>
      <c r="DA48" s="24">
        <f t="shared" si="71"/>
        <v>0</v>
      </c>
      <c r="DB48" s="27">
        <f t="shared" si="72"/>
        <v>0</v>
      </c>
      <c r="DC48" s="27">
        <f t="shared" si="73"/>
        <v>0</v>
      </c>
      <c r="DD48" s="27">
        <f t="shared" si="74"/>
        <v>0</v>
      </c>
      <c r="DE48" s="27">
        <f t="shared" si="75"/>
        <v>0</v>
      </c>
      <c r="DF48" s="24">
        <f t="shared" si="76"/>
        <v>0</v>
      </c>
      <c r="DG48" s="24">
        <f t="shared" si="77"/>
        <v>0</v>
      </c>
      <c r="DH48" s="24">
        <f t="shared" si="78"/>
        <v>0</v>
      </c>
      <c r="DI48" s="24">
        <f t="shared" si="79"/>
        <v>0</v>
      </c>
      <c r="DJ48" s="26">
        <f t="shared" si="50"/>
        <v>0</v>
      </c>
      <c r="DK48" s="26">
        <f t="shared" si="51"/>
        <v>0</v>
      </c>
      <c r="DP48" s="27"/>
      <c r="DQ48" s="27"/>
      <c r="DR48" s="27">
        <f t="shared" si="80"/>
        <v>0</v>
      </c>
      <c r="DS48" s="27">
        <f t="shared" si="81"/>
        <v>0</v>
      </c>
      <c r="DT48" s="27">
        <f t="shared" si="82"/>
        <v>0</v>
      </c>
      <c r="DU48" s="27">
        <f t="shared" si="83"/>
        <v>0</v>
      </c>
      <c r="DV48" s="27">
        <f t="shared" si="44"/>
        <v>0</v>
      </c>
      <c r="DW48" s="27">
        <f t="shared" si="45"/>
        <v>0</v>
      </c>
      <c r="DX48" s="27">
        <f t="shared" si="84"/>
        <v>0</v>
      </c>
      <c r="DY48" s="27">
        <f t="shared" si="85"/>
        <v>0</v>
      </c>
      <c r="DZ48" s="27">
        <f t="shared" si="86"/>
        <v>0</v>
      </c>
      <c r="EA48" s="27">
        <f t="shared" si="87"/>
        <v>0</v>
      </c>
      <c r="EB48" s="27">
        <f t="shared" si="46"/>
        <v>0</v>
      </c>
      <c r="EC48" s="27">
        <f t="shared" si="47"/>
        <v>0</v>
      </c>
    </row>
    <row r="49" spans="1:133" x14ac:dyDescent="0.35">
      <c r="A49" s="405"/>
      <c r="C49" s="31">
        <v>45</v>
      </c>
      <c r="D49" s="32">
        <v>19424.189999999999</v>
      </c>
      <c r="E49" s="32">
        <v>25269.97</v>
      </c>
      <c r="F49" s="72"/>
      <c r="G49" s="31">
        <v>45</v>
      </c>
      <c r="H49" s="32">
        <v>34686.050000000003</v>
      </c>
      <c r="I49" s="32">
        <v>45124.95</v>
      </c>
      <c r="AH49" s="406"/>
      <c r="AN49" s="40">
        <v>45</v>
      </c>
      <c r="AO49" s="46">
        <v>7.287326543958747E-2</v>
      </c>
      <c r="AQ49" s="40" t="s">
        <v>19</v>
      </c>
      <c r="AR49" s="320">
        <v>1</v>
      </c>
      <c r="AS49" s="49">
        <f t="shared" si="88"/>
        <v>0.23599999999999999</v>
      </c>
      <c r="AU49" s="372">
        <v>8</v>
      </c>
      <c r="AV49" s="373">
        <f>ROUND(AV32/AB28,3)</f>
        <v>0.11</v>
      </c>
      <c r="AW49" s="374" t="s">
        <v>305</v>
      </c>
      <c r="AY49" s="40" t="s">
        <v>19</v>
      </c>
      <c r="AZ49" s="320">
        <v>1</v>
      </c>
      <c r="BA49" s="41">
        <v>1.8326899999999999</v>
      </c>
      <c r="BE49" s="40">
        <v>63</v>
      </c>
      <c r="BF49" s="40">
        <v>20.344000000000001</v>
      </c>
      <c r="BG49" s="40">
        <v>11.305</v>
      </c>
      <c r="BJ49" s="406"/>
      <c r="BQ49">
        <v>43</v>
      </c>
      <c r="BR49" s="26" t="e">
        <f t="shared" si="37"/>
        <v>#N/A</v>
      </c>
      <c r="BS49" s="26" t="e">
        <f t="shared" si="38"/>
        <v>#N/A</v>
      </c>
      <c r="BT49" s="26"/>
      <c r="BU49" s="29">
        <v>43</v>
      </c>
      <c r="BV49" s="26" t="e">
        <f t="shared" si="52"/>
        <v>#N/A</v>
      </c>
      <c r="BW49" s="26" t="e">
        <f t="shared" si="53"/>
        <v>#N/A</v>
      </c>
      <c r="BY49" s="29">
        <v>43</v>
      </c>
      <c r="BZ49" s="26" t="e">
        <f t="shared" si="39"/>
        <v>#N/A</v>
      </c>
      <c r="CA49" s="26" t="e">
        <f t="shared" si="40"/>
        <v>#N/A</v>
      </c>
      <c r="CC49" s="29">
        <v>43</v>
      </c>
      <c r="CD49" s="26" t="e">
        <f t="shared" si="41"/>
        <v>#N/A</v>
      </c>
      <c r="CE49" s="26" t="e">
        <f t="shared" si="42"/>
        <v>#N/A</v>
      </c>
      <c r="CG49">
        <v>43</v>
      </c>
      <c r="CH49" s="24" t="e">
        <f t="shared" si="54"/>
        <v>#N/A</v>
      </c>
      <c r="CI49" s="24" t="e">
        <f t="shared" si="55"/>
        <v>#N/A</v>
      </c>
      <c r="CJ49" s="27">
        <f t="shared" si="56"/>
        <v>0</v>
      </c>
      <c r="CK49" s="27">
        <f t="shared" si="57"/>
        <v>0</v>
      </c>
      <c r="CL49" s="26">
        <f t="shared" si="58"/>
        <v>0</v>
      </c>
      <c r="CM49" s="26">
        <f t="shared" si="59"/>
        <v>0</v>
      </c>
      <c r="CN49" s="27">
        <f t="shared" si="60"/>
        <v>0</v>
      </c>
      <c r="CO49" s="27">
        <f t="shared" si="61"/>
        <v>0</v>
      </c>
      <c r="CP49" s="27">
        <f t="shared" si="62"/>
        <v>0</v>
      </c>
      <c r="CQ49" s="27">
        <f t="shared" si="63"/>
        <v>0</v>
      </c>
      <c r="CR49" s="24">
        <f t="shared" si="64"/>
        <v>0</v>
      </c>
      <c r="CS49" s="24">
        <f t="shared" si="65"/>
        <v>0</v>
      </c>
      <c r="CT49">
        <v>0</v>
      </c>
      <c r="CU49" s="24">
        <f t="shared" si="49"/>
        <v>0</v>
      </c>
      <c r="CV49" s="27">
        <f t="shared" si="66"/>
        <v>0</v>
      </c>
      <c r="CW49" s="27">
        <f t="shared" si="67"/>
        <v>0</v>
      </c>
      <c r="CX49" s="27">
        <f t="shared" si="68"/>
        <v>0</v>
      </c>
      <c r="CY49" s="27">
        <f t="shared" si="69"/>
        <v>0</v>
      </c>
      <c r="CZ49" s="24">
        <f t="shared" si="70"/>
        <v>0</v>
      </c>
      <c r="DA49" s="24">
        <f t="shared" si="71"/>
        <v>0</v>
      </c>
      <c r="DB49" s="27">
        <f t="shared" si="72"/>
        <v>0</v>
      </c>
      <c r="DC49" s="27">
        <f t="shared" si="73"/>
        <v>0</v>
      </c>
      <c r="DD49" s="27">
        <f t="shared" si="74"/>
        <v>0</v>
      </c>
      <c r="DE49" s="27">
        <f t="shared" si="75"/>
        <v>0</v>
      </c>
      <c r="DF49" s="24">
        <f t="shared" si="76"/>
        <v>0</v>
      </c>
      <c r="DG49" s="24">
        <f t="shared" si="77"/>
        <v>0</v>
      </c>
      <c r="DH49" s="24">
        <f t="shared" si="78"/>
        <v>0</v>
      </c>
      <c r="DI49" s="24">
        <f t="shared" si="79"/>
        <v>0</v>
      </c>
      <c r="DJ49" s="26">
        <f t="shared" si="50"/>
        <v>0</v>
      </c>
      <c r="DK49" s="26">
        <f t="shared" si="51"/>
        <v>0</v>
      </c>
      <c r="DP49" s="27"/>
      <c r="DQ49" s="27"/>
      <c r="DR49" s="27">
        <f t="shared" si="80"/>
        <v>0</v>
      </c>
      <c r="DS49" s="27">
        <f t="shared" si="81"/>
        <v>0</v>
      </c>
      <c r="DT49" s="27">
        <f t="shared" si="82"/>
        <v>0</v>
      </c>
      <c r="DU49" s="27">
        <f t="shared" si="83"/>
        <v>0</v>
      </c>
      <c r="DV49" s="27">
        <f t="shared" si="44"/>
        <v>0</v>
      </c>
      <c r="DW49" s="27">
        <f t="shared" si="45"/>
        <v>0</v>
      </c>
      <c r="DX49" s="27">
        <f t="shared" si="84"/>
        <v>0</v>
      </c>
      <c r="DY49" s="27">
        <f t="shared" si="85"/>
        <v>0</v>
      </c>
      <c r="DZ49" s="27">
        <f t="shared" si="86"/>
        <v>0</v>
      </c>
      <c r="EA49" s="27">
        <f t="shared" si="87"/>
        <v>0</v>
      </c>
      <c r="EB49" s="27">
        <f t="shared" si="46"/>
        <v>0</v>
      </c>
      <c r="EC49" s="27">
        <f t="shared" si="47"/>
        <v>0</v>
      </c>
    </row>
    <row r="50" spans="1:133" x14ac:dyDescent="0.35">
      <c r="A50" s="405"/>
      <c r="C50" s="31">
        <v>46</v>
      </c>
      <c r="D50" s="32">
        <v>20653.8</v>
      </c>
      <c r="E50" s="32">
        <v>25515.64</v>
      </c>
      <c r="F50" s="72"/>
      <c r="G50" s="31">
        <v>46</v>
      </c>
      <c r="H50" s="32">
        <v>36881.79</v>
      </c>
      <c r="I50" s="32">
        <v>45563.64</v>
      </c>
      <c r="AH50" s="406"/>
      <c r="AN50" s="40">
        <v>46</v>
      </c>
      <c r="AO50" s="46">
        <v>2.290799289918314E-2</v>
      </c>
      <c r="AQ50" s="40" t="s">
        <v>20</v>
      </c>
      <c r="AR50" s="323">
        <v>1</v>
      </c>
      <c r="AS50" s="49">
        <f t="shared" si="88"/>
        <v>0.23599999999999999</v>
      </c>
      <c r="AU50" s="372">
        <v>9</v>
      </c>
      <c r="AV50" s="373">
        <f>ROUND(AV34/AB29,3)</f>
        <v>0.09</v>
      </c>
      <c r="AW50" s="374" t="s">
        <v>306</v>
      </c>
      <c r="AY50" s="40" t="s">
        <v>20</v>
      </c>
      <c r="AZ50" s="40">
        <v>2</v>
      </c>
      <c r="BA50" s="41">
        <v>0.91635</v>
      </c>
      <c r="BE50" s="40">
        <v>64</v>
      </c>
      <c r="BF50" s="40">
        <v>21.591000000000001</v>
      </c>
      <c r="BG50" s="40">
        <v>12.007</v>
      </c>
      <c r="BJ50" s="406"/>
      <c r="BQ50">
        <v>44</v>
      </c>
      <c r="BR50" s="26" t="e">
        <f t="shared" si="37"/>
        <v>#N/A</v>
      </c>
      <c r="BS50" s="26" t="e">
        <f t="shared" si="38"/>
        <v>#N/A</v>
      </c>
      <c r="BT50" s="26"/>
      <c r="BU50" s="29">
        <v>44</v>
      </c>
      <c r="BV50" s="26" t="e">
        <f t="shared" si="52"/>
        <v>#N/A</v>
      </c>
      <c r="BW50" s="26" t="e">
        <f t="shared" si="53"/>
        <v>#N/A</v>
      </c>
      <c r="BY50" s="29">
        <v>44</v>
      </c>
      <c r="BZ50" s="26" t="e">
        <f t="shared" si="39"/>
        <v>#N/A</v>
      </c>
      <c r="CA50" s="26" t="e">
        <f t="shared" si="40"/>
        <v>#N/A</v>
      </c>
      <c r="CC50" s="29">
        <v>44</v>
      </c>
      <c r="CD50" s="26" t="e">
        <f t="shared" si="41"/>
        <v>#N/A</v>
      </c>
      <c r="CE50" s="26" t="e">
        <f t="shared" si="42"/>
        <v>#N/A</v>
      </c>
      <c r="CG50">
        <v>44</v>
      </c>
      <c r="CH50" s="24" t="e">
        <f t="shared" si="54"/>
        <v>#N/A</v>
      </c>
      <c r="CI50" s="24" t="e">
        <f t="shared" si="55"/>
        <v>#N/A</v>
      </c>
      <c r="CJ50" s="27">
        <f t="shared" si="56"/>
        <v>0</v>
      </c>
      <c r="CK50" s="27">
        <f t="shared" si="57"/>
        <v>0</v>
      </c>
      <c r="CL50" s="26">
        <f t="shared" si="58"/>
        <v>0</v>
      </c>
      <c r="CM50" s="26">
        <f t="shared" si="59"/>
        <v>0</v>
      </c>
      <c r="CN50" s="27">
        <f t="shared" si="60"/>
        <v>0</v>
      </c>
      <c r="CO50" s="27">
        <f t="shared" si="61"/>
        <v>0</v>
      </c>
      <c r="CP50" s="27">
        <f t="shared" si="62"/>
        <v>0</v>
      </c>
      <c r="CQ50" s="27">
        <f t="shared" si="63"/>
        <v>0</v>
      </c>
      <c r="CR50" s="24">
        <f t="shared" si="64"/>
        <v>0</v>
      </c>
      <c r="CS50" s="24">
        <f t="shared" si="65"/>
        <v>0</v>
      </c>
      <c r="CT50">
        <v>0</v>
      </c>
      <c r="CU50" s="24">
        <f t="shared" si="49"/>
        <v>0</v>
      </c>
      <c r="CV50" s="27">
        <f t="shared" si="66"/>
        <v>0</v>
      </c>
      <c r="CW50" s="27">
        <f t="shared" si="67"/>
        <v>0</v>
      </c>
      <c r="CX50" s="27">
        <f t="shared" si="68"/>
        <v>0</v>
      </c>
      <c r="CY50" s="27">
        <f t="shared" si="69"/>
        <v>0</v>
      </c>
      <c r="CZ50" s="24">
        <f t="shared" si="70"/>
        <v>0</v>
      </c>
      <c r="DA50" s="24">
        <f t="shared" si="71"/>
        <v>0</v>
      </c>
      <c r="DB50" s="27">
        <f t="shared" si="72"/>
        <v>0</v>
      </c>
      <c r="DC50" s="27">
        <f t="shared" si="73"/>
        <v>0</v>
      </c>
      <c r="DD50" s="27">
        <f t="shared" si="74"/>
        <v>0</v>
      </c>
      <c r="DE50" s="27">
        <f t="shared" si="75"/>
        <v>0</v>
      </c>
      <c r="DF50" s="24">
        <f t="shared" si="76"/>
        <v>0</v>
      </c>
      <c r="DG50" s="24">
        <f t="shared" si="77"/>
        <v>0</v>
      </c>
      <c r="DH50" s="24">
        <f t="shared" si="78"/>
        <v>0</v>
      </c>
      <c r="DI50" s="24">
        <f t="shared" si="79"/>
        <v>0</v>
      </c>
      <c r="DJ50" s="26">
        <f t="shared" si="50"/>
        <v>0</v>
      </c>
      <c r="DK50" s="26">
        <f t="shared" si="51"/>
        <v>0</v>
      </c>
      <c r="DP50" s="27"/>
      <c r="DQ50" s="27"/>
      <c r="DR50" s="27">
        <f t="shared" si="80"/>
        <v>0</v>
      </c>
      <c r="DS50" s="27">
        <f t="shared" si="81"/>
        <v>0</v>
      </c>
      <c r="DT50" s="27">
        <f t="shared" si="82"/>
        <v>0</v>
      </c>
      <c r="DU50" s="27">
        <f t="shared" si="83"/>
        <v>0</v>
      </c>
      <c r="DV50" s="27">
        <f t="shared" si="44"/>
        <v>0</v>
      </c>
      <c r="DW50" s="27">
        <f t="shared" si="45"/>
        <v>0</v>
      </c>
      <c r="DX50" s="27">
        <f t="shared" si="84"/>
        <v>0</v>
      </c>
      <c r="DY50" s="27">
        <f t="shared" si="85"/>
        <v>0</v>
      </c>
      <c r="DZ50" s="27">
        <f t="shared" si="86"/>
        <v>0</v>
      </c>
      <c r="EA50" s="27">
        <f t="shared" si="87"/>
        <v>0</v>
      </c>
      <c r="EB50" s="27">
        <f t="shared" si="46"/>
        <v>0</v>
      </c>
      <c r="EC50" s="27">
        <f t="shared" si="47"/>
        <v>0</v>
      </c>
    </row>
    <row r="51" spans="1:133" x14ac:dyDescent="0.35">
      <c r="A51" s="405"/>
      <c r="C51" s="31">
        <v>47</v>
      </c>
      <c r="D51" s="32">
        <v>22005.599999999999</v>
      </c>
      <c r="E51" s="32">
        <v>27088.66</v>
      </c>
      <c r="F51" s="72"/>
      <c r="G51" s="31">
        <v>47</v>
      </c>
      <c r="H51" s="32">
        <v>39295.71</v>
      </c>
      <c r="I51" s="32">
        <v>48372.61</v>
      </c>
      <c r="AH51" s="406"/>
      <c r="AN51" s="40">
        <v>47</v>
      </c>
      <c r="AO51" s="46">
        <v>2.290799289918314E-2</v>
      </c>
      <c r="AQ51" s="40" t="s">
        <v>241</v>
      </c>
      <c r="AR51" s="40">
        <v>2</v>
      </c>
      <c r="AS51" s="49">
        <f t="shared" si="88"/>
        <v>0.17299999999999999</v>
      </c>
      <c r="AY51" s="40" t="s">
        <v>241</v>
      </c>
      <c r="AZ51" s="40">
        <v>2</v>
      </c>
      <c r="BA51" s="41">
        <v>0.91635</v>
      </c>
      <c r="BJ51" s="406"/>
      <c r="BQ51">
        <v>45</v>
      </c>
      <c r="BR51" s="26" t="e">
        <f t="shared" si="37"/>
        <v>#N/A</v>
      </c>
      <c r="BS51" s="26" t="e">
        <f t="shared" si="38"/>
        <v>#N/A</v>
      </c>
      <c r="BT51" s="26"/>
      <c r="BU51" s="29">
        <v>45</v>
      </c>
      <c r="BV51" s="26" t="e">
        <f t="shared" si="52"/>
        <v>#N/A</v>
      </c>
      <c r="BW51" s="26" t="e">
        <f t="shared" si="53"/>
        <v>#N/A</v>
      </c>
      <c r="BY51" s="29">
        <v>45</v>
      </c>
      <c r="BZ51" s="26" t="e">
        <f t="shared" si="39"/>
        <v>#N/A</v>
      </c>
      <c r="CA51" s="26" t="e">
        <f t="shared" si="40"/>
        <v>#N/A</v>
      </c>
      <c r="CC51" s="29">
        <v>45</v>
      </c>
      <c r="CD51" s="26" t="e">
        <f t="shared" si="41"/>
        <v>#N/A</v>
      </c>
      <c r="CE51" s="26" t="e">
        <f t="shared" si="42"/>
        <v>#N/A</v>
      </c>
      <c r="CG51">
        <v>45</v>
      </c>
      <c r="CH51" s="24" t="e">
        <f t="shared" si="54"/>
        <v>#N/A</v>
      </c>
      <c r="CI51" s="24" t="e">
        <f t="shared" si="55"/>
        <v>#N/A</v>
      </c>
      <c r="CJ51" s="27">
        <f t="shared" si="56"/>
        <v>0</v>
      </c>
      <c r="CK51" s="27">
        <f t="shared" si="57"/>
        <v>0</v>
      </c>
      <c r="CL51" s="26">
        <f t="shared" si="58"/>
        <v>0</v>
      </c>
      <c r="CM51" s="26">
        <f t="shared" si="59"/>
        <v>0</v>
      </c>
      <c r="CN51" s="27">
        <f t="shared" si="60"/>
        <v>0</v>
      </c>
      <c r="CO51" s="27">
        <f t="shared" si="61"/>
        <v>0</v>
      </c>
      <c r="CP51" s="27">
        <f t="shared" si="62"/>
        <v>0</v>
      </c>
      <c r="CQ51" s="27">
        <f t="shared" si="63"/>
        <v>0</v>
      </c>
      <c r="CR51" s="24">
        <f t="shared" si="64"/>
        <v>0</v>
      </c>
      <c r="CS51" s="24">
        <f t="shared" si="65"/>
        <v>0</v>
      </c>
      <c r="CT51">
        <v>0</v>
      </c>
      <c r="CU51" s="24">
        <f t="shared" si="49"/>
        <v>0</v>
      </c>
      <c r="CV51" s="27">
        <f t="shared" si="66"/>
        <v>0</v>
      </c>
      <c r="CW51" s="27">
        <f t="shared" si="67"/>
        <v>0</v>
      </c>
      <c r="CX51" s="27">
        <f t="shared" si="68"/>
        <v>0</v>
      </c>
      <c r="CY51" s="27">
        <f t="shared" si="69"/>
        <v>0</v>
      </c>
      <c r="CZ51" s="24">
        <f t="shared" si="70"/>
        <v>0</v>
      </c>
      <c r="DA51" s="24">
        <f t="shared" si="71"/>
        <v>0</v>
      </c>
      <c r="DB51" s="27">
        <f t="shared" si="72"/>
        <v>0</v>
      </c>
      <c r="DC51" s="27">
        <f t="shared" si="73"/>
        <v>0</v>
      </c>
      <c r="DD51" s="27">
        <f t="shared" si="74"/>
        <v>0</v>
      </c>
      <c r="DE51" s="27">
        <f t="shared" si="75"/>
        <v>0</v>
      </c>
      <c r="DF51" s="24">
        <f t="shared" si="76"/>
        <v>0</v>
      </c>
      <c r="DG51" s="24">
        <f t="shared" si="77"/>
        <v>0</v>
      </c>
      <c r="DH51" s="24">
        <f t="shared" si="78"/>
        <v>0</v>
      </c>
      <c r="DI51" s="24">
        <f t="shared" si="79"/>
        <v>0</v>
      </c>
      <c r="DJ51" s="26">
        <f t="shared" si="50"/>
        <v>0</v>
      </c>
      <c r="DK51" s="26">
        <f t="shared" si="51"/>
        <v>0</v>
      </c>
      <c r="DP51" s="27"/>
      <c r="DQ51" s="27"/>
      <c r="DR51" s="27">
        <f t="shared" si="80"/>
        <v>0</v>
      </c>
      <c r="DS51" s="27">
        <f t="shared" si="81"/>
        <v>0</v>
      </c>
      <c r="DT51" s="27">
        <f t="shared" si="82"/>
        <v>0</v>
      </c>
      <c r="DU51" s="27">
        <f t="shared" si="83"/>
        <v>0</v>
      </c>
      <c r="DV51" s="27">
        <f t="shared" si="44"/>
        <v>0</v>
      </c>
      <c r="DW51" s="27">
        <f t="shared" si="45"/>
        <v>0</v>
      </c>
      <c r="DX51" s="27">
        <f t="shared" si="84"/>
        <v>0</v>
      </c>
      <c r="DY51" s="27">
        <f t="shared" si="85"/>
        <v>0</v>
      </c>
      <c r="DZ51" s="27">
        <f t="shared" si="86"/>
        <v>0</v>
      </c>
      <c r="EA51" s="27">
        <f t="shared" si="87"/>
        <v>0</v>
      </c>
      <c r="EB51" s="27">
        <f t="shared" si="46"/>
        <v>0</v>
      </c>
      <c r="EC51" s="27">
        <f t="shared" si="47"/>
        <v>0</v>
      </c>
    </row>
    <row r="52" spans="1:133" x14ac:dyDescent="0.35">
      <c r="A52" s="405"/>
      <c r="C52" s="31">
        <v>48</v>
      </c>
      <c r="D52" s="32">
        <v>23489.87</v>
      </c>
      <c r="E52" s="32">
        <v>28789.01</v>
      </c>
      <c r="F52" s="72"/>
      <c r="G52" s="31">
        <v>48</v>
      </c>
      <c r="H52" s="32">
        <v>41946.2</v>
      </c>
      <c r="I52" s="32">
        <v>51408.95</v>
      </c>
      <c r="AH52" s="406"/>
      <c r="AN52" s="40">
        <v>48</v>
      </c>
      <c r="AO52" s="46">
        <v>2.290799289918314E-2</v>
      </c>
      <c r="AQ52" s="40" t="s">
        <v>243</v>
      </c>
      <c r="AR52" s="40">
        <v>6</v>
      </c>
      <c r="AS52" s="49">
        <f t="shared" si="88"/>
        <v>0</v>
      </c>
      <c r="AU52" s="386" t="s">
        <v>300</v>
      </c>
      <c r="AV52" s="386"/>
      <c r="AY52" s="40" t="s">
        <v>243</v>
      </c>
      <c r="AZ52" s="40">
        <v>6</v>
      </c>
      <c r="BA52" s="41">
        <v>0.47649999999999998</v>
      </c>
      <c r="BJ52" s="406"/>
      <c r="BQ52">
        <v>46</v>
      </c>
      <c r="BR52" s="26" t="e">
        <f t="shared" si="37"/>
        <v>#N/A</v>
      </c>
      <c r="BS52" s="26" t="e">
        <f t="shared" si="38"/>
        <v>#N/A</v>
      </c>
      <c r="BT52" s="26"/>
      <c r="BU52" s="29">
        <v>46</v>
      </c>
      <c r="BV52" s="26" t="e">
        <f t="shared" si="52"/>
        <v>#N/A</v>
      </c>
      <c r="BW52" s="26" t="e">
        <f t="shared" si="53"/>
        <v>#N/A</v>
      </c>
      <c r="BY52" s="29">
        <v>46</v>
      </c>
      <c r="BZ52" s="26" t="e">
        <f t="shared" si="39"/>
        <v>#N/A</v>
      </c>
      <c r="CA52" s="26" t="e">
        <f t="shared" si="40"/>
        <v>#N/A</v>
      </c>
      <c r="CC52" s="29">
        <v>46</v>
      </c>
      <c r="CD52" s="26" t="e">
        <f t="shared" si="41"/>
        <v>#N/A</v>
      </c>
      <c r="CE52" s="26" t="e">
        <f t="shared" si="42"/>
        <v>#N/A</v>
      </c>
      <c r="CG52">
        <v>46</v>
      </c>
      <c r="CH52" s="206" t="e">
        <f t="shared" si="54"/>
        <v>#N/A</v>
      </c>
      <c r="CI52" s="206" t="e">
        <f t="shared" si="55"/>
        <v>#N/A</v>
      </c>
      <c r="CJ52" s="207">
        <f t="shared" si="56"/>
        <v>0</v>
      </c>
      <c r="CK52" s="207">
        <f t="shared" si="57"/>
        <v>0</v>
      </c>
      <c r="CL52" s="208">
        <f t="shared" si="58"/>
        <v>0</v>
      </c>
      <c r="CM52" s="208">
        <f t="shared" si="59"/>
        <v>0</v>
      </c>
      <c r="CN52" s="207">
        <f t="shared" si="60"/>
        <v>0</v>
      </c>
      <c r="CO52" s="207">
        <f t="shared" si="61"/>
        <v>0</v>
      </c>
      <c r="CP52" s="207">
        <f t="shared" si="62"/>
        <v>0</v>
      </c>
      <c r="CQ52" s="207">
        <f t="shared" si="63"/>
        <v>0</v>
      </c>
      <c r="CR52" s="24">
        <f t="shared" si="64"/>
        <v>0</v>
      </c>
      <c r="CS52" s="24">
        <f t="shared" si="65"/>
        <v>0</v>
      </c>
      <c r="CT52" s="209">
        <v>0</v>
      </c>
      <c r="CU52" s="206">
        <f t="shared" si="49"/>
        <v>0</v>
      </c>
      <c r="CV52" s="27">
        <f t="shared" si="66"/>
        <v>0</v>
      </c>
      <c r="CW52" s="27">
        <f t="shared" si="67"/>
        <v>0</v>
      </c>
      <c r="CX52" s="207">
        <f t="shared" si="68"/>
        <v>0</v>
      </c>
      <c r="CY52" s="207">
        <f t="shared" si="69"/>
        <v>0</v>
      </c>
      <c r="CZ52" s="206">
        <f t="shared" si="70"/>
        <v>0</v>
      </c>
      <c r="DA52" s="206">
        <f t="shared" si="71"/>
        <v>0</v>
      </c>
      <c r="DB52" s="207">
        <f t="shared" si="72"/>
        <v>0</v>
      </c>
      <c r="DC52" s="207">
        <f t="shared" si="73"/>
        <v>0</v>
      </c>
      <c r="DD52" s="27">
        <f t="shared" si="74"/>
        <v>0</v>
      </c>
      <c r="DE52" s="27">
        <f t="shared" si="75"/>
        <v>0</v>
      </c>
      <c r="DF52" s="206">
        <f t="shared" si="76"/>
        <v>0</v>
      </c>
      <c r="DG52" s="206">
        <f t="shared" si="77"/>
        <v>0</v>
      </c>
      <c r="DH52" s="206">
        <f t="shared" si="78"/>
        <v>0</v>
      </c>
      <c r="DI52" s="206">
        <f t="shared" si="79"/>
        <v>0</v>
      </c>
      <c r="DJ52" s="208">
        <f t="shared" si="50"/>
        <v>0</v>
      </c>
      <c r="DK52" s="208">
        <f t="shared" si="51"/>
        <v>0</v>
      </c>
      <c r="DP52" s="27"/>
      <c r="DQ52" s="27"/>
      <c r="DR52" s="27">
        <f t="shared" si="80"/>
        <v>0</v>
      </c>
      <c r="DS52" s="27">
        <f t="shared" si="81"/>
        <v>0</v>
      </c>
      <c r="DT52" s="27">
        <f t="shared" si="82"/>
        <v>0</v>
      </c>
      <c r="DU52" s="27">
        <f t="shared" si="83"/>
        <v>0</v>
      </c>
      <c r="DV52" s="27">
        <f t="shared" si="44"/>
        <v>0</v>
      </c>
      <c r="DW52" s="27">
        <f t="shared" si="45"/>
        <v>0</v>
      </c>
      <c r="DX52" s="27">
        <f t="shared" si="84"/>
        <v>0</v>
      </c>
      <c r="DY52" s="27">
        <f t="shared" si="85"/>
        <v>0</v>
      </c>
      <c r="DZ52" s="27">
        <f t="shared" si="86"/>
        <v>0</v>
      </c>
      <c r="EA52" s="27">
        <f t="shared" si="87"/>
        <v>0</v>
      </c>
      <c r="EB52" s="27">
        <f t="shared" si="46"/>
        <v>0</v>
      </c>
      <c r="EC52" s="27">
        <f t="shared" si="47"/>
        <v>0</v>
      </c>
    </row>
    <row r="53" spans="1:133" x14ac:dyDescent="0.35">
      <c r="A53" s="405"/>
      <c r="C53" s="31">
        <v>49</v>
      </c>
      <c r="D53" s="32">
        <v>25115.63</v>
      </c>
      <c r="E53" s="32">
        <v>30621.85</v>
      </c>
      <c r="F53" s="72"/>
      <c r="G53" s="31">
        <v>49</v>
      </c>
      <c r="H53" s="32">
        <v>44849.34</v>
      </c>
      <c r="I53" s="32">
        <v>54681.88</v>
      </c>
      <c r="AH53" s="406"/>
      <c r="AN53" s="40">
        <v>49</v>
      </c>
      <c r="AO53" s="46">
        <v>2.290799289918314E-2</v>
      </c>
      <c r="AQ53" s="40" t="s">
        <v>23</v>
      </c>
      <c r="AR53" s="323">
        <v>1</v>
      </c>
      <c r="AS53" s="49">
        <f t="shared" si="88"/>
        <v>0.23599999999999999</v>
      </c>
      <c r="AU53" s="369" t="s">
        <v>159</v>
      </c>
      <c r="AV53" s="369" t="s">
        <v>102</v>
      </c>
      <c r="AY53" s="40" t="s">
        <v>23</v>
      </c>
      <c r="AZ53" s="40">
        <v>3</v>
      </c>
      <c r="BA53" s="41">
        <v>0.76854999999999996</v>
      </c>
      <c r="BJ53" s="406"/>
      <c r="BQ53">
        <v>47</v>
      </c>
      <c r="BR53" s="26" t="e">
        <f t="shared" si="37"/>
        <v>#N/A</v>
      </c>
      <c r="BS53" s="26" t="e">
        <f t="shared" si="38"/>
        <v>#N/A</v>
      </c>
      <c r="BT53" s="26"/>
      <c r="BU53" s="29">
        <v>47</v>
      </c>
      <c r="BV53" s="26" t="e">
        <f t="shared" si="52"/>
        <v>#N/A</v>
      </c>
      <c r="BW53" s="26" t="e">
        <f t="shared" si="53"/>
        <v>#N/A</v>
      </c>
      <c r="BY53" s="29">
        <v>47</v>
      </c>
      <c r="BZ53" s="26" t="e">
        <f t="shared" si="39"/>
        <v>#N/A</v>
      </c>
      <c r="CA53" s="26" t="e">
        <f t="shared" si="40"/>
        <v>#N/A</v>
      </c>
      <c r="CC53" s="29">
        <v>47</v>
      </c>
      <c r="CD53" s="26" t="e">
        <f t="shared" si="41"/>
        <v>#N/A</v>
      </c>
      <c r="CE53" s="26" t="e">
        <f t="shared" si="42"/>
        <v>#N/A</v>
      </c>
      <c r="CG53">
        <v>47</v>
      </c>
      <c r="CH53" s="24" t="e">
        <f t="shared" si="54"/>
        <v>#N/A</v>
      </c>
      <c r="CI53" s="24" t="e">
        <f t="shared" si="55"/>
        <v>#N/A</v>
      </c>
      <c r="CJ53" s="27">
        <f t="shared" si="56"/>
        <v>0</v>
      </c>
      <c r="CK53" s="27">
        <f t="shared" si="57"/>
        <v>0</v>
      </c>
      <c r="CL53" s="26">
        <f t="shared" si="58"/>
        <v>0</v>
      </c>
      <c r="CM53" s="26">
        <f t="shared" si="59"/>
        <v>0</v>
      </c>
      <c r="CN53" s="27">
        <f t="shared" si="60"/>
        <v>0</v>
      </c>
      <c r="CO53" s="27">
        <f t="shared" si="61"/>
        <v>0</v>
      </c>
      <c r="CP53" s="27">
        <f t="shared" si="62"/>
        <v>0</v>
      </c>
      <c r="CQ53" s="27">
        <f t="shared" si="63"/>
        <v>0</v>
      </c>
      <c r="CR53" s="24">
        <f t="shared" si="64"/>
        <v>0</v>
      </c>
      <c r="CS53" s="24">
        <f t="shared" si="65"/>
        <v>0</v>
      </c>
      <c r="CT53">
        <v>0</v>
      </c>
      <c r="CU53" s="24">
        <f t="shared" ref="CU53:CU84" si="90">ROUND(IF($CU$1=1,(AO51*$CU$2)/(1-$L$7),0),4)</f>
        <v>0</v>
      </c>
      <c r="CV53" s="27">
        <f t="shared" si="66"/>
        <v>0</v>
      </c>
      <c r="CW53" s="27">
        <f t="shared" si="67"/>
        <v>0</v>
      </c>
      <c r="CX53" s="27">
        <f t="shared" si="68"/>
        <v>0</v>
      </c>
      <c r="CY53" s="27">
        <f t="shared" si="69"/>
        <v>0</v>
      </c>
      <c r="CZ53" s="24">
        <f t="shared" si="70"/>
        <v>0</v>
      </c>
      <c r="DA53" s="24">
        <f t="shared" si="71"/>
        <v>0</v>
      </c>
      <c r="DB53" s="27">
        <f t="shared" si="72"/>
        <v>0</v>
      </c>
      <c r="DC53" s="27">
        <f t="shared" si="73"/>
        <v>0</v>
      </c>
      <c r="DD53" s="27">
        <f t="shared" si="74"/>
        <v>0</v>
      </c>
      <c r="DE53" s="27">
        <f t="shared" si="75"/>
        <v>0</v>
      </c>
      <c r="DF53" s="24">
        <f t="shared" si="76"/>
        <v>0</v>
      </c>
      <c r="DG53" s="24">
        <f t="shared" si="77"/>
        <v>0</v>
      </c>
      <c r="DH53" s="24">
        <f t="shared" si="78"/>
        <v>0</v>
      </c>
      <c r="DI53" s="24">
        <f t="shared" si="79"/>
        <v>0</v>
      </c>
      <c r="DJ53" s="26">
        <f t="shared" si="50"/>
        <v>0</v>
      </c>
      <c r="DK53" s="26">
        <f t="shared" si="51"/>
        <v>0</v>
      </c>
      <c r="DP53" s="27"/>
      <c r="DQ53" s="27"/>
      <c r="DR53" s="27">
        <f t="shared" si="80"/>
        <v>0</v>
      </c>
      <c r="DS53" s="27">
        <f t="shared" si="81"/>
        <v>0</v>
      </c>
      <c r="DT53" s="27">
        <f t="shared" si="82"/>
        <v>0</v>
      </c>
      <c r="DU53" s="27">
        <f t="shared" si="83"/>
        <v>0</v>
      </c>
      <c r="DV53" s="27">
        <f t="shared" si="44"/>
        <v>0</v>
      </c>
      <c r="DW53" s="27">
        <f t="shared" si="45"/>
        <v>0</v>
      </c>
      <c r="DX53" s="27">
        <f t="shared" si="84"/>
        <v>0</v>
      </c>
      <c r="DY53" s="27">
        <f t="shared" si="85"/>
        <v>0</v>
      </c>
      <c r="DZ53" s="27">
        <f t="shared" si="86"/>
        <v>0</v>
      </c>
      <c r="EA53" s="27">
        <f t="shared" si="87"/>
        <v>0</v>
      </c>
      <c r="EB53" s="27">
        <f t="shared" si="46"/>
        <v>0</v>
      </c>
      <c r="EC53" s="27">
        <f t="shared" si="47"/>
        <v>0</v>
      </c>
    </row>
    <row r="54" spans="1:133" x14ac:dyDescent="0.35">
      <c r="A54" s="405"/>
      <c r="C54" s="31">
        <v>50</v>
      </c>
      <c r="D54" s="32">
        <v>26894.44</v>
      </c>
      <c r="E54" s="32">
        <v>32596.17</v>
      </c>
      <c r="F54" s="72"/>
      <c r="G54" s="31">
        <v>50</v>
      </c>
      <c r="H54" s="32">
        <v>48025.79</v>
      </c>
      <c r="I54" s="32">
        <v>58207.45</v>
      </c>
      <c r="AH54" s="406"/>
      <c r="AN54" s="40">
        <v>50</v>
      </c>
      <c r="AO54" s="46">
        <v>1.8750244230586313E-2</v>
      </c>
      <c r="AQ54" s="40" t="s">
        <v>24</v>
      </c>
      <c r="AR54" s="40">
        <v>3</v>
      </c>
      <c r="AS54" s="49">
        <f t="shared" si="88"/>
        <v>0.111</v>
      </c>
      <c r="AU54" s="370">
        <v>1</v>
      </c>
      <c r="AV54" s="371">
        <f>AV42</f>
        <v>0.23599999999999999</v>
      </c>
      <c r="AY54" s="40" t="s">
        <v>24</v>
      </c>
      <c r="AZ54" s="40">
        <v>3</v>
      </c>
      <c r="BA54" s="41">
        <v>0.76854999999999996</v>
      </c>
      <c r="BJ54" s="406"/>
      <c r="BQ54">
        <v>48</v>
      </c>
      <c r="BR54" s="26" t="e">
        <f t="shared" si="37"/>
        <v>#N/A</v>
      </c>
      <c r="BS54" s="26" t="e">
        <f t="shared" si="38"/>
        <v>#N/A</v>
      </c>
      <c r="BT54" s="26"/>
      <c r="BU54" s="29">
        <v>48</v>
      </c>
      <c r="BV54" s="26" t="e">
        <f t="shared" si="52"/>
        <v>#N/A</v>
      </c>
      <c r="BW54" s="26" t="e">
        <f t="shared" si="53"/>
        <v>#N/A</v>
      </c>
      <c r="BY54" s="29">
        <v>48</v>
      </c>
      <c r="BZ54" s="26" t="e">
        <f t="shared" si="39"/>
        <v>#N/A</v>
      </c>
      <c r="CA54" s="26" t="e">
        <f t="shared" si="40"/>
        <v>#N/A</v>
      </c>
      <c r="CC54" s="29">
        <v>48</v>
      </c>
      <c r="CD54" s="26" t="e">
        <f t="shared" si="41"/>
        <v>#N/A</v>
      </c>
      <c r="CE54" s="26" t="e">
        <f t="shared" si="42"/>
        <v>#N/A</v>
      </c>
      <c r="CG54">
        <v>48</v>
      </c>
      <c r="CH54" s="24" t="e">
        <f t="shared" si="54"/>
        <v>#N/A</v>
      </c>
      <c r="CI54" s="24" t="e">
        <f t="shared" si="55"/>
        <v>#N/A</v>
      </c>
      <c r="CJ54" s="27">
        <f t="shared" si="56"/>
        <v>0</v>
      </c>
      <c r="CK54" s="27">
        <f t="shared" si="57"/>
        <v>0</v>
      </c>
      <c r="CL54" s="26">
        <f t="shared" si="58"/>
        <v>0</v>
      </c>
      <c r="CM54" s="26">
        <f t="shared" si="59"/>
        <v>0</v>
      </c>
      <c r="CN54" s="27">
        <f t="shared" si="60"/>
        <v>0</v>
      </c>
      <c r="CO54" s="27">
        <f t="shared" si="61"/>
        <v>0</v>
      </c>
      <c r="CP54" s="27">
        <f t="shared" si="62"/>
        <v>0</v>
      </c>
      <c r="CQ54" s="27">
        <f t="shared" si="63"/>
        <v>0</v>
      </c>
      <c r="CR54" s="24">
        <f t="shared" si="64"/>
        <v>0</v>
      </c>
      <c r="CS54" s="24">
        <f t="shared" si="65"/>
        <v>0</v>
      </c>
      <c r="CT54">
        <v>0</v>
      </c>
      <c r="CU54" s="24">
        <f t="shared" si="90"/>
        <v>0</v>
      </c>
      <c r="CV54" s="27">
        <f t="shared" si="66"/>
        <v>0</v>
      </c>
      <c r="CW54" s="27">
        <f t="shared" si="67"/>
        <v>0</v>
      </c>
      <c r="CX54" s="27">
        <f t="shared" si="68"/>
        <v>0</v>
      </c>
      <c r="CY54" s="27">
        <f t="shared" si="69"/>
        <v>0</v>
      </c>
      <c r="CZ54" s="24">
        <f t="shared" si="70"/>
        <v>0</v>
      </c>
      <c r="DA54" s="24">
        <f t="shared" si="71"/>
        <v>0</v>
      </c>
      <c r="DB54" s="27">
        <f t="shared" si="72"/>
        <v>0</v>
      </c>
      <c r="DC54" s="27">
        <f t="shared" si="73"/>
        <v>0</v>
      </c>
      <c r="DD54" s="27">
        <f t="shared" si="74"/>
        <v>0</v>
      </c>
      <c r="DE54" s="27">
        <f t="shared" si="75"/>
        <v>0</v>
      </c>
      <c r="DF54" s="24">
        <f t="shared" si="76"/>
        <v>0</v>
      </c>
      <c r="DG54" s="24">
        <f t="shared" si="77"/>
        <v>0</v>
      </c>
      <c r="DH54" s="24">
        <f t="shared" si="78"/>
        <v>0</v>
      </c>
      <c r="DI54" s="24">
        <f t="shared" si="79"/>
        <v>0</v>
      </c>
      <c r="DJ54" s="26">
        <f t="shared" si="50"/>
        <v>0</v>
      </c>
      <c r="DK54" s="26">
        <f t="shared" si="51"/>
        <v>0</v>
      </c>
      <c r="DP54" s="27"/>
      <c r="DQ54" s="27"/>
      <c r="DR54" s="27">
        <f t="shared" si="80"/>
        <v>0</v>
      </c>
      <c r="DS54" s="27">
        <f t="shared" si="81"/>
        <v>0</v>
      </c>
      <c r="DT54" s="27">
        <f t="shared" si="82"/>
        <v>0</v>
      </c>
      <c r="DU54" s="27">
        <f t="shared" si="83"/>
        <v>0</v>
      </c>
      <c r="DV54" s="27">
        <f t="shared" si="44"/>
        <v>0</v>
      </c>
      <c r="DW54" s="27">
        <f t="shared" si="45"/>
        <v>0</v>
      </c>
      <c r="DX54" s="27">
        <f t="shared" si="84"/>
        <v>0</v>
      </c>
      <c r="DY54" s="27">
        <f t="shared" si="85"/>
        <v>0</v>
      </c>
      <c r="DZ54" s="27">
        <f t="shared" si="86"/>
        <v>0</v>
      </c>
      <c r="EA54" s="27">
        <f t="shared" si="87"/>
        <v>0</v>
      </c>
      <c r="EB54" s="27">
        <f t="shared" si="46"/>
        <v>0</v>
      </c>
      <c r="EC54" s="27">
        <f t="shared" si="47"/>
        <v>0</v>
      </c>
    </row>
    <row r="55" spans="1:133" x14ac:dyDescent="0.35">
      <c r="A55" s="405"/>
      <c r="C55" s="31">
        <v>51</v>
      </c>
      <c r="D55" s="32">
        <v>28837.89</v>
      </c>
      <c r="E55" s="32">
        <v>34719.68</v>
      </c>
      <c r="F55" s="72"/>
      <c r="G55" s="31">
        <v>51</v>
      </c>
      <c r="H55" s="32">
        <v>51496.23</v>
      </c>
      <c r="I55" s="32">
        <v>61999.43</v>
      </c>
      <c r="AH55" s="406"/>
      <c r="AN55" s="40">
        <v>51</v>
      </c>
      <c r="AO55" s="46">
        <v>1.8750244230586313E-2</v>
      </c>
      <c r="AQ55" s="40" t="s">
        <v>25</v>
      </c>
      <c r="AR55" s="40">
        <v>3</v>
      </c>
      <c r="AS55" s="49">
        <f t="shared" si="88"/>
        <v>0.111</v>
      </c>
      <c r="AU55" s="370">
        <v>2</v>
      </c>
      <c r="AV55" s="371">
        <f>AV43</f>
        <v>0.17299999999999999</v>
      </c>
      <c r="AY55" s="40" t="s">
        <v>25</v>
      </c>
      <c r="AZ55" s="40">
        <v>3</v>
      </c>
      <c r="BA55" s="41">
        <v>0.76854999999999996</v>
      </c>
      <c r="BJ55" s="406"/>
      <c r="BQ55">
        <v>49</v>
      </c>
      <c r="BR55" s="26" t="e">
        <f t="shared" si="37"/>
        <v>#N/A</v>
      </c>
      <c r="BS55" s="26" t="e">
        <f t="shared" si="38"/>
        <v>#N/A</v>
      </c>
      <c r="BT55" s="26"/>
      <c r="BU55" s="29">
        <v>49</v>
      </c>
      <c r="BV55" s="26" t="e">
        <f t="shared" si="52"/>
        <v>#N/A</v>
      </c>
      <c r="BW55" s="26" t="e">
        <f t="shared" si="53"/>
        <v>#N/A</v>
      </c>
      <c r="BY55" s="29">
        <v>49</v>
      </c>
      <c r="BZ55" s="26" t="e">
        <f t="shared" si="39"/>
        <v>#N/A</v>
      </c>
      <c r="CA55" s="26" t="e">
        <f t="shared" si="40"/>
        <v>#N/A</v>
      </c>
      <c r="CC55" s="29">
        <v>49</v>
      </c>
      <c r="CD55" s="26" t="e">
        <f t="shared" si="41"/>
        <v>#N/A</v>
      </c>
      <c r="CE55" s="26" t="e">
        <f t="shared" si="42"/>
        <v>#N/A</v>
      </c>
      <c r="CG55">
        <v>49</v>
      </c>
      <c r="CH55" s="24" t="e">
        <f t="shared" si="54"/>
        <v>#N/A</v>
      </c>
      <c r="CI55" s="24" t="e">
        <f t="shared" si="55"/>
        <v>#N/A</v>
      </c>
      <c r="CJ55" s="27">
        <f t="shared" si="56"/>
        <v>0</v>
      </c>
      <c r="CK55" s="27">
        <f t="shared" si="57"/>
        <v>0</v>
      </c>
      <c r="CL55" s="26">
        <f t="shared" si="58"/>
        <v>0</v>
      </c>
      <c r="CM55" s="26">
        <f t="shared" si="59"/>
        <v>0</v>
      </c>
      <c r="CN55" s="27">
        <f t="shared" si="60"/>
        <v>0</v>
      </c>
      <c r="CO55" s="27">
        <f t="shared" si="61"/>
        <v>0</v>
      </c>
      <c r="CP55" s="27">
        <f t="shared" si="62"/>
        <v>0</v>
      </c>
      <c r="CQ55" s="27">
        <f t="shared" si="63"/>
        <v>0</v>
      </c>
      <c r="CR55" s="24">
        <f t="shared" si="64"/>
        <v>0</v>
      </c>
      <c r="CS55" s="24">
        <f t="shared" si="65"/>
        <v>0</v>
      </c>
      <c r="CT55">
        <v>0</v>
      </c>
      <c r="CU55" s="24">
        <f t="shared" si="90"/>
        <v>0</v>
      </c>
      <c r="CV55" s="27">
        <f t="shared" si="66"/>
        <v>0</v>
      </c>
      <c r="CW55" s="27">
        <f t="shared" si="67"/>
        <v>0</v>
      </c>
      <c r="CX55" s="27">
        <f t="shared" si="68"/>
        <v>0</v>
      </c>
      <c r="CY55" s="27">
        <f t="shared" si="69"/>
        <v>0</v>
      </c>
      <c r="CZ55" s="24">
        <f t="shared" si="70"/>
        <v>0</v>
      </c>
      <c r="DA55" s="24">
        <f t="shared" si="71"/>
        <v>0</v>
      </c>
      <c r="DB55" s="27">
        <f t="shared" si="72"/>
        <v>0</v>
      </c>
      <c r="DC55" s="27">
        <f t="shared" si="73"/>
        <v>0</v>
      </c>
      <c r="DD55" s="27">
        <f t="shared" si="74"/>
        <v>0</v>
      </c>
      <c r="DE55" s="27">
        <f t="shared" si="75"/>
        <v>0</v>
      </c>
      <c r="DF55" s="24">
        <f t="shared" si="76"/>
        <v>0</v>
      </c>
      <c r="DG55" s="24">
        <f t="shared" si="77"/>
        <v>0</v>
      </c>
      <c r="DH55" s="24">
        <f t="shared" si="78"/>
        <v>0</v>
      </c>
      <c r="DI55" s="24">
        <f t="shared" si="79"/>
        <v>0</v>
      </c>
      <c r="DJ55" s="26">
        <f t="shared" si="50"/>
        <v>0</v>
      </c>
      <c r="DK55" s="26">
        <f t="shared" si="51"/>
        <v>0</v>
      </c>
      <c r="DP55" s="27"/>
      <c r="DQ55" s="27"/>
      <c r="DR55" s="27">
        <f t="shared" si="80"/>
        <v>0</v>
      </c>
      <c r="DS55" s="27">
        <f t="shared" si="81"/>
        <v>0</v>
      </c>
      <c r="DT55" s="27">
        <f t="shared" si="82"/>
        <v>0</v>
      </c>
      <c r="DU55" s="27">
        <f t="shared" si="83"/>
        <v>0</v>
      </c>
      <c r="DV55" s="27">
        <f t="shared" si="44"/>
        <v>0</v>
      </c>
      <c r="DW55" s="27">
        <f t="shared" si="45"/>
        <v>0</v>
      </c>
      <c r="DX55" s="27">
        <f t="shared" si="84"/>
        <v>0</v>
      </c>
      <c r="DY55" s="27">
        <f t="shared" si="85"/>
        <v>0</v>
      </c>
      <c r="DZ55" s="27">
        <f t="shared" si="86"/>
        <v>0</v>
      </c>
      <c r="EA55" s="27">
        <f t="shared" si="87"/>
        <v>0</v>
      </c>
      <c r="EB55" s="27">
        <f t="shared" si="46"/>
        <v>0</v>
      </c>
      <c r="EC55" s="27">
        <f t="shared" si="47"/>
        <v>0</v>
      </c>
    </row>
    <row r="56" spans="1:133" x14ac:dyDescent="0.35">
      <c r="A56" s="405"/>
      <c r="C56" s="31">
        <v>52</v>
      </c>
      <c r="D56" s="32">
        <v>30957.55</v>
      </c>
      <c r="E56" s="32">
        <v>37001.4</v>
      </c>
      <c r="F56" s="72"/>
      <c r="G56" s="31">
        <v>52</v>
      </c>
      <c r="H56" s="32">
        <v>55281.34</v>
      </c>
      <c r="I56" s="32">
        <v>66073.929999999993</v>
      </c>
      <c r="AH56" s="406"/>
      <c r="AN56" s="40">
        <v>52</v>
      </c>
      <c r="AO56" s="46">
        <v>1.8750244230586313E-2</v>
      </c>
      <c r="AQ56" s="40" t="s">
        <v>280</v>
      </c>
      <c r="AR56" s="40">
        <v>5</v>
      </c>
      <c r="AS56" s="49">
        <f t="shared" si="88"/>
        <v>9.0999999999999998E-2</v>
      </c>
      <c r="AU56" s="370">
        <v>3</v>
      </c>
      <c r="AV56" s="371">
        <f>AV44</f>
        <v>0.111</v>
      </c>
      <c r="AY56" s="40" t="s">
        <v>280</v>
      </c>
      <c r="AZ56" s="323">
        <v>3</v>
      </c>
      <c r="BA56" s="324">
        <v>0.76854999999999996</v>
      </c>
      <c r="BJ56" s="406"/>
      <c r="BQ56">
        <v>50</v>
      </c>
      <c r="BR56" s="26" t="e">
        <f t="shared" si="37"/>
        <v>#N/A</v>
      </c>
      <c r="BS56" s="26" t="e">
        <f t="shared" si="38"/>
        <v>#N/A</v>
      </c>
      <c r="BT56" s="26"/>
      <c r="BU56" s="29">
        <v>50</v>
      </c>
      <c r="BV56" s="26" t="e">
        <f t="shared" si="52"/>
        <v>#N/A</v>
      </c>
      <c r="BW56" s="26" t="e">
        <f t="shared" si="53"/>
        <v>#N/A</v>
      </c>
      <c r="BY56" s="29">
        <v>50</v>
      </c>
      <c r="BZ56" s="26" t="e">
        <f t="shared" si="39"/>
        <v>#N/A</v>
      </c>
      <c r="CA56" s="26" t="e">
        <f t="shared" si="40"/>
        <v>#N/A</v>
      </c>
      <c r="CC56" s="29">
        <v>50</v>
      </c>
      <c r="CD56" s="26" t="e">
        <f t="shared" si="41"/>
        <v>#N/A</v>
      </c>
      <c r="CE56" s="26" t="e">
        <f t="shared" si="42"/>
        <v>#N/A</v>
      </c>
      <c r="CG56">
        <v>50</v>
      </c>
      <c r="CH56" s="24" t="e">
        <f t="shared" si="54"/>
        <v>#N/A</v>
      </c>
      <c r="CI56" s="24" t="e">
        <f t="shared" si="55"/>
        <v>#N/A</v>
      </c>
      <c r="CJ56" s="27">
        <f t="shared" si="56"/>
        <v>0</v>
      </c>
      <c r="CK56" s="27">
        <f t="shared" si="57"/>
        <v>0</v>
      </c>
      <c r="CL56" s="26">
        <f t="shared" si="58"/>
        <v>0</v>
      </c>
      <c r="CM56" s="26">
        <f t="shared" si="59"/>
        <v>0</v>
      </c>
      <c r="CN56" s="27">
        <f t="shared" si="60"/>
        <v>0</v>
      </c>
      <c r="CO56" s="27">
        <f t="shared" si="61"/>
        <v>0</v>
      </c>
      <c r="CP56" s="27">
        <f t="shared" si="62"/>
        <v>0</v>
      </c>
      <c r="CQ56" s="27">
        <f t="shared" si="63"/>
        <v>0</v>
      </c>
      <c r="CR56" s="24">
        <f t="shared" si="64"/>
        <v>0</v>
      </c>
      <c r="CS56" s="24">
        <f t="shared" si="65"/>
        <v>0</v>
      </c>
      <c r="CT56">
        <v>0</v>
      </c>
      <c r="CU56" s="24">
        <f t="shared" si="90"/>
        <v>0</v>
      </c>
      <c r="CV56" s="27">
        <f t="shared" si="66"/>
        <v>0</v>
      </c>
      <c r="CW56" s="27">
        <f t="shared" si="67"/>
        <v>0</v>
      </c>
      <c r="CX56" s="27">
        <f t="shared" si="68"/>
        <v>0</v>
      </c>
      <c r="CY56" s="27">
        <f t="shared" si="69"/>
        <v>0</v>
      </c>
      <c r="CZ56" s="24">
        <f t="shared" si="70"/>
        <v>0</v>
      </c>
      <c r="DA56" s="24">
        <f t="shared" si="71"/>
        <v>0</v>
      </c>
      <c r="DB56" s="27">
        <f t="shared" si="72"/>
        <v>0</v>
      </c>
      <c r="DC56" s="27">
        <f t="shared" si="73"/>
        <v>0</v>
      </c>
      <c r="DD56" s="27">
        <f t="shared" si="74"/>
        <v>0</v>
      </c>
      <c r="DE56" s="27">
        <f t="shared" si="75"/>
        <v>0</v>
      </c>
      <c r="DF56" s="24">
        <f t="shared" si="76"/>
        <v>0</v>
      </c>
      <c r="DG56" s="24">
        <f t="shared" si="77"/>
        <v>0</v>
      </c>
      <c r="DH56" s="24">
        <f t="shared" si="78"/>
        <v>0</v>
      </c>
      <c r="DI56" s="24">
        <f t="shared" si="79"/>
        <v>0</v>
      </c>
      <c r="DJ56" s="26">
        <f t="shared" ref="DJ56:DJ87" si="91">ROUND(IF($DK$1=1,(($DK$2/1000)*BF36)/(1-$L$7),0),4)</f>
        <v>0</v>
      </c>
      <c r="DK56" s="26">
        <f t="shared" ref="DK56:DK87" si="92">ROUND(IF($DK$1=1,(($DK$2/1000)*BG36)/(1-$L$7),0),4)</f>
        <v>0</v>
      </c>
      <c r="DP56" s="27"/>
      <c r="DQ56" s="27"/>
      <c r="DR56" s="27">
        <f t="shared" si="80"/>
        <v>0</v>
      </c>
      <c r="DS56" s="27">
        <f t="shared" si="81"/>
        <v>0</v>
      </c>
      <c r="DT56" s="27">
        <f t="shared" si="82"/>
        <v>0</v>
      </c>
      <c r="DU56" s="27">
        <f t="shared" si="83"/>
        <v>0</v>
      </c>
      <c r="DV56" s="27">
        <f t="shared" si="44"/>
        <v>0</v>
      </c>
      <c r="DW56" s="27">
        <f t="shared" si="45"/>
        <v>0</v>
      </c>
      <c r="DX56" s="27">
        <f t="shared" si="84"/>
        <v>0</v>
      </c>
      <c r="DY56" s="27">
        <f t="shared" si="85"/>
        <v>0</v>
      </c>
      <c r="DZ56" s="27">
        <f t="shared" si="86"/>
        <v>0</v>
      </c>
      <c r="EA56" s="27">
        <f t="shared" si="87"/>
        <v>0</v>
      </c>
      <c r="EB56" s="27">
        <f t="shared" si="46"/>
        <v>0</v>
      </c>
      <c r="EC56" s="27">
        <f t="shared" si="47"/>
        <v>0</v>
      </c>
    </row>
    <row r="57" spans="1:133" x14ac:dyDescent="0.35">
      <c r="A57" s="405"/>
      <c r="C57" s="31">
        <v>53</v>
      </c>
      <c r="D57" s="32">
        <v>33267.56</v>
      </c>
      <c r="E57" s="32">
        <v>39450.33</v>
      </c>
      <c r="F57" s="72"/>
      <c r="G57" s="31">
        <v>53</v>
      </c>
      <c r="H57" s="32">
        <v>59406.36</v>
      </c>
      <c r="I57" s="32">
        <v>70447.02</v>
      </c>
      <c r="AH57" s="406"/>
      <c r="AN57" s="40">
        <v>53</v>
      </c>
      <c r="AO57" s="46">
        <v>1.8750244230586313E-2</v>
      </c>
      <c r="AQ57" s="40" t="s">
        <v>281</v>
      </c>
      <c r="AR57" s="40">
        <v>3</v>
      </c>
      <c r="AS57" s="49">
        <f t="shared" si="88"/>
        <v>0.111</v>
      </c>
      <c r="AU57" s="370">
        <v>4</v>
      </c>
      <c r="AV57" s="371">
        <f>AV46</f>
        <v>9.0999999999999998E-2</v>
      </c>
      <c r="AY57" s="40" t="s">
        <v>281</v>
      </c>
      <c r="AZ57" s="40">
        <v>3</v>
      </c>
      <c r="BA57" s="41">
        <v>0.76854999999999996</v>
      </c>
      <c r="BJ57" s="406"/>
      <c r="BQ57">
        <v>51</v>
      </c>
      <c r="BR57" s="26" t="e">
        <f t="shared" si="37"/>
        <v>#N/A</v>
      </c>
      <c r="BS57" s="26" t="e">
        <f t="shared" si="38"/>
        <v>#N/A</v>
      </c>
      <c r="BT57" s="26"/>
      <c r="BU57" s="29">
        <v>51</v>
      </c>
      <c r="BV57" s="26" t="e">
        <f t="shared" si="52"/>
        <v>#N/A</v>
      </c>
      <c r="BW57" s="26" t="e">
        <f t="shared" si="53"/>
        <v>#N/A</v>
      </c>
      <c r="BY57" s="29">
        <v>51</v>
      </c>
      <c r="BZ57" s="26" t="e">
        <f t="shared" si="39"/>
        <v>#N/A</v>
      </c>
      <c r="CA57" s="26" t="e">
        <f t="shared" si="40"/>
        <v>#N/A</v>
      </c>
      <c r="CC57" s="29">
        <v>51</v>
      </c>
      <c r="CD57" s="26" t="e">
        <f t="shared" si="41"/>
        <v>#N/A</v>
      </c>
      <c r="CE57" s="26" t="e">
        <f t="shared" si="42"/>
        <v>#N/A</v>
      </c>
      <c r="CG57">
        <v>51</v>
      </c>
      <c r="CH57" s="24" t="e">
        <f t="shared" si="54"/>
        <v>#N/A</v>
      </c>
      <c r="CI57" s="24" t="e">
        <f t="shared" si="55"/>
        <v>#N/A</v>
      </c>
      <c r="CJ57" s="27">
        <f t="shared" si="56"/>
        <v>0</v>
      </c>
      <c r="CK57" s="27">
        <f t="shared" si="57"/>
        <v>0</v>
      </c>
      <c r="CL57" s="26">
        <f t="shared" si="58"/>
        <v>0</v>
      </c>
      <c r="CM57" s="26">
        <f t="shared" si="59"/>
        <v>0</v>
      </c>
      <c r="CN57" s="27">
        <f t="shared" si="60"/>
        <v>0</v>
      </c>
      <c r="CO57" s="27">
        <f t="shared" si="61"/>
        <v>0</v>
      </c>
      <c r="CP57" s="27">
        <f t="shared" si="62"/>
        <v>0</v>
      </c>
      <c r="CQ57" s="27">
        <f t="shared" si="63"/>
        <v>0</v>
      </c>
      <c r="CR57" s="24">
        <f t="shared" si="64"/>
        <v>0</v>
      </c>
      <c r="CS57" s="24">
        <f t="shared" si="65"/>
        <v>0</v>
      </c>
      <c r="CT57">
        <v>0</v>
      </c>
      <c r="CU57" s="24">
        <f t="shared" si="90"/>
        <v>0</v>
      </c>
      <c r="CV57" s="27">
        <f t="shared" si="66"/>
        <v>0</v>
      </c>
      <c r="CW57" s="27">
        <f t="shared" si="67"/>
        <v>0</v>
      </c>
      <c r="CX57" s="27">
        <f t="shared" si="68"/>
        <v>0</v>
      </c>
      <c r="CY57" s="27">
        <f t="shared" si="69"/>
        <v>0</v>
      </c>
      <c r="CZ57" s="24">
        <f t="shared" si="70"/>
        <v>0</v>
      </c>
      <c r="DA57" s="24">
        <f t="shared" si="71"/>
        <v>0</v>
      </c>
      <c r="DB57" s="27">
        <f t="shared" si="72"/>
        <v>0</v>
      </c>
      <c r="DC57" s="27">
        <f t="shared" si="73"/>
        <v>0</v>
      </c>
      <c r="DD57" s="27">
        <f t="shared" si="74"/>
        <v>0</v>
      </c>
      <c r="DE57" s="27">
        <f t="shared" si="75"/>
        <v>0</v>
      </c>
      <c r="DF57" s="24">
        <f t="shared" si="76"/>
        <v>0</v>
      </c>
      <c r="DG57" s="24">
        <f t="shared" si="77"/>
        <v>0</v>
      </c>
      <c r="DH57" s="24">
        <f t="shared" si="78"/>
        <v>0</v>
      </c>
      <c r="DI57" s="24">
        <f t="shared" si="79"/>
        <v>0</v>
      </c>
      <c r="DJ57" s="26">
        <f t="shared" si="91"/>
        <v>0</v>
      </c>
      <c r="DK57" s="26">
        <f t="shared" si="92"/>
        <v>0</v>
      </c>
      <c r="DP57" s="27"/>
      <c r="DQ57" s="27"/>
      <c r="DR57" s="27">
        <f t="shared" si="80"/>
        <v>0</v>
      </c>
      <c r="DS57" s="27">
        <f t="shared" si="81"/>
        <v>0</v>
      </c>
      <c r="DT57" s="27">
        <f t="shared" si="82"/>
        <v>0</v>
      </c>
      <c r="DU57" s="27">
        <f t="shared" si="83"/>
        <v>0</v>
      </c>
      <c r="DV57" s="27">
        <f t="shared" si="44"/>
        <v>0</v>
      </c>
      <c r="DW57" s="27">
        <f t="shared" si="45"/>
        <v>0</v>
      </c>
      <c r="DX57" s="27">
        <f t="shared" si="84"/>
        <v>0</v>
      </c>
      <c r="DY57" s="27">
        <f t="shared" si="85"/>
        <v>0</v>
      </c>
      <c r="DZ57" s="27">
        <f t="shared" si="86"/>
        <v>0</v>
      </c>
      <c r="EA57" s="27">
        <f t="shared" si="87"/>
        <v>0</v>
      </c>
      <c r="EB57" s="27">
        <f t="shared" si="46"/>
        <v>0</v>
      </c>
      <c r="EC57" s="27">
        <f t="shared" si="47"/>
        <v>0</v>
      </c>
    </row>
    <row r="58" spans="1:133" x14ac:dyDescent="0.35">
      <c r="A58" s="405"/>
      <c r="C58" s="31">
        <v>54</v>
      </c>
      <c r="D58" s="32">
        <v>35778.230000000003</v>
      </c>
      <c r="E58" s="32">
        <v>42072.89</v>
      </c>
      <c r="F58" s="72"/>
      <c r="G58" s="31">
        <v>54</v>
      </c>
      <c r="H58" s="32">
        <v>63889.7</v>
      </c>
      <c r="I58" s="32">
        <v>75130.16</v>
      </c>
      <c r="AH58" s="406"/>
      <c r="AN58" s="40">
        <v>54</v>
      </c>
      <c r="AO58" s="46">
        <v>1.8750244230586313E-2</v>
      </c>
      <c r="AQ58" s="40" t="s">
        <v>26</v>
      </c>
      <c r="AR58" s="40">
        <v>3</v>
      </c>
      <c r="AS58" s="49">
        <f t="shared" si="88"/>
        <v>0.111</v>
      </c>
      <c r="AU58" s="370">
        <v>5</v>
      </c>
      <c r="AV58" s="371">
        <f>AV47</f>
        <v>0</v>
      </c>
      <c r="AY58" s="40" t="s">
        <v>26</v>
      </c>
      <c r="AZ58" s="40">
        <v>3</v>
      </c>
      <c r="BA58" s="41">
        <v>0.76854999999999996</v>
      </c>
      <c r="BJ58" s="406"/>
      <c r="BQ58">
        <v>52</v>
      </c>
      <c r="BR58" s="26" t="e">
        <f t="shared" si="37"/>
        <v>#N/A</v>
      </c>
      <c r="BS58" s="26" t="e">
        <f t="shared" si="38"/>
        <v>#N/A</v>
      </c>
      <c r="BT58" s="26"/>
      <c r="BU58" s="29">
        <v>52</v>
      </c>
      <c r="BV58" s="26" t="e">
        <f t="shared" si="52"/>
        <v>#N/A</v>
      </c>
      <c r="BW58" s="26" t="e">
        <f t="shared" si="53"/>
        <v>#N/A</v>
      </c>
      <c r="BY58" s="29">
        <v>52</v>
      </c>
      <c r="BZ58" s="26" t="e">
        <f t="shared" si="39"/>
        <v>#N/A</v>
      </c>
      <c r="CA58" s="26" t="e">
        <f t="shared" si="40"/>
        <v>#N/A</v>
      </c>
      <c r="CC58" s="29">
        <v>52</v>
      </c>
      <c r="CD58" s="26" t="e">
        <f t="shared" si="41"/>
        <v>#N/A</v>
      </c>
      <c r="CE58" s="26" t="e">
        <f t="shared" si="42"/>
        <v>#N/A</v>
      </c>
      <c r="CG58">
        <v>52</v>
      </c>
      <c r="CH58" s="24" t="e">
        <f t="shared" si="54"/>
        <v>#N/A</v>
      </c>
      <c r="CI58" s="24" t="e">
        <f t="shared" si="55"/>
        <v>#N/A</v>
      </c>
      <c r="CJ58" s="27">
        <f t="shared" si="56"/>
        <v>0</v>
      </c>
      <c r="CK58" s="27">
        <f t="shared" si="57"/>
        <v>0</v>
      </c>
      <c r="CL58" s="26">
        <f t="shared" si="58"/>
        <v>0</v>
      </c>
      <c r="CM58" s="26">
        <f t="shared" si="59"/>
        <v>0</v>
      </c>
      <c r="CN58" s="27">
        <f t="shared" si="60"/>
        <v>0</v>
      </c>
      <c r="CO58" s="27">
        <f t="shared" si="61"/>
        <v>0</v>
      </c>
      <c r="CP58" s="27">
        <f t="shared" si="62"/>
        <v>0</v>
      </c>
      <c r="CQ58" s="27">
        <f t="shared" si="63"/>
        <v>0</v>
      </c>
      <c r="CR58" s="24">
        <f t="shared" si="64"/>
        <v>0</v>
      </c>
      <c r="CS58" s="24">
        <f t="shared" si="65"/>
        <v>0</v>
      </c>
      <c r="CT58">
        <v>0</v>
      </c>
      <c r="CU58" s="24">
        <f t="shared" si="90"/>
        <v>0</v>
      </c>
      <c r="CV58" s="27">
        <f t="shared" si="66"/>
        <v>0</v>
      </c>
      <c r="CW58" s="27">
        <f t="shared" si="67"/>
        <v>0</v>
      </c>
      <c r="CX58" s="27">
        <f t="shared" si="68"/>
        <v>0</v>
      </c>
      <c r="CY58" s="27">
        <f t="shared" si="69"/>
        <v>0</v>
      </c>
      <c r="CZ58" s="24">
        <f t="shared" si="70"/>
        <v>0</v>
      </c>
      <c r="DA58" s="24">
        <f t="shared" si="71"/>
        <v>0</v>
      </c>
      <c r="DB58" s="27">
        <f t="shared" si="72"/>
        <v>0</v>
      </c>
      <c r="DC58" s="27">
        <f t="shared" si="73"/>
        <v>0</v>
      </c>
      <c r="DD58" s="27">
        <f t="shared" si="74"/>
        <v>0</v>
      </c>
      <c r="DE58" s="27">
        <f t="shared" si="75"/>
        <v>0</v>
      </c>
      <c r="DF58" s="24">
        <f t="shared" si="76"/>
        <v>0</v>
      </c>
      <c r="DG58" s="24">
        <f t="shared" si="77"/>
        <v>0</v>
      </c>
      <c r="DH58" s="24">
        <f t="shared" si="78"/>
        <v>0</v>
      </c>
      <c r="DI58" s="24">
        <f t="shared" si="79"/>
        <v>0</v>
      </c>
      <c r="DJ58" s="26">
        <f t="shared" si="91"/>
        <v>0</v>
      </c>
      <c r="DK58" s="26">
        <f t="shared" si="92"/>
        <v>0</v>
      </c>
      <c r="DP58" s="27"/>
      <c r="DQ58" s="27"/>
      <c r="DR58" s="27">
        <f t="shared" si="80"/>
        <v>0</v>
      </c>
      <c r="DS58" s="27">
        <f t="shared" si="81"/>
        <v>0</v>
      </c>
      <c r="DT58" s="27">
        <f t="shared" si="82"/>
        <v>0</v>
      </c>
      <c r="DU58" s="27">
        <f t="shared" si="83"/>
        <v>0</v>
      </c>
      <c r="DV58" s="27">
        <f t="shared" si="44"/>
        <v>0</v>
      </c>
      <c r="DW58" s="27">
        <f t="shared" si="45"/>
        <v>0</v>
      </c>
      <c r="DX58" s="27">
        <f t="shared" si="84"/>
        <v>0</v>
      </c>
      <c r="DY58" s="27">
        <f t="shared" si="85"/>
        <v>0</v>
      </c>
      <c r="DZ58" s="27">
        <f t="shared" si="86"/>
        <v>0</v>
      </c>
      <c r="EA58" s="27">
        <f t="shared" si="87"/>
        <v>0</v>
      </c>
      <c r="EB58" s="27">
        <f t="shared" si="46"/>
        <v>0</v>
      </c>
      <c r="EC58" s="27">
        <f t="shared" si="47"/>
        <v>0</v>
      </c>
    </row>
    <row r="59" spans="1:133" x14ac:dyDescent="0.35">
      <c r="A59" s="405"/>
      <c r="C59" s="31">
        <v>55</v>
      </c>
      <c r="D59" s="32">
        <v>38504.97</v>
      </c>
      <c r="E59" s="32">
        <v>44881.95</v>
      </c>
      <c r="F59" s="72"/>
      <c r="G59" s="31">
        <v>55</v>
      </c>
      <c r="H59" s="32">
        <v>68758.880000000005</v>
      </c>
      <c r="I59" s="32">
        <v>80146.34</v>
      </c>
      <c r="AH59" s="406"/>
      <c r="AN59" s="40">
        <v>55</v>
      </c>
      <c r="AO59" s="46">
        <v>1.8750244230586313E-2</v>
      </c>
      <c r="AQ59" s="40" t="s">
        <v>242</v>
      </c>
      <c r="AR59" s="40">
        <v>3</v>
      </c>
      <c r="AS59" s="49">
        <f t="shared" si="88"/>
        <v>0.111</v>
      </c>
      <c r="AU59" s="370">
        <v>6</v>
      </c>
      <c r="AV59" s="371">
        <f>AV48</f>
        <v>4.2000000000000003E-2</v>
      </c>
      <c r="AY59" s="40" t="s">
        <v>242</v>
      </c>
      <c r="AZ59" s="40">
        <v>3</v>
      </c>
      <c r="BA59" s="41">
        <v>0.76854999999999996</v>
      </c>
      <c r="BJ59" s="406"/>
      <c r="BQ59">
        <v>53</v>
      </c>
      <c r="BR59" s="26" t="e">
        <f t="shared" si="37"/>
        <v>#N/A</v>
      </c>
      <c r="BS59" s="26" t="e">
        <f t="shared" si="38"/>
        <v>#N/A</v>
      </c>
      <c r="BT59" s="26"/>
      <c r="BU59" s="29">
        <v>53</v>
      </c>
      <c r="BV59" s="26" t="e">
        <f t="shared" si="52"/>
        <v>#N/A</v>
      </c>
      <c r="BW59" s="26" t="e">
        <f t="shared" si="53"/>
        <v>#N/A</v>
      </c>
      <c r="BY59" s="29">
        <v>53</v>
      </c>
      <c r="BZ59" s="26" t="e">
        <f t="shared" si="39"/>
        <v>#N/A</v>
      </c>
      <c r="CA59" s="26" t="e">
        <f t="shared" si="40"/>
        <v>#N/A</v>
      </c>
      <c r="CC59" s="29">
        <v>53</v>
      </c>
      <c r="CD59" s="26" t="e">
        <f t="shared" si="41"/>
        <v>#N/A</v>
      </c>
      <c r="CE59" s="26" t="e">
        <f t="shared" si="42"/>
        <v>#N/A</v>
      </c>
      <c r="CG59">
        <v>53</v>
      </c>
      <c r="CH59" s="24" t="e">
        <f t="shared" si="54"/>
        <v>#N/A</v>
      </c>
      <c r="CI59" s="24" t="e">
        <f t="shared" si="55"/>
        <v>#N/A</v>
      </c>
      <c r="CJ59" s="27">
        <f t="shared" si="56"/>
        <v>0</v>
      </c>
      <c r="CK59" s="27">
        <f t="shared" si="57"/>
        <v>0</v>
      </c>
      <c r="CL59" s="26">
        <f t="shared" si="58"/>
        <v>0</v>
      </c>
      <c r="CM59" s="26">
        <f t="shared" si="59"/>
        <v>0</v>
      </c>
      <c r="CN59" s="27">
        <f t="shared" si="60"/>
        <v>0</v>
      </c>
      <c r="CO59" s="27">
        <f t="shared" si="61"/>
        <v>0</v>
      </c>
      <c r="CP59" s="27">
        <f t="shared" si="62"/>
        <v>0</v>
      </c>
      <c r="CQ59" s="27">
        <f t="shared" si="63"/>
        <v>0</v>
      </c>
      <c r="CR59" s="24">
        <f t="shared" si="64"/>
        <v>0</v>
      </c>
      <c r="CS59" s="24">
        <f t="shared" si="65"/>
        <v>0</v>
      </c>
      <c r="CT59">
        <v>0</v>
      </c>
      <c r="CU59" s="24">
        <f t="shared" si="90"/>
        <v>0</v>
      </c>
      <c r="CV59" s="27">
        <f t="shared" si="66"/>
        <v>0</v>
      </c>
      <c r="CW59" s="27">
        <f t="shared" si="67"/>
        <v>0</v>
      </c>
      <c r="CX59" s="27">
        <f t="shared" si="68"/>
        <v>0</v>
      </c>
      <c r="CY59" s="27">
        <f t="shared" si="69"/>
        <v>0</v>
      </c>
      <c r="CZ59" s="24">
        <f t="shared" si="70"/>
        <v>0</v>
      </c>
      <c r="DA59" s="24">
        <f t="shared" si="71"/>
        <v>0</v>
      </c>
      <c r="DB59" s="27">
        <f t="shared" si="72"/>
        <v>0</v>
      </c>
      <c r="DC59" s="27">
        <f t="shared" si="73"/>
        <v>0</v>
      </c>
      <c r="DD59" s="27">
        <f t="shared" si="74"/>
        <v>0</v>
      </c>
      <c r="DE59" s="27">
        <f t="shared" si="75"/>
        <v>0</v>
      </c>
      <c r="DF59" s="24">
        <f t="shared" si="76"/>
        <v>0</v>
      </c>
      <c r="DG59" s="24">
        <f t="shared" si="77"/>
        <v>0</v>
      </c>
      <c r="DH59" s="24">
        <f t="shared" si="78"/>
        <v>0</v>
      </c>
      <c r="DI59" s="24">
        <f t="shared" si="79"/>
        <v>0</v>
      </c>
      <c r="DJ59" s="26">
        <f t="shared" si="91"/>
        <v>0</v>
      </c>
      <c r="DK59" s="26">
        <f t="shared" si="92"/>
        <v>0</v>
      </c>
      <c r="DP59" s="27"/>
      <c r="DQ59" s="27"/>
      <c r="DR59" s="27">
        <f t="shared" si="80"/>
        <v>0</v>
      </c>
      <c r="DS59" s="27">
        <f t="shared" si="81"/>
        <v>0</v>
      </c>
      <c r="DT59" s="27">
        <f t="shared" si="82"/>
        <v>0</v>
      </c>
      <c r="DU59" s="27">
        <f t="shared" si="83"/>
        <v>0</v>
      </c>
      <c r="DV59" s="27">
        <f t="shared" si="44"/>
        <v>0</v>
      </c>
      <c r="DW59" s="27">
        <f t="shared" si="45"/>
        <v>0</v>
      </c>
      <c r="DX59" s="27">
        <f t="shared" si="84"/>
        <v>0</v>
      </c>
      <c r="DY59" s="27">
        <f t="shared" si="85"/>
        <v>0</v>
      </c>
      <c r="DZ59" s="27">
        <f t="shared" si="86"/>
        <v>0</v>
      </c>
      <c r="EA59" s="27">
        <f t="shared" si="87"/>
        <v>0</v>
      </c>
      <c r="EB59" s="27">
        <f t="shared" si="46"/>
        <v>0</v>
      </c>
      <c r="EC59" s="27">
        <f t="shared" si="47"/>
        <v>0</v>
      </c>
    </row>
    <row r="60" spans="1:133" x14ac:dyDescent="0.35">
      <c r="A60" s="405"/>
      <c r="C60" s="31">
        <v>56</v>
      </c>
      <c r="D60" s="32">
        <v>41461.94</v>
      </c>
      <c r="E60" s="32">
        <v>47882.65</v>
      </c>
      <c r="F60" s="72"/>
      <c r="G60" s="31">
        <v>56</v>
      </c>
      <c r="H60" s="32">
        <v>74039.179999999993</v>
      </c>
      <c r="I60" s="32">
        <v>85504.73</v>
      </c>
      <c r="AH60" s="406"/>
      <c r="AN60" s="40">
        <v>56</v>
      </c>
      <c r="AO60" s="46">
        <v>1.8750244230586313E-2</v>
      </c>
      <c r="AQ60" s="40" t="s">
        <v>27</v>
      </c>
      <c r="AR60" s="323">
        <v>1</v>
      </c>
      <c r="AS60" s="49">
        <f t="shared" si="88"/>
        <v>0.23599999999999999</v>
      </c>
      <c r="AY60" s="40" t="s">
        <v>27</v>
      </c>
      <c r="AZ60" s="40">
        <v>3</v>
      </c>
      <c r="BA60" s="41">
        <v>0.76854999999999996</v>
      </c>
      <c r="BJ60" s="406"/>
      <c r="BQ60">
        <v>54</v>
      </c>
      <c r="BR60" s="26" t="e">
        <f t="shared" si="37"/>
        <v>#N/A</v>
      </c>
      <c r="BS60" s="26" t="e">
        <f t="shared" si="38"/>
        <v>#N/A</v>
      </c>
      <c r="BT60" s="26"/>
      <c r="BU60" s="29">
        <v>54</v>
      </c>
      <c r="BV60" s="26" t="e">
        <f t="shared" si="52"/>
        <v>#N/A</v>
      </c>
      <c r="BW60" s="26" t="e">
        <f t="shared" si="53"/>
        <v>#N/A</v>
      </c>
      <c r="BY60" s="29">
        <v>54</v>
      </c>
      <c r="BZ60" s="26" t="e">
        <f t="shared" si="39"/>
        <v>#N/A</v>
      </c>
      <c r="CA60" s="26" t="e">
        <f t="shared" si="40"/>
        <v>#N/A</v>
      </c>
      <c r="CC60" s="29">
        <v>54</v>
      </c>
      <c r="CD60" s="26" t="e">
        <f t="shared" si="41"/>
        <v>#N/A</v>
      </c>
      <c r="CE60" s="26" t="e">
        <f t="shared" si="42"/>
        <v>#N/A</v>
      </c>
      <c r="CG60">
        <v>54</v>
      </c>
      <c r="CH60" s="24" t="e">
        <f t="shared" si="54"/>
        <v>#N/A</v>
      </c>
      <c r="CI60" s="24" t="e">
        <f t="shared" si="55"/>
        <v>#N/A</v>
      </c>
      <c r="CJ60" s="27">
        <f t="shared" si="56"/>
        <v>0</v>
      </c>
      <c r="CK60" s="27">
        <f t="shared" si="57"/>
        <v>0</v>
      </c>
      <c r="CL60" s="26">
        <f t="shared" si="58"/>
        <v>0</v>
      </c>
      <c r="CM60" s="26">
        <f t="shared" si="59"/>
        <v>0</v>
      </c>
      <c r="CN60" s="27">
        <f t="shared" si="60"/>
        <v>0</v>
      </c>
      <c r="CO60" s="27">
        <f t="shared" si="61"/>
        <v>0</v>
      </c>
      <c r="CP60" s="27">
        <f t="shared" si="62"/>
        <v>0</v>
      </c>
      <c r="CQ60" s="27">
        <f t="shared" si="63"/>
        <v>0</v>
      </c>
      <c r="CR60" s="24">
        <f t="shared" si="64"/>
        <v>0</v>
      </c>
      <c r="CS60" s="24">
        <f t="shared" si="65"/>
        <v>0</v>
      </c>
      <c r="CT60">
        <v>0</v>
      </c>
      <c r="CU60" s="24">
        <f t="shared" si="90"/>
        <v>0</v>
      </c>
      <c r="CV60" s="27">
        <f t="shared" si="66"/>
        <v>0</v>
      </c>
      <c r="CW60" s="27">
        <f t="shared" si="67"/>
        <v>0</v>
      </c>
      <c r="CX60" s="27">
        <f t="shared" si="68"/>
        <v>0</v>
      </c>
      <c r="CY60" s="27">
        <f t="shared" si="69"/>
        <v>0</v>
      </c>
      <c r="CZ60" s="24">
        <f t="shared" si="70"/>
        <v>0</v>
      </c>
      <c r="DA60" s="24">
        <f t="shared" si="71"/>
        <v>0</v>
      </c>
      <c r="DB60" s="27">
        <f t="shared" si="72"/>
        <v>0</v>
      </c>
      <c r="DC60" s="27">
        <f t="shared" si="73"/>
        <v>0</v>
      </c>
      <c r="DD60" s="27">
        <f t="shared" si="74"/>
        <v>0</v>
      </c>
      <c r="DE60" s="27">
        <f t="shared" si="75"/>
        <v>0</v>
      </c>
      <c r="DF60" s="24">
        <f t="shared" si="76"/>
        <v>0</v>
      </c>
      <c r="DG60" s="24">
        <f t="shared" si="77"/>
        <v>0</v>
      </c>
      <c r="DH60" s="24">
        <f t="shared" si="78"/>
        <v>0</v>
      </c>
      <c r="DI60" s="24">
        <f t="shared" si="79"/>
        <v>0</v>
      </c>
      <c r="DJ60" s="26">
        <f t="shared" si="91"/>
        <v>0</v>
      </c>
      <c r="DK60" s="26">
        <f t="shared" si="92"/>
        <v>0</v>
      </c>
      <c r="DP60" s="27"/>
      <c r="DQ60" s="27"/>
      <c r="DR60" s="27">
        <f t="shared" si="80"/>
        <v>0</v>
      </c>
      <c r="DS60" s="27">
        <f t="shared" si="81"/>
        <v>0</v>
      </c>
      <c r="DT60" s="27">
        <f t="shared" si="82"/>
        <v>0</v>
      </c>
      <c r="DU60" s="27">
        <f t="shared" si="83"/>
        <v>0</v>
      </c>
      <c r="DV60" s="27">
        <f t="shared" si="44"/>
        <v>0</v>
      </c>
      <c r="DW60" s="27">
        <f t="shared" si="45"/>
        <v>0</v>
      </c>
      <c r="DX60" s="27">
        <f t="shared" si="84"/>
        <v>0</v>
      </c>
      <c r="DY60" s="27">
        <f t="shared" si="85"/>
        <v>0</v>
      </c>
      <c r="DZ60" s="27">
        <f t="shared" si="86"/>
        <v>0</v>
      </c>
      <c r="EA60" s="27">
        <f t="shared" si="87"/>
        <v>0</v>
      </c>
      <c r="EB60" s="27">
        <f t="shared" si="46"/>
        <v>0</v>
      </c>
      <c r="EC60" s="27">
        <f t="shared" si="47"/>
        <v>0</v>
      </c>
    </row>
    <row r="61" spans="1:133" x14ac:dyDescent="0.35">
      <c r="A61" s="405"/>
      <c r="C61" s="31">
        <v>57</v>
      </c>
      <c r="D61" s="32">
        <v>44664.58</v>
      </c>
      <c r="E61" s="32">
        <v>51089.15</v>
      </c>
      <c r="F61" s="72"/>
      <c r="G61" s="31">
        <v>57</v>
      </c>
      <c r="H61" s="32">
        <v>79758.179999999993</v>
      </c>
      <c r="I61" s="32">
        <v>91230.63</v>
      </c>
      <c r="AH61" s="406"/>
      <c r="AN61" s="40">
        <v>57</v>
      </c>
      <c r="AO61" s="46">
        <v>1.8750244230586313E-2</v>
      </c>
      <c r="AQ61" s="40" t="s">
        <v>28</v>
      </c>
      <c r="AR61" s="40">
        <v>7</v>
      </c>
      <c r="AS61" s="49">
        <f t="shared" si="88"/>
        <v>4.2000000000000003E-2</v>
      </c>
      <c r="AY61" s="40" t="s">
        <v>28</v>
      </c>
      <c r="AZ61" s="40">
        <v>7</v>
      </c>
      <c r="BA61" s="41">
        <v>1.14819</v>
      </c>
      <c r="BJ61" s="406"/>
      <c r="BQ61">
        <v>55</v>
      </c>
      <c r="BR61" s="26" t="e">
        <f t="shared" si="37"/>
        <v>#N/A</v>
      </c>
      <c r="BS61" s="26" t="e">
        <f t="shared" si="38"/>
        <v>#N/A</v>
      </c>
      <c r="BT61" s="26"/>
      <c r="BU61" s="29">
        <v>55</v>
      </c>
      <c r="BV61" s="26" t="e">
        <f t="shared" si="52"/>
        <v>#N/A</v>
      </c>
      <c r="BW61" s="26" t="e">
        <f t="shared" si="53"/>
        <v>#N/A</v>
      </c>
      <c r="BY61" s="29">
        <v>55</v>
      </c>
      <c r="BZ61" s="26" t="e">
        <f t="shared" si="39"/>
        <v>#N/A</v>
      </c>
      <c r="CA61" s="26" t="e">
        <f t="shared" si="40"/>
        <v>#N/A</v>
      </c>
      <c r="CC61" s="29">
        <v>55</v>
      </c>
      <c r="CD61" s="26" t="e">
        <f t="shared" si="41"/>
        <v>#N/A</v>
      </c>
      <c r="CE61" s="26" t="e">
        <f t="shared" si="42"/>
        <v>#N/A</v>
      </c>
      <c r="CG61">
        <v>55</v>
      </c>
      <c r="CH61" s="24" t="e">
        <f t="shared" si="54"/>
        <v>#N/A</v>
      </c>
      <c r="CI61" s="24" t="e">
        <f t="shared" si="55"/>
        <v>#N/A</v>
      </c>
      <c r="CJ61" s="27">
        <f t="shared" si="56"/>
        <v>0</v>
      </c>
      <c r="CK61" s="27">
        <f t="shared" si="57"/>
        <v>0</v>
      </c>
      <c r="CL61" s="26">
        <f t="shared" si="58"/>
        <v>0</v>
      </c>
      <c r="CM61" s="26">
        <f t="shared" si="59"/>
        <v>0</v>
      </c>
      <c r="CN61" s="27">
        <f t="shared" si="60"/>
        <v>0</v>
      </c>
      <c r="CO61" s="27">
        <f t="shared" si="61"/>
        <v>0</v>
      </c>
      <c r="CP61" s="27">
        <f t="shared" si="62"/>
        <v>0</v>
      </c>
      <c r="CQ61" s="27">
        <f t="shared" si="63"/>
        <v>0</v>
      </c>
      <c r="CR61" s="24">
        <f t="shared" si="64"/>
        <v>0</v>
      </c>
      <c r="CS61" s="24">
        <f t="shared" si="65"/>
        <v>0</v>
      </c>
      <c r="CT61">
        <v>0</v>
      </c>
      <c r="CU61" s="24">
        <f t="shared" si="90"/>
        <v>0</v>
      </c>
      <c r="CV61" s="27">
        <f t="shared" si="66"/>
        <v>0</v>
      </c>
      <c r="CW61" s="27">
        <f t="shared" si="67"/>
        <v>0</v>
      </c>
      <c r="CX61" s="27">
        <f t="shared" si="68"/>
        <v>0</v>
      </c>
      <c r="CY61" s="27">
        <f t="shared" si="69"/>
        <v>0</v>
      </c>
      <c r="CZ61" s="24">
        <f t="shared" si="70"/>
        <v>0</v>
      </c>
      <c r="DA61" s="24">
        <f t="shared" si="71"/>
        <v>0</v>
      </c>
      <c r="DB61" s="27">
        <f t="shared" si="72"/>
        <v>0</v>
      </c>
      <c r="DC61" s="27">
        <f t="shared" si="73"/>
        <v>0</v>
      </c>
      <c r="DD61" s="27">
        <f t="shared" si="74"/>
        <v>0</v>
      </c>
      <c r="DE61" s="27">
        <f t="shared" si="75"/>
        <v>0</v>
      </c>
      <c r="DF61" s="24">
        <f t="shared" si="76"/>
        <v>0</v>
      </c>
      <c r="DG61" s="24">
        <f t="shared" si="77"/>
        <v>0</v>
      </c>
      <c r="DH61" s="24">
        <f t="shared" si="78"/>
        <v>0</v>
      </c>
      <c r="DI61" s="24">
        <f t="shared" si="79"/>
        <v>0</v>
      </c>
      <c r="DJ61" s="26">
        <f t="shared" si="91"/>
        <v>0</v>
      </c>
      <c r="DK61" s="26">
        <f t="shared" si="92"/>
        <v>0</v>
      </c>
      <c r="DP61" s="27"/>
      <c r="DQ61" s="27"/>
      <c r="DR61" s="27">
        <f t="shared" si="80"/>
        <v>0</v>
      </c>
      <c r="DS61" s="27">
        <f t="shared" si="81"/>
        <v>0</v>
      </c>
      <c r="DT61" s="27">
        <f t="shared" si="82"/>
        <v>0</v>
      </c>
      <c r="DU61" s="27">
        <f t="shared" si="83"/>
        <v>0</v>
      </c>
      <c r="DV61" s="27">
        <f t="shared" si="44"/>
        <v>0</v>
      </c>
      <c r="DW61" s="27">
        <f t="shared" si="45"/>
        <v>0</v>
      </c>
      <c r="DX61" s="27">
        <f t="shared" si="84"/>
        <v>0</v>
      </c>
      <c r="DY61" s="27">
        <f t="shared" si="85"/>
        <v>0</v>
      </c>
      <c r="DZ61" s="27">
        <f t="shared" si="86"/>
        <v>0</v>
      </c>
      <c r="EA61" s="27">
        <f t="shared" si="87"/>
        <v>0</v>
      </c>
      <c r="EB61" s="27">
        <f t="shared" si="46"/>
        <v>0</v>
      </c>
      <c r="EC61" s="27">
        <f t="shared" si="47"/>
        <v>0</v>
      </c>
    </row>
    <row r="62" spans="1:133" x14ac:dyDescent="0.35">
      <c r="A62" s="405"/>
      <c r="C62" s="31">
        <v>58</v>
      </c>
      <c r="D62" s="32">
        <v>48128.32</v>
      </c>
      <c r="E62" s="32">
        <v>54506.58</v>
      </c>
      <c r="F62" s="72"/>
      <c r="G62" s="31">
        <v>58</v>
      </c>
      <c r="H62" s="32">
        <v>85943.43</v>
      </c>
      <c r="I62" s="32">
        <v>97333.18</v>
      </c>
      <c r="AH62" s="406"/>
      <c r="AN62" s="40">
        <v>58</v>
      </c>
      <c r="AO62" s="46">
        <v>1.8750244230586313E-2</v>
      </c>
      <c r="AQ62" s="40" t="s">
        <v>29</v>
      </c>
      <c r="AR62" s="40">
        <v>2</v>
      </c>
      <c r="AS62" s="49">
        <f t="shared" si="88"/>
        <v>0.17299999999999999</v>
      </c>
      <c r="AY62" s="40" t="s">
        <v>29</v>
      </c>
      <c r="AZ62" s="40">
        <v>2</v>
      </c>
      <c r="BA62" s="41">
        <v>0.91635</v>
      </c>
      <c r="BJ62" s="406"/>
      <c r="BQ62">
        <v>56</v>
      </c>
      <c r="BR62" s="26" t="e">
        <f t="shared" si="37"/>
        <v>#N/A</v>
      </c>
      <c r="BS62" s="26" t="e">
        <f t="shared" si="38"/>
        <v>#N/A</v>
      </c>
      <c r="BT62" s="26"/>
      <c r="BU62" s="29">
        <v>56</v>
      </c>
      <c r="BV62" s="26" t="e">
        <f t="shared" si="52"/>
        <v>#N/A</v>
      </c>
      <c r="BW62" s="26" t="e">
        <f t="shared" si="53"/>
        <v>#N/A</v>
      </c>
      <c r="BY62" s="29">
        <v>56</v>
      </c>
      <c r="BZ62" s="26" t="e">
        <f t="shared" si="39"/>
        <v>#N/A</v>
      </c>
      <c r="CA62" s="26" t="e">
        <f t="shared" si="40"/>
        <v>#N/A</v>
      </c>
      <c r="CC62" s="29">
        <v>56</v>
      </c>
      <c r="CD62" s="26" t="e">
        <f t="shared" si="41"/>
        <v>#N/A</v>
      </c>
      <c r="CE62" s="26" t="e">
        <f t="shared" si="42"/>
        <v>#N/A</v>
      </c>
      <c r="CG62">
        <v>56</v>
      </c>
      <c r="CH62" s="24" t="e">
        <f t="shared" si="54"/>
        <v>#N/A</v>
      </c>
      <c r="CI62" s="24" t="e">
        <f t="shared" si="55"/>
        <v>#N/A</v>
      </c>
      <c r="CJ62" s="27">
        <f t="shared" si="56"/>
        <v>0</v>
      </c>
      <c r="CK62" s="27">
        <f t="shared" si="57"/>
        <v>0</v>
      </c>
      <c r="CL62" s="26">
        <f t="shared" si="58"/>
        <v>0</v>
      </c>
      <c r="CM62" s="26">
        <f t="shared" si="59"/>
        <v>0</v>
      </c>
      <c r="CN62" s="27">
        <f t="shared" si="60"/>
        <v>0</v>
      </c>
      <c r="CO62" s="27">
        <f t="shared" si="61"/>
        <v>0</v>
      </c>
      <c r="CP62" s="27">
        <f t="shared" si="62"/>
        <v>0</v>
      </c>
      <c r="CQ62" s="27">
        <f t="shared" si="63"/>
        <v>0</v>
      </c>
      <c r="CR62" s="24">
        <f t="shared" si="64"/>
        <v>0</v>
      </c>
      <c r="CS62" s="24">
        <f t="shared" si="65"/>
        <v>0</v>
      </c>
      <c r="CT62">
        <v>0</v>
      </c>
      <c r="CU62" s="24">
        <f t="shared" si="90"/>
        <v>0</v>
      </c>
      <c r="CV62" s="27">
        <f t="shared" si="66"/>
        <v>0</v>
      </c>
      <c r="CW62" s="27">
        <f t="shared" si="67"/>
        <v>0</v>
      </c>
      <c r="CX62" s="27">
        <f t="shared" si="68"/>
        <v>0</v>
      </c>
      <c r="CY62" s="27">
        <f t="shared" si="69"/>
        <v>0</v>
      </c>
      <c r="CZ62" s="24">
        <f t="shared" si="70"/>
        <v>0</v>
      </c>
      <c r="DA62" s="24">
        <f t="shared" si="71"/>
        <v>0</v>
      </c>
      <c r="DB62" s="27">
        <f t="shared" si="72"/>
        <v>0</v>
      </c>
      <c r="DC62" s="27">
        <f t="shared" si="73"/>
        <v>0</v>
      </c>
      <c r="DD62" s="27">
        <f t="shared" si="74"/>
        <v>0</v>
      </c>
      <c r="DE62" s="27">
        <f t="shared" si="75"/>
        <v>0</v>
      </c>
      <c r="DF62" s="24">
        <f t="shared" si="76"/>
        <v>0</v>
      </c>
      <c r="DG62" s="24">
        <f t="shared" si="77"/>
        <v>0</v>
      </c>
      <c r="DH62" s="24">
        <f t="shared" si="78"/>
        <v>0</v>
      </c>
      <c r="DI62" s="24">
        <f t="shared" si="79"/>
        <v>0</v>
      </c>
      <c r="DJ62" s="26">
        <f t="shared" si="91"/>
        <v>0</v>
      </c>
      <c r="DK62" s="26">
        <f t="shared" si="92"/>
        <v>0</v>
      </c>
      <c r="DP62" s="27"/>
      <c r="DQ62" s="27"/>
      <c r="DR62" s="27">
        <f t="shared" si="80"/>
        <v>0</v>
      </c>
      <c r="DS62" s="27">
        <f t="shared" si="81"/>
        <v>0</v>
      </c>
      <c r="DT62" s="27">
        <f t="shared" si="82"/>
        <v>0</v>
      </c>
      <c r="DU62" s="27">
        <f t="shared" si="83"/>
        <v>0</v>
      </c>
      <c r="DV62" s="27">
        <f t="shared" si="44"/>
        <v>0</v>
      </c>
      <c r="DW62" s="27">
        <f t="shared" si="45"/>
        <v>0</v>
      </c>
      <c r="DX62" s="27">
        <f t="shared" si="84"/>
        <v>0</v>
      </c>
      <c r="DY62" s="27">
        <f t="shared" si="85"/>
        <v>0</v>
      </c>
      <c r="DZ62" s="27">
        <f t="shared" si="86"/>
        <v>0</v>
      </c>
      <c r="EA62" s="27">
        <f t="shared" si="87"/>
        <v>0</v>
      </c>
      <c r="EB62" s="27">
        <f t="shared" si="46"/>
        <v>0</v>
      </c>
      <c r="EC62" s="27">
        <f t="shared" si="47"/>
        <v>0</v>
      </c>
    </row>
    <row r="63" spans="1:133" x14ac:dyDescent="0.35">
      <c r="A63" s="405"/>
      <c r="C63" s="31">
        <v>59</v>
      </c>
      <c r="D63" s="32">
        <v>51868.59</v>
      </c>
      <c r="E63" s="32">
        <v>58149.1</v>
      </c>
      <c r="F63" s="72"/>
      <c r="G63" s="31">
        <v>59</v>
      </c>
      <c r="H63" s="32">
        <v>92622.48</v>
      </c>
      <c r="I63" s="32">
        <v>103837.68</v>
      </c>
      <c r="AH63" s="406"/>
      <c r="AN63" s="40">
        <v>59</v>
      </c>
      <c r="AO63" s="46">
        <v>1.8750244230586313E-2</v>
      </c>
      <c r="AQ63" s="40" t="s">
        <v>30</v>
      </c>
      <c r="AR63" s="368">
        <v>3</v>
      </c>
      <c r="AS63" s="49">
        <f t="shared" si="88"/>
        <v>0.111</v>
      </c>
      <c r="AY63" s="40" t="s">
        <v>30</v>
      </c>
      <c r="AZ63" s="40">
        <v>3</v>
      </c>
      <c r="BA63" s="41">
        <v>0.76854999999999996</v>
      </c>
      <c r="BJ63" s="406"/>
      <c r="BQ63">
        <v>57</v>
      </c>
      <c r="BR63" s="26" t="e">
        <f t="shared" si="37"/>
        <v>#N/A</v>
      </c>
      <c r="BS63" s="26" t="e">
        <f t="shared" si="38"/>
        <v>#N/A</v>
      </c>
      <c r="BT63" s="26"/>
      <c r="BU63" s="29">
        <v>57</v>
      </c>
      <c r="BV63" s="26" t="e">
        <f t="shared" si="52"/>
        <v>#N/A</v>
      </c>
      <c r="BW63" s="26" t="e">
        <f t="shared" si="53"/>
        <v>#N/A</v>
      </c>
      <c r="BY63" s="29">
        <v>57</v>
      </c>
      <c r="BZ63" s="26" t="e">
        <f t="shared" si="39"/>
        <v>#N/A</v>
      </c>
      <c r="CA63" s="26" t="e">
        <f t="shared" si="40"/>
        <v>#N/A</v>
      </c>
      <c r="CC63" s="29">
        <v>57</v>
      </c>
      <c r="CD63" s="26" t="e">
        <f t="shared" si="41"/>
        <v>#N/A</v>
      </c>
      <c r="CE63" s="26" t="e">
        <f t="shared" si="42"/>
        <v>#N/A</v>
      </c>
      <c r="CG63">
        <v>57</v>
      </c>
      <c r="CH63" s="24" t="e">
        <f t="shared" si="54"/>
        <v>#N/A</v>
      </c>
      <c r="CI63" s="24" t="e">
        <f t="shared" si="55"/>
        <v>#N/A</v>
      </c>
      <c r="CJ63" s="27">
        <f t="shared" si="56"/>
        <v>0</v>
      </c>
      <c r="CK63" s="27">
        <f t="shared" si="57"/>
        <v>0</v>
      </c>
      <c r="CL63" s="26">
        <f t="shared" si="58"/>
        <v>0</v>
      </c>
      <c r="CM63" s="26">
        <f t="shared" si="59"/>
        <v>0</v>
      </c>
      <c r="CN63" s="27">
        <f t="shared" si="60"/>
        <v>0</v>
      </c>
      <c r="CO63" s="27">
        <f t="shared" si="61"/>
        <v>0</v>
      </c>
      <c r="CP63" s="27">
        <f t="shared" si="62"/>
        <v>0</v>
      </c>
      <c r="CQ63" s="27">
        <f t="shared" si="63"/>
        <v>0</v>
      </c>
      <c r="CR63" s="24">
        <f t="shared" si="64"/>
        <v>0</v>
      </c>
      <c r="CS63" s="24">
        <f t="shared" si="65"/>
        <v>0</v>
      </c>
      <c r="CT63">
        <v>0</v>
      </c>
      <c r="CU63" s="24">
        <f t="shared" si="90"/>
        <v>0</v>
      </c>
      <c r="CV63" s="27">
        <f t="shared" si="66"/>
        <v>0</v>
      </c>
      <c r="CW63" s="27">
        <f t="shared" si="67"/>
        <v>0</v>
      </c>
      <c r="CX63" s="27">
        <f t="shared" si="68"/>
        <v>0</v>
      </c>
      <c r="CY63" s="27">
        <f t="shared" si="69"/>
        <v>0</v>
      </c>
      <c r="CZ63" s="24">
        <f t="shared" si="70"/>
        <v>0</v>
      </c>
      <c r="DA63" s="24">
        <f t="shared" si="71"/>
        <v>0</v>
      </c>
      <c r="DB63" s="27">
        <f t="shared" si="72"/>
        <v>0</v>
      </c>
      <c r="DC63" s="27">
        <f t="shared" si="73"/>
        <v>0</v>
      </c>
      <c r="DD63" s="27">
        <f t="shared" si="74"/>
        <v>0</v>
      </c>
      <c r="DE63" s="27">
        <f t="shared" si="75"/>
        <v>0</v>
      </c>
      <c r="DF63" s="24">
        <f t="shared" si="76"/>
        <v>0</v>
      </c>
      <c r="DG63" s="24">
        <f t="shared" si="77"/>
        <v>0</v>
      </c>
      <c r="DH63" s="24">
        <f t="shared" si="78"/>
        <v>0</v>
      </c>
      <c r="DI63" s="24">
        <f t="shared" si="79"/>
        <v>0</v>
      </c>
      <c r="DJ63" s="26">
        <f t="shared" si="91"/>
        <v>0</v>
      </c>
      <c r="DK63" s="26">
        <f t="shared" si="92"/>
        <v>0</v>
      </c>
      <c r="DP63" s="27"/>
      <c r="DQ63" s="27"/>
      <c r="DR63" s="27">
        <f t="shared" si="80"/>
        <v>0</v>
      </c>
      <c r="DS63" s="27">
        <f t="shared" si="81"/>
        <v>0</v>
      </c>
      <c r="DT63" s="27">
        <f t="shared" si="82"/>
        <v>0</v>
      </c>
      <c r="DU63" s="27">
        <f t="shared" si="83"/>
        <v>0</v>
      </c>
      <c r="DV63" s="27">
        <f t="shared" si="44"/>
        <v>0</v>
      </c>
      <c r="DW63" s="27">
        <f t="shared" si="45"/>
        <v>0</v>
      </c>
      <c r="DX63" s="27">
        <f t="shared" si="84"/>
        <v>0</v>
      </c>
      <c r="DY63" s="27">
        <f t="shared" si="85"/>
        <v>0</v>
      </c>
      <c r="DZ63" s="27">
        <f t="shared" si="86"/>
        <v>0</v>
      </c>
      <c r="EA63" s="27">
        <f t="shared" si="87"/>
        <v>0</v>
      </c>
      <c r="EB63" s="27">
        <f t="shared" si="46"/>
        <v>0</v>
      </c>
      <c r="EC63" s="27">
        <f t="shared" si="47"/>
        <v>0</v>
      </c>
    </row>
    <row r="64" spans="1:133" x14ac:dyDescent="0.35">
      <c r="A64" s="405"/>
      <c r="C64" s="31">
        <v>60</v>
      </c>
      <c r="D64" s="32">
        <v>55903.4</v>
      </c>
      <c r="E64" s="32">
        <v>62024.42</v>
      </c>
      <c r="F64" s="72"/>
      <c r="G64" s="31">
        <v>60</v>
      </c>
      <c r="H64" s="32">
        <v>99827.5</v>
      </c>
      <c r="I64" s="32">
        <v>110757.89</v>
      </c>
      <c r="AH64" s="406"/>
      <c r="AN64" s="40">
        <v>60</v>
      </c>
      <c r="AO64" s="46">
        <v>0</v>
      </c>
      <c r="AQ64" s="40" t="s">
        <v>31</v>
      </c>
      <c r="AR64" s="368">
        <v>5</v>
      </c>
      <c r="AS64" s="49">
        <f t="shared" si="88"/>
        <v>9.0999999999999998E-2</v>
      </c>
      <c r="AY64" s="40" t="s">
        <v>31</v>
      </c>
      <c r="AZ64" s="320">
        <v>5</v>
      </c>
      <c r="BA64" s="41">
        <v>0.68071000000000004</v>
      </c>
      <c r="BJ64" s="406"/>
      <c r="BQ64">
        <v>58</v>
      </c>
      <c r="BR64" s="26" t="e">
        <f t="shared" si="37"/>
        <v>#N/A</v>
      </c>
      <c r="BS64" s="26" t="e">
        <f t="shared" si="38"/>
        <v>#N/A</v>
      </c>
      <c r="BT64" s="26"/>
      <c r="BU64" s="29">
        <v>58</v>
      </c>
      <c r="BV64" s="26" t="e">
        <f t="shared" si="52"/>
        <v>#N/A</v>
      </c>
      <c r="BW64" s="26" t="e">
        <f t="shared" si="53"/>
        <v>#N/A</v>
      </c>
      <c r="BY64" s="29">
        <v>58</v>
      </c>
      <c r="BZ64" s="26" t="e">
        <f t="shared" si="39"/>
        <v>#N/A</v>
      </c>
      <c r="CA64" s="26" t="e">
        <f t="shared" si="40"/>
        <v>#N/A</v>
      </c>
      <c r="CC64" s="29">
        <v>58</v>
      </c>
      <c r="CD64" s="26" t="e">
        <f t="shared" si="41"/>
        <v>#N/A</v>
      </c>
      <c r="CE64" s="26" t="e">
        <f t="shared" si="42"/>
        <v>#N/A</v>
      </c>
      <c r="CG64">
        <v>58</v>
      </c>
      <c r="CH64" s="24" t="e">
        <f t="shared" si="54"/>
        <v>#N/A</v>
      </c>
      <c r="CI64" s="24" t="e">
        <f t="shared" si="55"/>
        <v>#N/A</v>
      </c>
      <c r="CJ64" s="27">
        <f t="shared" si="56"/>
        <v>0</v>
      </c>
      <c r="CK64" s="27">
        <f t="shared" si="57"/>
        <v>0</v>
      </c>
      <c r="CL64" s="26">
        <f t="shared" si="58"/>
        <v>0</v>
      </c>
      <c r="CM64" s="26">
        <f t="shared" si="59"/>
        <v>0</v>
      </c>
      <c r="CN64" s="27">
        <f t="shared" si="60"/>
        <v>0</v>
      </c>
      <c r="CO64" s="27">
        <f t="shared" si="61"/>
        <v>0</v>
      </c>
      <c r="CP64" s="27">
        <f t="shared" si="62"/>
        <v>0</v>
      </c>
      <c r="CQ64" s="27">
        <f t="shared" si="63"/>
        <v>0</v>
      </c>
      <c r="CR64" s="24">
        <f t="shared" si="64"/>
        <v>0</v>
      </c>
      <c r="CS64" s="24">
        <f t="shared" si="65"/>
        <v>0</v>
      </c>
      <c r="CT64">
        <v>0</v>
      </c>
      <c r="CU64" s="24">
        <f t="shared" si="90"/>
        <v>0</v>
      </c>
      <c r="CV64" s="27">
        <f t="shared" si="66"/>
        <v>0</v>
      </c>
      <c r="CW64" s="27">
        <f t="shared" si="67"/>
        <v>0</v>
      </c>
      <c r="CX64" s="27">
        <f t="shared" si="68"/>
        <v>0</v>
      </c>
      <c r="CY64" s="27">
        <f t="shared" si="69"/>
        <v>0</v>
      </c>
      <c r="CZ64" s="24">
        <f t="shared" si="70"/>
        <v>0</v>
      </c>
      <c r="DA64" s="24">
        <f t="shared" si="71"/>
        <v>0</v>
      </c>
      <c r="DB64" s="27">
        <f t="shared" si="72"/>
        <v>0</v>
      </c>
      <c r="DC64" s="27">
        <f t="shared" si="73"/>
        <v>0</v>
      </c>
      <c r="DD64" s="27">
        <f t="shared" si="74"/>
        <v>0</v>
      </c>
      <c r="DE64" s="27">
        <f t="shared" si="75"/>
        <v>0</v>
      </c>
      <c r="DF64" s="24">
        <f t="shared" si="76"/>
        <v>0</v>
      </c>
      <c r="DG64" s="24">
        <f t="shared" si="77"/>
        <v>0</v>
      </c>
      <c r="DH64" s="24">
        <f t="shared" si="78"/>
        <v>0</v>
      </c>
      <c r="DI64" s="24">
        <f t="shared" si="79"/>
        <v>0</v>
      </c>
      <c r="DJ64" s="26">
        <f t="shared" si="91"/>
        <v>0</v>
      </c>
      <c r="DK64" s="26">
        <f t="shared" si="92"/>
        <v>0</v>
      </c>
      <c r="DP64" s="27"/>
      <c r="DQ64" s="27"/>
      <c r="DR64" s="27">
        <f t="shared" si="80"/>
        <v>0</v>
      </c>
      <c r="DS64" s="27">
        <f t="shared" si="81"/>
        <v>0</v>
      </c>
      <c r="DT64" s="27">
        <f t="shared" si="82"/>
        <v>0</v>
      </c>
      <c r="DU64" s="27">
        <f t="shared" si="83"/>
        <v>0</v>
      </c>
      <c r="DV64" s="27">
        <f t="shared" si="44"/>
        <v>0</v>
      </c>
      <c r="DW64" s="27">
        <f t="shared" si="45"/>
        <v>0</v>
      </c>
      <c r="DX64" s="27">
        <f t="shared" si="84"/>
        <v>0</v>
      </c>
      <c r="DY64" s="27">
        <f t="shared" si="85"/>
        <v>0</v>
      </c>
      <c r="DZ64" s="27">
        <f t="shared" si="86"/>
        <v>0</v>
      </c>
      <c r="EA64" s="27">
        <f t="shared" si="87"/>
        <v>0</v>
      </c>
      <c r="EB64" s="27">
        <f t="shared" si="46"/>
        <v>0</v>
      </c>
      <c r="EC64" s="27">
        <f t="shared" si="47"/>
        <v>0</v>
      </c>
    </row>
    <row r="65" spans="1:133" x14ac:dyDescent="0.35">
      <c r="A65" s="405"/>
      <c r="C65" s="31">
        <v>61</v>
      </c>
      <c r="D65" s="32">
        <v>60250.75</v>
      </c>
      <c r="E65" s="32">
        <v>66144.12</v>
      </c>
      <c r="F65" s="72"/>
      <c r="G65" s="31">
        <v>61</v>
      </c>
      <c r="H65" s="32">
        <v>107590.63</v>
      </c>
      <c r="I65" s="32">
        <v>118114.5</v>
      </c>
      <c r="AH65" s="406"/>
      <c r="AN65" s="40">
        <v>61</v>
      </c>
      <c r="AO65" s="46">
        <v>0</v>
      </c>
      <c r="AQ65" s="40" t="s">
        <v>32</v>
      </c>
      <c r="AR65" s="40">
        <v>2</v>
      </c>
      <c r="AS65" s="49">
        <f t="shared" si="88"/>
        <v>0.17299999999999999</v>
      </c>
      <c r="AY65" s="40" t="s">
        <v>32</v>
      </c>
      <c r="AZ65" s="40">
        <v>2</v>
      </c>
      <c r="BA65" s="41">
        <v>1.8326899999999999</v>
      </c>
      <c r="BJ65" s="406"/>
      <c r="BQ65">
        <v>59</v>
      </c>
      <c r="BR65" s="26" t="e">
        <f t="shared" si="37"/>
        <v>#N/A</v>
      </c>
      <c r="BS65" s="26" t="e">
        <f t="shared" si="38"/>
        <v>#N/A</v>
      </c>
      <c r="BT65" s="26"/>
      <c r="BU65" s="29">
        <v>59</v>
      </c>
      <c r="BV65" s="26" t="e">
        <f t="shared" si="52"/>
        <v>#N/A</v>
      </c>
      <c r="BW65" s="26" t="e">
        <f t="shared" si="53"/>
        <v>#N/A</v>
      </c>
      <c r="BY65" s="29">
        <v>59</v>
      </c>
      <c r="BZ65" s="26" t="e">
        <f t="shared" si="39"/>
        <v>#N/A</v>
      </c>
      <c r="CA65" s="26" t="e">
        <f t="shared" si="40"/>
        <v>#N/A</v>
      </c>
      <c r="CC65" s="29">
        <v>59</v>
      </c>
      <c r="CD65" s="26" t="e">
        <f t="shared" si="41"/>
        <v>#N/A</v>
      </c>
      <c r="CE65" s="26" t="e">
        <f t="shared" si="42"/>
        <v>#N/A</v>
      </c>
      <c r="CG65">
        <v>59</v>
      </c>
      <c r="CH65" s="24" t="e">
        <f t="shared" si="54"/>
        <v>#N/A</v>
      </c>
      <c r="CI65" s="24" t="e">
        <f t="shared" si="55"/>
        <v>#N/A</v>
      </c>
      <c r="CJ65" s="27">
        <f t="shared" si="56"/>
        <v>0</v>
      </c>
      <c r="CK65" s="27">
        <f t="shared" si="57"/>
        <v>0</v>
      </c>
      <c r="CL65" s="26">
        <f t="shared" si="58"/>
        <v>0</v>
      </c>
      <c r="CM65" s="26">
        <f t="shared" si="59"/>
        <v>0</v>
      </c>
      <c r="CN65" s="27">
        <f t="shared" si="60"/>
        <v>0</v>
      </c>
      <c r="CO65" s="27">
        <f t="shared" si="61"/>
        <v>0</v>
      </c>
      <c r="CP65" s="27">
        <f t="shared" si="62"/>
        <v>0</v>
      </c>
      <c r="CQ65" s="27">
        <f t="shared" si="63"/>
        <v>0</v>
      </c>
      <c r="CR65" s="24">
        <f t="shared" si="64"/>
        <v>0</v>
      </c>
      <c r="CS65" s="24">
        <f t="shared" si="65"/>
        <v>0</v>
      </c>
      <c r="CT65">
        <v>0</v>
      </c>
      <c r="CU65" s="24">
        <f t="shared" si="90"/>
        <v>0</v>
      </c>
      <c r="CV65" s="27">
        <f t="shared" si="66"/>
        <v>0</v>
      </c>
      <c r="CW65" s="27">
        <f t="shared" si="67"/>
        <v>0</v>
      </c>
      <c r="CX65" s="27">
        <f t="shared" si="68"/>
        <v>0</v>
      </c>
      <c r="CY65" s="27">
        <f t="shared" si="69"/>
        <v>0</v>
      </c>
      <c r="CZ65" s="24">
        <f t="shared" si="70"/>
        <v>0</v>
      </c>
      <c r="DA65" s="24">
        <f t="shared" si="71"/>
        <v>0</v>
      </c>
      <c r="DB65" s="27">
        <f t="shared" si="72"/>
        <v>0</v>
      </c>
      <c r="DC65" s="27">
        <f t="shared" si="73"/>
        <v>0</v>
      </c>
      <c r="DD65" s="27">
        <f t="shared" si="74"/>
        <v>0</v>
      </c>
      <c r="DE65" s="27">
        <f t="shared" si="75"/>
        <v>0</v>
      </c>
      <c r="DF65" s="24">
        <f t="shared" si="76"/>
        <v>0</v>
      </c>
      <c r="DG65" s="24">
        <f t="shared" si="77"/>
        <v>0</v>
      </c>
      <c r="DH65" s="24">
        <f t="shared" si="78"/>
        <v>0</v>
      </c>
      <c r="DI65" s="24">
        <f t="shared" si="79"/>
        <v>0</v>
      </c>
      <c r="DJ65" s="26">
        <f t="shared" si="91"/>
        <v>0</v>
      </c>
      <c r="DK65" s="26">
        <f t="shared" si="92"/>
        <v>0</v>
      </c>
      <c r="DP65" s="27"/>
      <c r="DQ65" s="27"/>
      <c r="DR65" s="27">
        <f t="shared" si="80"/>
        <v>0</v>
      </c>
      <c r="DS65" s="27">
        <f t="shared" si="81"/>
        <v>0</v>
      </c>
      <c r="DT65" s="27">
        <f t="shared" si="82"/>
        <v>0</v>
      </c>
      <c r="DU65" s="27">
        <f t="shared" si="83"/>
        <v>0</v>
      </c>
      <c r="DV65" s="27">
        <f t="shared" si="44"/>
        <v>0</v>
      </c>
      <c r="DW65" s="27">
        <f t="shared" si="45"/>
        <v>0</v>
      </c>
      <c r="DX65" s="27">
        <f t="shared" si="84"/>
        <v>0</v>
      </c>
      <c r="DY65" s="27">
        <f t="shared" si="85"/>
        <v>0</v>
      </c>
      <c r="DZ65" s="27">
        <f t="shared" si="86"/>
        <v>0</v>
      </c>
      <c r="EA65" s="27">
        <f t="shared" si="87"/>
        <v>0</v>
      </c>
      <c r="EB65" s="27">
        <f t="shared" si="46"/>
        <v>0</v>
      </c>
      <c r="EC65" s="27">
        <f t="shared" si="47"/>
        <v>0</v>
      </c>
    </row>
    <row r="66" spans="1:133" x14ac:dyDescent="0.35">
      <c r="A66" s="405"/>
      <c r="C66" s="31">
        <v>62</v>
      </c>
      <c r="D66" s="32">
        <v>64926.09</v>
      </c>
      <c r="E66" s="32">
        <v>70519.77</v>
      </c>
      <c r="F66" s="72"/>
      <c r="G66" s="31">
        <v>62</v>
      </c>
      <c r="H66" s="32">
        <v>115939.45</v>
      </c>
      <c r="I66" s="32">
        <v>125928.16</v>
      </c>
      <c r="AH66" s="406"/>
      <c r="AN66" s="40">
        <v>62</v>
      </c>
      <c r="AO66" s="46">
        <v>0</v>
      </c>
      <c r="AQ66" s="40" t="s">
        <v>33</v>
      </c>
      <c r="AR66" s="40">
        <v>3</v>
      </c>
      <c r="AS66" s="49">
        <f t="shared" si="88"/>
        <v>0.111</v>
      </c>
      <c r="AY66" s="40" t="s">
        <v>33</v>
      </c>
      <c r="AZ66" s="40">
        <v>3</v>
      </c>
      <c r="BA66" s="41">
        <v>0.76854999999999996</v>
      </c>
      <c r="BJ66" s="406"/>
      <c r="BQ66">
        <v>60</v>
      </c>
      <c r="BR66" s="26" t="e">
        <f t="shared" si="37"/>
        <v>#N/A</v>
      </c>
      <c r="BS66" s="26" t="e">
        <f t="shared" si="38"/>
        <v>#N/A</v>
      </c>
      <c r="BT66" s="26"/>
      <c r="BU66" s="29">
        <v>60</v>
      </c>
      <c r="BV66" s="26" t="e">
        <f t="shared" si="52"/>
        <v>#N/A</v>
      </c>
      <c r="BW66" s="26" t="e">
        <f t="shared" si="53"/>
        <v>#N/A</v>
      </c>
      <c r="BY66" s="29">
        <v>60</v>
      </c>
      <c r="BZ66" s="26" t="e">
        <f t="shared" si="39"/>
        <v>#N/A</v>
      </c>
      <c r="CA66" s="26" t="e">
        <f t="shared" si="40"/>
        <v>#N/A</v>
      </c>
      <c r="CC66" s="29">
        <v>60</v>
      </c>
      <c r="CD66" s="26" t="e">
        <f t="shared" si="41"/>
        <v>#N/A</v>
      </c>
      <c r="CE66" s="26" t="e">
        <f t="shared" si="42"/>
        <v>#N/A</v>
      </c>
      <c r="CG66">
        <v>60</v>
      </c>
      <c r="CH66" s="24" t="e">
        <f t="shared" si="54"/>
        <v>#N/A</v>
      </c>
      <c r="CI66" s="24" t="e">
        <f t="shared" si="55"/>
        <v>#N/A</v>
      </c>
      <c r="CJ66" s="27">
        <f t="shared" si="56"/>
        <v>0</v>
      </c>
      <c r="CK66" s="27">
        <f t="shared" si="57"/>
        <v>0</v>
      </c>
      <c r="CL66" s="26">
        <f t="shared" si="58"/>
        <v>0</v>
      </c>
      <c r="CM66" s="26">
        <f t="shared" si="59"/>
        <v>0</v>
      </c>
      <c r="CN66" s="27">
        <f t="shared" si="60"/>
        <v>0</v>
      </c>
      <c r="CO66" s="27">
        <f t="shared" si="61"/>
        <v>0</v>
      </c>
      <c r="CP66" s="27">
        <f t="shared" si="62"/>
        <v>0</v>
      </c>
      <c r="CQ66" s="27">
        <f t="shared" si="63"/>
        <v>0</v>
      </c>
      <c r="CR66" s="24">
        <f t="shared" si="64"/>
        <v>0</v>
      </c>
      <c r="CS66" s="24">
        <f t="shared" si="65"/>
        <v>0</v>
      </c>
      <c r="CT66">
        <v>0</v>
      </c>
      <c r="CU66" s="24">
        <f t="shared" si="90"/>
        <v>0</v>
      </c>
      <c r="CV66" s="27">
        <f t="shared" si="66"/>
        <v>0</v>
      </c>
      <c r="CW66" s="27">
        <f t="shared" si="67"/>
        <v>0</v>
      </c>
      <c r="CX66" s="27">
        <f t="shared" si="68"/>
        <v>0</v>
      </c>
      <c r="CY66" s="27">
        <f t="shared" si="69"/>
        <v>0</v>
      </c>
      <c r="CZ66" s="24">
        <f t="shared" si="70"/>
        <v>0</v>
      </c>
      <c r="DA66" s="24">
        <f t="shared" si="71"/>
        <v>0</v>
      </c>
      <c r="DB66" s="27">
        <f t="shared" si="72"/>
        <v>0</v>
      </c>
      <c r="DC66" s="27">
        <f t="shared" si="73"/>
        <v>0</v>
      </c>
      <c r="DD66" s="27">
        <f t="shared" si="74"/>
        <v>0</v>
      </c>
      <c r="DE66" s="27">
        <f t="shared" si="75"/>
        <v>0</v>
      </c>
      <c r="DF66" s="24">
        <f t="shared" si="76"/>
        <v>0</v>
      </c>
      <c r="DG66" s="24">
        <f t="shared" si="77"/>
        <v>0</v>
      </c>
      <c r="DH66" s="24">
        <f t="shared" si="78"/>
        <v>0</v>
      </c>
      <c r="DI66" s="24">
        <f t="shared" si="79"/>
        <v>0</v>
      </c>
      <c r="DJ66" s="26">
        <f t="shared" si="91"/>
        <v>0</v>
      </c>
      <c r="DK66" s="26">
        <f t="shared" si="92"/>
        <v>0</v>
      </c>
      <c r="DP66" s="27"/>
      <c r="DQ66" s="27"/>
      <c r="DR66" s="27">
        <f t="shared" si="80"/>
        <v>0</v>
      </c>
      <c r="DS66" s="27">
        <f t="shared" si="81"/>
        <v>0</v>
      </c>
      <c r="DT66" s="27">
        <f t="shared" si="82"/>
        <v>0</v>
      </c>
      <c r="DU66" s="27">
        <f t="shared" si="83"/>
        <v>0</v>
      </c>
      <c r="DV66" s="27">
        <f t="shared" si="44"/>
        <v>0</v>
      </c>
      <c r="DW66" s="27">
        <f t="shared" si="45"/>
        <v>0</v>
      </c>
      <c r="DX66" s="27">
        <f t="shared" si="84"/>
        <v>0</v>
      </c>
      <c r="DY66" s="27">
        <f t="shared" si="85"/>
        <v>0</v>
      </c>
      <c r="DZ66" s="27">
        <f t="shared" si="86"/>
        <v>0</v>
      </c>
      <c r="EA66" s="27">
        <f t="shared" si="87"/>
        <v>0</v>
      </c>
      <c r="EB66" s="27">
        <f t="shared" si="46"/>
        <v>0</v>
      </c>
      <c r="EC66" s="27">
        <f t="shared" si="47"/>
        <v>0</v>
      </c>
    </row>
    <row r="67" spans="1:133" x14ac:dyDescent="0.35">
      <c r="A67" s="405"/>
      <c r="C67" s="31">
        <v>63</v>
      </c>
      <c r="D67" s="32">
        <v>69951.27</v>
      </c>
      <c r="E67" s="32">
        <v>75160.38</v>
      </c>
      <c r="F67" s="72"/>
      <c r="G67" s="31">
        <v>63</v>
      </c>
      <c r="H67" s="32">
        <v>124912.98</v>
      </c>
      <c r="I67" s="32">
        <v>134214.96</v>
      </c>
      <c r="K67" s="28"/>
      <c r="L67" s="28"/>
      <c r="AH67" s="406"/>
      <c r="AN67" s="40">
        <v>63</v>
      </c>
      <c r="AO67" s="46">
        <v>0</v>
      </c>
      <c r="AQ67" s="40" t="s">
        <v>34</v>
      </c>
      <c r="AR67" s="320">
        <v>2</v>
      </c>
      <c r="AS67" s="49">
        <f t="shared" si="88"/>
        <v>0.17299999999999999</v>
      </c>
      <c r="AY67" s="40" t="s">
        <v>34</v>
      </c>
      <c r="AZ67" s="320">
        <v>2</v>
      </c>
      <c r="BA67" s="41">
        <v>0.76854999999999996</v>
      </c>
      <c r="BJ67" s="406"/>
      <c r="BQ67">
        <v>61</v>
      </c>
      <c r="BR67" s="26" t="e">
        <f t="shared" si="37"/>
        <v>#N/A</v>
      </c>
      <c r="BS67" s="26" t="e">
        <f t="shared" si="38"/>
        <v>#N/A</v>
      </c>
      <c r="BT67" s="26"/>
      <c r="BU67" s="29">
        <v>61</v>
      </c>
      <c r="BV67" s="26" t="e">
        <f t="shared" si="52"/>
        <v>#N/A</v>
      </c>
      <c r="BW67" s="26" t="e">
        <f t="shared" si="53"/>
        <v>#N/A</v>
      </c>
      <c r="BY67" s="29">
        <v>61</v>
      </c>
      <c r="BZ67" s="26" t="e">
        <f t="shared" si="39"/>
        <v>#N/A</v>
      </c>
      <c r="CA67" s="26" t="e">
        <f t="shared" si="40"/>
        <v>#N/A</v>
      </c>
      <c r="CC67" s="29">
        <v>61</v>
      </c>
      <c r="CD67" s="26" t="e">
        <f t="shared" si="41"/>
        <v>#N/A</v>
      </c>
      <c r="CE67" s="26" t="e">
        <f t="shared" si="42"/>
        <v>#N/A</v>
      </c>
      <c r="CG67">
        <v>61</v>
      </c>
      <c r="CH67" s="24" t="e">
        <f t="shared" si="54"/>
        <v>#N/A</v>
      </c>
      <c r="CI67" s="24" t="e">
        <f t="shared" si="55"/>
        <v>#N/A</v>
      </c>
      <c r="CJ67" s="27">
        <f t="shared" si="56"/>
        <v>0</v>
      </c>
      <c r="CK67" s="27">
        <f t="shared" si="57"/>
        <v>0</v>
      </c>
      <c r="CL67" s="26">
        <f t="shared" si="58"/>
        <v>0</v>
      </c>
      <c r="CM67" s="26">
        <f t="shared" si="59"/>
        <v>0</v>
      </c>
      <c r="CN67" s="27">
        <f t="shared" si="60"/>
        <v>0</v>
      </c>
      <c r="CO67" s="27">
        <f t="shared" si="61"/>
        <v>0</v>
      </c>
      <c r="CP67" s="27">
        <f t="shared" si="62"/>
        <v>0</v>
      </c>
      <c r="CQ67" s="27">
        <f t="shared" si="63"/>
        <v>0</v>
      </c>
      <c r="CR67" s="24">
        <f t="shared" si="64"/>
        <v>0</v>
      </c>
      <c r="CS67" s="24">
        <f t="shared" si="65"/>
        <v>0</v>
      </c>
      <c r="CT67">
        <v>0</v>
      </c>
      <c r="CU67" s="24">
        <f t="shared" si="90"/>
        <v>0</v>
      </c>
      <c r="CV67" s="27">
        <f t="shared" si="66"/>
        <v>0</v>
      </c>
      <c r="CW67" s="27">
        <f t="shared" si="67"/>
        <v>0</v>
      </c>
      <c r="CX67" s="27">
        <f t="shared" si="68"/>
        <v>0</v>
      </c>
      <c r="CY67" s="27">
        <f t="shared" si="69"/>
        <v>0</v>
      </c>
      <c r="CZ67" s="24">
        <f t="shared" si="70"/>
        <v>0</v>
      </c>
      <c r="DA67" s="24">
        <f t="shared" si="71"/>
        <v>0</v>
      </c>
      <c r="DB67" s="27">
        <f t="shared" si="72"/>
        <v>0</v>
      </c>
      <c r="DC67" s="27">
        <f t="shared" si="73"/>
        <v>0</v>
      </c>
      <c r="DD67" s="27">
        <f t="shared" si="74"/>
        <v>0</v>
      </c>
      <c r="DE67" s="27">
        <f t="shared" si="75"/>
        <v>0</v>
      </c>
      <c r="DF67" s="24">
        <f t="shared" si="76"/>
        <v>0</v>
      </c>
      <c r="DG67" s="24">
        <f t="shared" si="77"/>
        <v>0</v>
      </c>
      <c r="DH67" s="24">
        <f t="shared" si="78"/>
        <v>0</v>
      </c>
      <c r="DI67" s="24">
        <f t="shared" si="79"/>
        <v>0</v>
      </c>
      <c r="DJ67" s="26">
        <f t="shared" si="91"/>
        <v>0</v>
      </c>
      <c r="DK67" s="26">
        <f t="shared" si="92"/>
        <v>0</v>
      </c>
      <c r="DP67" s="27"/>
      <c r="DQ67" s="27"/>
      <c r="DR67" s="27">
        <f t="shared" si="80"/>
        <v>0</v>
      </c>
      <c r="DS67" s="27">
        <f t="shared" si="81"/>
        <v>0</v>
      </c>
      <c r="DT67" s="27">
        <f t="shared" si="82"/>
        <v>0</v>
      </c>
      <c r="DU67" s="27">
        <f t="shared" si="83"/>
        <v>0</v>
      </c>
      <c r="DV67" s="27">
        <f t="shared" si="44"/>
        <v>0</v>
      </c>
      <c r="DW67" s="27">
        <f t="shared" si="45"/>
        <v>0</v>
      </c>
      <c r="DX67" s="27">
        <f t="shared" si="84"/>
        <v>0</v>
      </c>
      <c r="DY67" s="27">
        <f t="shared" si="85"/>
        <v>0</v>
      </c>
      <c r="DZ67" s="27">
        <f t="shared" si="86"/>
        <v>0</v>
      </c>
      <c r="EA67" s="27">
        <f t="shared" si="87"/>
        <v>0</v>
      </c>
      <c r="EB67" s="27">
        <f t="shared" si="46"/>
        <v>0</v>
      </c>
      <c r="EC67" s="27">
        <f t="shared" si="47"/>
        <v>0</v>
      </c>
    </row>
    <row r="68" spans="1:133" x14ac:dyDescent="0.35">
      <c r="A68" s="405"/>
      <c r="C68" s="31">
        <v>64</v>
      </c>
      <c r="D68" s="32">
        <v>75345.600000000006</v>
      </c>
      <c r="E68" s="32">
        <v>80078.81</v>
      </c>
      <c r="F68" s="72"/>
      <c r="G68" s="31">
        <v>64</v>
      </c>
      <c r="H68" s="32">
        <v>134545.71</v>
      </c>
      <c r="I68" s="32">
        <v>142997.88</v>
      </c>
      <c r="K68" s="28"/>
      <c r="L68" s="28"/>
      <c r="M68" s="28"/>
      <c r="AH68" s="406"/>
      <c r="AN68" s="40">
        <v>64</v>
      </c>
      <c r="AO68" s="46">
        <v>0</v>
      </c>
      <c r="AQ68" s="40" t="s">
        <v>35</v>
      </c>
      <c r="AR68" s="40">
        <v>2</v>
      </c>
      <c r="AS68" s="49">
        <f t="shared" si="88"/>
        <v>0.17299999999999999</v>
      </c>
      <c r="AY68" s="40" t="s">
        <v>35</v>
      </c>
      <c r="AZ68" s="40">
        <v>2</v>
      </c>
      <c r="BA68" s="41">
        <v>1.8326899999999999</v>
      </c>
      <c r="BJ68" s="406"/>
      <c r="BQ68">
        <v>62</v>
      </c>
      <c r="BR68" s="26" t="e">
        <f t="shared" si="37"/>
        <v>#N/A</v>
      </c>
      <c r="BS68" s="26" t="e">
        <f t="shared" si="38"/>
        <v>#N/A</v>
      </c>
      <c r="BT68" s="26"/>
      <c r="BU68" s="29">
        <v>62</v>
      </c>
      <c r="BV68" s="26" t="e">
        <f t="shared" si="52"/>
        <v>#N/A</v>
      </c>
      <c r="BW68" s="26" t="e">
        <f t="shared" si="53"/>
        <v>#N/A</v>
      </c>
      <c r="BY68" s="29">
        <v>62</v>
      </c>
      <c r="BZ68" s="26" t="e">
        <f t="shared" si="39"/>
        <v>#N/A</v>
      </c>
      <c r="CA68" s="26" t="e">
        <f t="shared" si="40"/>
        <v>#N/A</v>
      </c>
      <c r="CC68" s="29">
        <v>62</v>
      </c>
      <c r="CD68" s="26" t="e">
        <f t="shared" si="41"/>
        <v>#N/A</v>
      </c>
      <c r="CE68" s="26" t="e">
        <f t="shared" si="42"/>
        <v>#N/A</v>
      </c>
      <c r="CG68">
        <v>62</v>
      </c>
      <c r="CH68" s="24" t="e">
        <f t="shared" si="54"/>
        <v>#N/A</v>
      </c>
      <c r="CI68" s="24" t="e">
        <f t="shared" si="55"/>
        <v>#N/A</v>
      </c>
      <c r="CJ68" s="27">
        <f t="shared" si="56"/>
        <v>0</v>
      </c>
      <c r="CK68" s="27">
        <f t="shared" si="57"/>
        <v>0</v>
      </c>
      <c r="CL68" s="26">
        <f t="shared" si="58"/>
        <v>0</v>
      </c>
      <c r="CM68" s="26">
        <f t="shared" si="59"/>
        <v>0</v>
      </c>
      <c r="CN68" s="27">
        <f t="shared" si="60"/>
        <v>0</v>
      </c>
      <c r="CO68" s="27">
        <f t="shared" si="61"/>
        <v>0</v>
      </c>
      <c r="CP68" s="27">
        <f t="shared" si="62"/>
        <v>0</v>
      </c>
      <c r="CQ68" s="27">
        <f t="shared" si="63"/>
        <v>0</v>
      </c>
      <c r="CR68" s="24">
        <f t="shared" si="64"/>
        <v>0</v>
      </c>
      <c r="CS68" s="24">
        <f t="shared" si="65"/>
        <v>0</v>
      </c>
      <c r="CT68">
        <v>0</v>
      </c>
      <c r="CU68" s="24">
        <f t="shared" si="90"/>
        <v>0</v>
      </c>
      <c r="CV68" s="27">
        <f t="shared" si="66"/>
        <v>0</v>
      </c>
      <c r="CW68" s="27">
        <f t="shared" si="67"/>
        <v>0</v>
      </c>
      <c r="CX68" s="27">
        <f t="shared" si="68"/>
        <v>0</v>
      </c>
      <c r="CY68" s="27">
        <f t="shared" si="69"/>
        <v>0</v>
      </c>
      <c r="CZ68" s="24">
        <f t="shared" si="70"/>
        <v>0</v>
      </c>
      <c r="DA68" s="24">
        <f t="shared" si="71"/>
        <v>0</v>
      </c>
      <c r="DB68" s="27">
        <f t="shared" si="72"/>
        <v>0</v>
      </c>
      <c r="DC68" s="27">
        <f t="shared" si="73"/>
        <v>0</v>
      </c>
      <c r="DD68" s="27">
        <f t="shared" si="74"/>
        <v>0</v>
      </c>
      <c r="DE68" s="27">
        <f t="shared" si="75"/>
        <v>0</v>
      </c>
      <c r="DF68" s="24">
        <f t="shared" si="76"/>
        <v>0</v>
      </c>
      <c r="DG68" s="24">
        <f t="shared" si="77"/>
        <v>0</v>
      </c>
      <c r="DH68" s="24">
        <f t="shared" si="78"/>
        <v>0</v>
      </c>
      <c r="DI68" s="24">
        <f t="shared" si="79"/>
        <v>0</v>
      </c>
      <c r="DJ68" s="26">
        <f t="shared" si="91"/>
        <v>0</v>
      </c>
      <c r="DK68" s="26">
        <f t="shared" si="92"/>
        <v>0</v>
      </c>
      <c r="DP68" s="27"/>
      <c r="DQ68" s="27"/>
      <c r="DR68" s="27">
        <f t="shared" si="80"/>
        <v>0</v>
      </c>
      <c r="DS68" s="27">
        <f t="shared" si="81"/>
        <v>0</v>
      </c>
      <c r="DT68" s="27">
        <f t="shared" si="82"/>
        <v>0</v>
      </c>
      <c r="DU68" s="27">
        <f t="shared" si="83"/>
        <v>0</v>
      </c>
      <c r="DV68" s="27">
        <f t="shared" si="44"/>
        <v>0</v>
      </c>
      <c r="DW68" s="27">
        <f t="shared" si="45"/>
        <v>0</v>
      </c>
      <c r="DX68" s="27">
        <f t="shared" si="84"/>
        <v>0</v>
      </c>
      <c r="DY68" s="27">
        <f t="shared" si="85"/>
        <v>0</v>
      </c>
      <c r="DZ68" s="27">
        <f t="shared" si="86"/>
        <v>0</v>
      </c>
      <c r="EA68" s="27">
        <f t="shared" si="87"/>
        <v>0</v>
      </c>
      <c r="EB68" s="27">
        <f t="shared" si="46"/>
        <v>0</v>
      </c>
      <c r="EC68" s="27">
        <f t="shared" si="47"/>
        <v>0</v>
      </c>
    </row>
    <row r="69" spans="1:133" x14ac:dyDescent="0.35">
      <c r="A69" s="405"/>
      <c r="C69" s="31">
        <f>C68+1</f>
        <v>65</v>
      </c>
      <c r="D69" s="32">
        <v>78107.199999999997</v>
      </c>
      <c r="E69" s="32">
        <v>83074.37</v>
      </c>
      <c r="F69" s="72"/>
      <c r="G69" s="31">
        <f>G68+1</f>
        <v>65</v>
      </c>
      <c r="H69" s="32">
        <v>139477.14000000001</v>
      </c>
      <c r="I69" s="32">
        <v>148347.09</v>
      </c>
      <c r="AH69" s="406"/>
      <c r="AQ69" s="40" t="s">
        <v>36</v>
      </c>
      <c r="AR69" s="40">
        <v>2</v>
      </c>
      <c r="AS69" s="49">
        <f t="shared" si="88"/>
        <v>0.17299999999999999</v>
      </c>
      <c r="AY69" s="40" t="s">
        <v>36</v>
      </c>
      <c r="AZ69" s="40">
        <v>2</v>
      </c>
      <c r="BA69" s="41">
        <v>0.91635</v>
      </c>
      <c r="BJ69" s="406"/>
      <c r="BQ69">
        <v>63</v>
      </c>
      <c r="BR69" s="26" t="e">
        <f t="shared" si="37"/>
        <v>#N/A</v>
      </c>
      <c r="BS69" s="26" t="e">
        <f t="shared" si="38"/>
        <v>#N/A</v>
      </c>
      <c r="BT69" s="26"/>
      <c r="BU69" s="29">
        <v>63</v>
      </c>
      <c r="BV69" s="26" t="e">
        <f t="shared" si="52"/>
        <v>#N/A</v>
      </c>
      <c r="BW69" s="26" t="e">
        <f t="shared" si="53"/>
        <v>#N/A</v>
      </c>
      <c r="BY69" s="29">
        <v>63</v>
      </c>
      <c r="BZ69" s="26" t="e">
        <f t="shared" si="39"/>
        <v>#N/A</v>
      </c>
      <c r="CA69" s="26" t="e">
        <f t="shared" si="40"/>
        <v>#N/A</v>
      </c>
      <c r="CC69" s="29">
        <v>63</v>
      </c>
      <c r="CD69" s="26" t="e">
        <f t="shared" si="41"/>
        <v>#N/A</v>
      </c>
      <c r="CE69" s="26" t="e">
        <f t="shared" si="42"/>
        <v>#N/A</v>
      </c>
      <c r="CG69">
        <v>63</v>
      </c>
      <c r="CH69" s="24" t="e">
        <f t="shared" si="54"/>
        <v>#N/A</v>
      </c>
      <c r="CI69" s="24" t="e">
        <f t="shared" si="55"/>
        <v>#N/A</v>
      </c>
      <c r="CJ69" s="27">
        <f t="shared" si="56"/>
        <v>0</v>
      </c>
      <c r="CK69" s="27">
        <f t="shared" si="57"/>
        <v>0</v>
      </c>
      <c r="CL69" s="26">
        <f t="shared" si="58"/>
        <v>0</v>
      </c>
      <c r="CM69" s="26">
        <f t="shared" si="59"/>
        <v>0</v>
      </c>
      <c r="CN69" s="27">
        <f t="shared" si="60"/>
        <v>0</v>
      </c>
      <c r="CO69" s="27">
        <f t="shared" si="61"/>
        <v>0</v>
      </c>
      <c r="CP69" s="27">
        <f t="shared" si="62"/>
        <v>0</v>
      </c>
      <c r="CQ69" s="27">
        <f t="shared" si="63"/>
        <v>0</v>
      </c>
      <c r="CR69" s="24">
        <f t="shared" si="64"/>
        <v>0</v>
      </c>
      <c r="CS69" s="24">
        <f t="shared" si="65"/>
        <v>0</v>
      </c>
      <c r="CT69">
        <v>0</v>
      </c>
      <c r="CU69" s="24">
        <f t="shared" si="90"/>
        <v>0</v>
      </c>
      <c r="CV69" s="27">
        <f t="shared" si="66"/>
        <v>0</v>
      </c>
      <c r="CW69" s="27">
        <f t="shared" si="67"/>
        <v>0</v>
      </c>
      <c r="CX69" s="27">
        <f t="shared" si="68"/>
        <v>0</v>
      </c>
      <c r="CY69" s="27">
        <f t="shared" si="69"/>
        <v>0</v>
      </c>
      <c r="CZ69" s="24">
        <f t="shared" si="70"/>
        <v>0</v>
      </c>
      <c r="DA69" s="24">
        <f t="shared" si="71"/>
        <v>0</v>
      </c>
      <c r="DB69" s="27">
        <f t="shared" si="72"/>
        <v>0</v>
      </c>
      <c r="DC69" s="27">
        <f t="shared" si="73"/>
        <v>0</v>
      </c>
      <c r="DD69" s="27">
        <f t="shared" si="74"/>
        <v>0</v>
      </c>
      <c r="DE69" s="27">
        <f t="shared" si="75"/>
        <v>0</v>
      </c>
      <c r="DF69" s="24">
        <f t="shared" si="76"/>
        <v>0</v>
      </c>
      <c r="DG69" s="24">
        <f t="shared" si="77"/>
        <v>0</v>
      </c>
      <c r="DH69" s="24">
        <f t="shared" si="78"/>
        <v>0</v>
      </c>
      <c r="DI69" s="24">
        <f t="shared" si="79"/>
        <v>0</v>
      </c>
      <c r="DJ69" s="26">
        <f t="shared" si="91"/>
        <v>0</v>
      </c>
      <c r="DK69" s="26">
        <f t="shared" si="92"/>
        <v>0</v>
      </c>
      <c r="DP69" s="27"/>
      <c r="DQ69" s="27"/>
      <c r="DR69" s="27">
        <f t="shared" si="80"/>
        <v>0</v>
      </c>
      <c r="DS69" s="27">
        <f t="shared" si="81"/>
        <v>0</v>
      </c>
      <c r="DT69" s="27">
        <f t="shared" si="82"/>
        <v>0</v>
      </c>
      <c r="DU69" s="27">
        <f t="shared" si="83"/>
        <v>0</v>
      </c>
      <c r="DV69" s="27">
        <f t="shared" si="44"/>
        <v>0</v>
      </c>
      <c r="DW69" s="27">
        <f t="shared" si="45"/>
        <v>0</v>
      </c>
      <c r="DX69" s="27">
        <f t="shared" si="84"/>
        <v>0</v>
      </c>
      <c r="DY69" s="27">
        <f t="shared" si="85"/>
        <v>0</v>
      </c>
      <c r="DZ69" s="27">
        <f t="shared" si="86"/>
        <v>0</v>
      </c>
      <c r="EA69" s="27">
        <f t="shared" si="87"/>
        <v>0</v>
      </c>
      <c r="EB69" s="27">
        <f t="shared" si="46"/>
        <v>0</v>
      </c>
      <c r="EC69" s="27">
        <f t="shared" si="47"/>
        <v>0</v>
      </c>
    </row>
    <row r="70" spans="1:133" x14ac:dyDescent="0.35">
      <c r="A70" s="405"/>
      <c r="C70" s="31">
        <f t="shared" ref="C70:C104" si="93">C69+1</f>
        <v>66</v>
      </c>
      <c r="D70" s="32">
        <v>80970.02</v>
      </c>
      <c r="E70" s="32">
        <v>86182</v>
      </c>
      <c r="F70" s="72"/>
      <c r="G70" s="31">
        <f t="shared" ref="G70:G104" si="94">G69+1</f>
        <v>66</v>
      </c>
      <c r="H70" s="32">
        <v>144589.32</v>
      </c>
      <c r="I70" s="32">
        <v>153896.43</v>
      </c>
      <c r="AH70" s="406"/>
      <c r="AQ70" s="40" t="s">
        <v>37</v>
      </c>
      <c r="AR70" s="40">
        <v>2</v>
      </c>
      <c r="AS70" s="49">
        <f t="shared" si="88"/>
        <v>0.17299999999999999</v>
      </c>
      <c r="AY70" s="40" t="s">
        <v>37</v>
      </c>
      <c r="AZ70" s="40">
        <v>2</v>
      </c>
      <c r="BA70" s="41">
        <v>1.8326899999999999</v>
      </c>
      <c r="BJ70" s="406"/>
      <c r="BQ70">
        <v>64</v>
      </c>
      <c r="BR70" s="26" t="e">
        <f t="shared" si="37"/>
        <v>#N/A</v>
      </c>
      <c r="BS70" s="26" t="e">
        <f t="shared" si="38"/>
        <v>#N/A</v>
      </c>
      <c r="BT70" s="26"/>
      <c r="BU70" s="29">
        <v>64</v>
      </c>
      <c r="BV70" s="26" t="e">
        <f t="shared" ref="BV70:BV106" si="95">BR70-CH70</f>
        <v>#N/A</v>
      </c>
      <c r="BW70" s="26" t="e">
        <f t="shared" ref="BW70:BW106" si="96">BS70-CI70</f>
        <v>#N/A</v>
      </c>
      <c r="BY70" s="29">
        <v>64</v>
      </c>
      <c r="BZ70" s="26" t="e">
        <f t="shared" si="39"/>
        <v>#N/A</v>
      </c>
      <c r="CA70" s="26" t="e">
        <f t="shared" si="40"/>
        <v>#N/A</v>
      </c>
      <c r="CC70" s="29">
        <v>64</v>
      </c>
      <c r="CD70" s="26" t="e">
        <f t="shared" si="41"/>
        <v>#N/A</v>
      </c>
      <c r="CE70" s="26" t="e">
        <f t="shared" si="42"/>
        <v>#N/A</v>
      </c>
      <c r="CG70">
        <v>64</v>
      </c>
      <c r="CH70" s="24" t="e">
        <f t="shared" ref="CH70:CH101" si="97">ROUND((H68*$BN$4*$BN$5*$BN$6*$BN$7*$BN$8*$BN$9),4)</f>
        <v>#N/A</v>
      </c>
      <c r="CI70" s="24" t="e">
        <f t="shared" ref="CI70:CI101" si="98">ROUND((I68*$BN$4*$BN$5*$BN$6*$BN$7*$BN$8*$BN$9),4)</f>
        <v>#N/A</v>
      </c>
      <c r="CJ70" s="27">
        <f t="shared" ref="CJ70:CJ106" si="99">ROUND(IF($CK$1=1,CH70*$BI$7,0),4)</f>
        <v>0</v>
      </c>
      <c r="CK70" s="27">
        <f t="shared" ref="CK70:CK106" si="100">ROUND(IF($CK$1=1,CI70*$BI$7,0),4)</f>
        <v>0</v>
      </c>
      <c r="CL70" s="26">
        <f t="shared" ref="CL70:CL101" si="101">ROUND(IF($CM$1=1,((D68*$BN$4*$BN$5*$BN$7*$BN$8*$BN$9)/(1-$L$7))*$AJ$3,0),4)</f>
        <v>0</v>
      </c>
      <c r="CM70" s="26">
        <f t="shared" ref="CM70:CM101" si="102">ROUND(IF($CM$1=1,((E68*$BN$4*$BN$5*$BN$7*$BN$8*$BN$9)/(1-$L$7))*$AJ$3,0),4)</f>
        <v>0</v>
      </c>
      <c r="CN70" s="27">
        <f t="shared" ref="CN70:CN101" si="103">ROUND(IF($CO$1=1,((D68*$BN$4*$BN$5*$BN$6*$BN$8*$BN$9)/(1-$L$7))*$AJ$11,0),4)</f>
        <v>0</v>
      </c>
      <c r="CO70" s="27">
        <f t="shared" ref="CO70:CO101" si="104">ROUND(IF($CO$1=1,((E68*$BN$4*$BN$5*$BN$6*$BN$8*$BN$9)/(1-$L$7))*$AJ$11,0),4)</f>
        <v>0</v>
      </c>
      <c r="CP70" s="27">
        <f t="shared" ref="CP70:CP106" si="105">ROUND(IF($CQ$1=1,CH70*$AJ$7,0),4)</f>
        <v>0</v>
      </c>
      <c r="CQ70" s="27">
        <f t="shared" ref="CQ70:CQ106" si="106">ROUND(IF($CQ$1=1,CI70*$AJ$7,0),4)</f>
        <v>0</v>
      </c>
      <c r="CR70" s="24">
        <f t="shared" ref="CR70:CR101" si="107">ROUND(IF($CS$1=1,((D68*$CS$2*$BN$4*$BN$5)/(1-$L$7)),0),4)</f>
        <v>0</v>
      </c>
      <c r="CS70" s="24">
        <f t="shared" ref="CS70:CS101" si="108">ROUND(IF($CS$1=1,((E68*$CS$2*$BN$4*$BN$5)/(1-$L$7)),0),4)</f>
        <v>0</v>
      </c>
      <c r="CT70">
        <v>0</v>
      </c>
      <c r="CU70" s="24">
        <f t="shared" si="90"/>
        <v>0</v>
      </c>
      <c r="CV70" s="27">
        <f t="shared" ref="CV70:CV101" si="109">ROUND(IF($CW$1=1,(D68*$BN$5*$BN$6*$BN$7*$BN$8*$BN$9*$CW$2)/(1-$L$7),0),4)</f>
        <v>0</v>
      </c>
      <c r="CW70" s="27">
        <f t="shared" ref="CW70:CW101" si="110">ROUND(IF($CW$1=1,(E68*$BN$5*$BN$6*$BN$7*$BN$8*$BN$9*$CW$2)/(1-$L$7),0),4)</f>
        <v>0</v>
      </c>
      <c r="CX70" s="27">
        <f t="shared" ref="CX70:CX101" si="111">ROUND(IF($CY$1=1,(D68*$BN$4*$BN$5*$BI$3)/(1-$L$7),0),4)</f>
        <v>0</v>
      </c>
      <c r="CY70" s="27">
        <f t="shared" ref="CY70:CY101" si="112">ROUND(IF($CY$1=1,(E68*$BN$4*$BN$5*$BI$3)/(1-$L$7),0),4)</f>
        <v>0</v>
      </c>
      <c r="CZ70" s="24">
        <f t="shared" ref="CZ70:CZ101" si="113">ROUND(IF($DA$1=1,(D68*$AW$3)/(1-$L$7),0),4)</f>
        <v>0</v>
      </c>
      <c r="DA70" s="24">
        <f t="shared" ref="DA70:DA101" si="114">ROUND(IF($DA$1=1,(E68*$AW$3)/(1-$L$7),0),4)</f>
        <v>0</v>
      </c>
      <c r="DB70" s="27">
        <f t="shared" ref="DB70:DB106" si="115">ROUND(IF($DC$1=1,CH70*$AW$7,0),4)</f>
        <v>0</v>
      </c>
      <c r="DC70" s="27">
        <f t="shared" ref="DC70:DC106" si="116">ROUND(IF($DC$1=1,CI70*$AW$7,0),4)</f>
        <v>0</v>
      </c>
      <c r="DD70" s="27">
        <f t="shared" ref="DD70:DD101" si="117">ROUND(IF($DE$1=1,(D68*$BN$4*$BN$5*$BN$7*$BN$8*$BN$9*$DE$2)/(1-$L$7),0),4)</f>
        <v>0</v>
      </c>
      <c r="DE70" s="27">
        <f t="shared" ref="DE70:DE101" si="118">ROUND(IF($DE$1=1,(E68*$BN$4*$BN$5*$BN$7*$BN$8*$BN$9*$DE$2)/(1-$L$7),0),4)</f>
        <v>0</v>
      </c>
      <c r="DF70" s="24">
        <f t="shared" ref="DF70:DF101" si="119">ROUND(IF($DG$1=1,((D68*$BN$4*$BN$5*$BN$6*$BN$9)/(1-$L$7))*$BC$7,0),4)</f>
        <v>0</v>
      </c>
      <c r="DG70" s="24">
        <f t="shared" ref="DG70:DG101" si="120">ROUND(IF($DG$1=1,((E68*$BN$4*$BN$5*$BN$6*$BN$9)/(1-$L$7))*$BC$7,0),4)</f>
        <v>0</v>
      </c>
      <c r="DH70" s="24">
        <f t="shared" ref="DH70:DH101" si="121">ROUND(IF($DI$1=1,(D68*$BC$3)/(1-$L$7),0),4)</f>
        <v>0</v>
      </c>
      <c r="DI70" s="24">
        <f t="shared" ref="DI70:DI101" si="122">ROUND(IF($DI$1=1,(E68*$BC$3)/(1-$L$7),0),4)</f>
        <v>0</v>
      </c>
      <c r="DJ70" s="26">
        <f t="shared" si="91"/>
        <v>0</v>
      </c>
      <c r="DK70" s="26">
        <f t="shared" si="92"/>
        <v>0</v>
      </c>
      <c r="DP70" s="27"/>
      <c r="DQ70" s="27"/>
      <c r="DR70" s="27">
        <f t="shared" ref="DR70:DR106" si="123">+CV70</f>
        <v>0</v>
      </c>
      <c r="DS70" s="27">
        <f t="shared" ref="DS70:DS106" si="124">+CW70</f>
        <v>0</v>
      </c>
      <c r="DT70" s="27">
        <f t="shared" ref="DT70:DT106" si="125">ROUND(IF($DS$1=1,CH70*$DS$2,0),4)</f>
        <v>0</v>
      </c>
      <c r="DU70" s="27">
        <f t="shared" ref="DU70:DU106" si="126">ROUND(IF($DS$1=1,CI70*$DS$2,0),4)</f>
        <v>0</v>
      </c>
      <c r="DV70" s="27">
        <f t="shared" si="44"/>
        <v>0</v>
      </c>
      <c r="DW70" s="27">
        <f t="shared" si="45"/>
        <v>0</v>
      </c>
      <c r="DX70" s="27">
        <f t="shared" ref="DX70:DX101" si="127">ROUND(IF($DY$1=1,(D68*$BN$5*$BN$7*$BN$8*$BN$9*$DY$2)/(1-$L$7),0),4)</f>
        <v>0</v>
      </c>
      <c r="DY70" s="27">
        <f t="shared" ref="DY70:DY101" si="128">ROUND(IF($DY$1=1,(E68*$BN$5*$BN$7*$BN$8*$BN$9*$DY$2)/(1-$L$7),0),4)</f>
        <v>0</v>
      </c>
      <c r="DZ70" s="27">
        <f t="shared" ref="DZ70:DZ106" si="129">DD70</f>
        <v>0</v>
      </c>
      <c r="EA70" s="27">
        <f t="shared" ref="EA70:EA106" si="130">DE70</f>
        <v>0</v>
      </c>
      <c r="EB70" s="27">
        <f t="shared" si="46"/>
        <v>0</v>
      </c>
      <c r="EC70" s="27">
        <f t="shared" si="47"/>
        <v>0</v>
      </c>
    </row>
    <row r="71" spans="1:133" x14ac:dyDescent="0.35">
      <c r="A71" s="405"/>
      <c r="C71" s="31">
        <f t="shared" si="93"/>
        <v>67</v>
      </c>
      <c r="D71" s="32">
        <v>83937.78</v>
      </c>
      <c r="E71" s="32">
        <v>89405.86</v>
      </c>
      <c r="F71" s="72"/>
      <c r="G71" s="31">
        <f t="shared" si="94"/>
        <v>67</v>
      </c>
      <c r="H71" s="32">
        <v>149888.89000000001</v>
      </c>
      <c r="I71" s="32">
        <v>159653.32</v>
      </c>
      <c r="AH71" s="406"/>
      <c r="AQ71" s="40" t="s">
        <v>38</v>
      </c>
      <c r="AR71" s="40">
        <v>1</v>
      </c>
      <c r="AS71" s="49">
        <f t="shared" si="88"/>
        <v>0.23599999999999999</v>
      </c>
      <c r="AY71" s="40" t="s">
        <v>38</v>
      </c>
      <c r="AZ71" s="40">
        <v>1</v>
      </c>
      <c r="BA71" s="41">
        <v>1.0829500000000001</v>
      </c>
      <c r="BJ71" s="406"/>
      <c r="BQ71">
        <v>65</v>
      </c>
      <c r="BR71" s="26" t="e">
        <f t="shared" ref="BR71:BR106" si="131">CH71+CJ71+CL71+CP71+CN71+CT71+CV71+CR71+CZ71+CX71+DB71+DD71+DH71+DF71+DJ71</f>
        <v>#N/A</v>
      </c>
      <c r="BS71" s="26" t="e">
        <f t="shared" ref="BS71:BS106" si="132">CI71+CK71+CM71+CQ71+CO71+CU71+CW71+CS71+DA71+CY71+DC71+DE71+DI71+DG71+DK71</f>
        <v>#N/A</v>
      </c>
      <c r="BU71">
        <v>65</v>
      </c>
      <c r="BV71" s="26" t="e">
        <f t="shared" si="95"/>
        <v>#N/A</v>
      </c>
      <c r="BW71" s="26" t="e">
        <f t="shared" si="96"/>
        <v>#N/A</v>
      </c>
      <c r="BY71">
        <v>65</v>
      </c>
      <c r="BZ71" s="26" t="e">
        <f t="shared" ref="BZ71:BZ106" si="133">CH71*$CA$2</f>
        <v>#N/A</v>
      </c>
      <c r="CA71" s="26" t="e">
        <f t="shared" ref="CA71:CA106" si="134">CI71*$CA$2</f>
        <v>#N/A</v>
      </c>
      <c r="CC71">
        <v>65</v>
      </c>
      <c r="CD71" s="26" t="e">
        <f t="shared" ref="CD71:CD106" si="135">BV71*$CA$2</f>
        <v>#N/A</v>
      </c>
      <c r="CE71" s="26" t="e">
        <f t="shared" ref="CE71:CE106" si="136">BW71*$CA$2</f>
        <v>#N/A</v>
      </c>
      <c r="CG71">
        <v>65</v>
      </c>
      <c r="CH71" s="24" t="e">
        <f t="shared" si="97"/>
        <v>#N/A</v>
      </c>
      <c r="CI71" s="24" t="e">
        <f t="shared" si="98"/>
        <v>#N/A</v>
      </c>
      <c r="CJ71" s="27">
        <f t="shared" si="99"/>
        <v>0</v>
      </c>
      <c r="CK71" s="27">
        <f t="shared" si="100"/>
        <v>0</v>
      </c>
      <c r="CL71" s="26">
        <f t="shared" si="101"/>
        <v>0</v>
      </c>
      <c r="CM71" s="26">
        <f t="shared" si="102"/>
        <v>0</v>
      </c>
      <c r="CN71" s="27">
        <f t="shared" si="103"/>
        <v>0</v>
      </c>
      <c r="CO71" s="27">
        <f t="shared" si="104"/>
        <v>0</v>
      </c>
      <c r="CP71" s="27">
        <f t="shared" si="105"/>
        <v>0</v>
      </c>
      <c r="CQ71" s="27">
        <f t="shared" si="106"/>
        <v>0</v>
      </c>
      <c r="CR71" s="24">
        <f t="shared" si="107"/>
        <v>0</v>
      </c>
      <c r="CS71" s="24">
        <f t="shared" si="108"/>
        <v>0</v>
      </c>
      <c r="CT71">
        <v>0</v>
      </c>
      <c r="CU71" s="24">
        <f t="shared" si="90"/>
        <v>0</v>
      </c>
      <c r="CV71" s="27">
        <f t="shared" si="109"/>
        <v>0</v>
      </c>
      <c r="CW71" s="27">
        <f t="shared" si="110"/>
        <v>0</v>
      </c>
      <c r="CX71" s="27">
        <f t="shared" si="111"/>
        <v>0</v>
      </c>
      <c r="CY71" s="27">
        <f t="shared" si="112"/>
        <v>0</v>
      </c>
      <c r="CZ71" s="24">
        <f t="shared" si="113"/>
        <v>0</v>
      </c>
      <c r="DA71" s="24">
        <f t="shared" si="114"/>
        <v>0</v>
      </c>
      <c r="DB71" s="27">
        <f t="shared" si="115"/>
        <v>0</v>
      </c>
      <c r="DC71" s="27">
        <f t="shared" si="116"/>
        <v>0</v>
      </c>
      <c r="DD71" s="27">
        <f t="shared" si="117"/>
        <v>0</v>
      </c>
      <c r="DE71" s="27">
        <f t="shared" si="118"/>
        <v>0</v>
      </c>
      <c r="DF71" s="24">
        <f t="shared" si="119"/>
        <v>0</v>
      </c>
      <c r="DG71" s="24">
        <f t="shared" si="120"/>
        <v>0</v>
      </c>
      <c r="DH71" s="24">
        <f t="shared" si="121"/>
        <v>0</v>
      </c>
      <c r="DI71" s="24">
        <f t="shared" si="122"/>
        <v>0</v>
      </c>
      <c r="DJ71" s="26">
        <f t="shared" si="91"/>
        <v>0</v>
      </c>
      <c r="DK71" s="26">
        <f t="shared" si="92"/>
        <v>0</v>
      </c>
      <c r="DP71" s="27"/>
      <c r="DQ71" s="27"/>
      <c r="DR71" s="27">
        <f t="shared" si="123"/>
        <v>0</v>
      </c>
      <c r="DS71" s="27">
        <f t="shared" si="124"/>
        <v>0</v>
      </c>
      <c r="DT71" s="27">
        <f t="shared" si="125"/>
        <v>0</v>
      </c>
      <c r="DU71" s="27">
        <f t="shared" si="126"/>
        <v>0</v>
      </c>
      <c r="DV71" s="27">
        <f t="shared" ref="DV71:DV106" si="137">DR71-DT71</f>
        <v>0</v>
      </c>
      <c r="DW71" s="27">
        <f t="shared" ref="DW71:DW106" si="138">DS71-DU71</f>
        <v>0</v>
      </c>
      <c r="DX71" s="27">
        <f t="shared" si="127"/>
        <v>0</v>
      </c>
      <c r="DY71" s="27">
        <f t="shared" si="128"/>
        <v>0</v>
      </c>
      <c r="DZ71" s="27">
        <f t="shared" si="129"/>
        <v>0</v>
      </c>
      <c r="EA71" s="27">
        <f t="shared" si="130"/>
        <v>0</v>
      </c>
      <c r="EB71" s="27">
        <f t="shared" ref="EB71:EB106" si="139">DX71-DZ71</f>
        <v>0</v>
      </c>
      <c r="EC71" s="27">
        <f t="shared" ref="EC71:EC106" si="140">DY71-EA71</f>
        <v>0</v>
      </c>
    </row>
    <row r="72" spans="1:133" x14ac:dyDescent="0.35">
      <c r="A72" s="405"/>
      <c r="C72" s="31">
        <f t="shared" si="93"/>
        <v>68</v>
      </c>
      <c r="D72" s="32">
        <v>87014.31</v>
      </c>
      <c r="E72" s="32">
        <v>92750.32</v>
      </c>
      <c r="F72" s="72"/>
      <c r="G72" s="31">
        <f t="shared" si="94"/>
        <v>68</v>
      </c>
      <c r="H72" s="32">
        <v>155382.70000000001</v>
      </c>
      <c r="I72" s="32">
        <v>165625.57</v>
      </c>
      <c r="AH72" s="406"/>
      <c r="AQ72" s="40" t="s">
        <v>39</v>
      </c>
      <c r="AR72" s="40">
        <v>2</v>
      </c>
      <c r="AS72" s="49">
        <f t="shared" si="88"/>
        <v>0.17299999999999999</v>
      </c>
      <c r="AY72" s="40" t="s">
        <v>39</v>
      </c>
      <c r="AZ72" s="40">
        <v>2</v>
      </c>
      <c r="BA72" s="41">
        <v>0.91635</v>
      </c>
      <c r="BJ72" s="406"/>
      <c r="BQ72">
        <v>66</v>
      </c>
      <c r="BR72" s="26" t="e">
        <f t="shared" si="131"/>
        <v>#N/A</v>
      </c>
      <c r="BS72" s="26" t="e">
        <f t="shared" si="132"/>
        <v>#N/A</v>
      </c>
      <c r="BU72">
        <v>66</v>
      </c>
      <c r="BV72" s="26" t="e">
        <f t="shared" si="95"/>
        <v>#N/A</v>
      </c>
      <c r="BW72" s="26" t="e">
        <f t="shared" si="96"/>
        <v>#N/A</v>
      </c>
      <c r="BY72">
        <v>66</v>
      </c>
      <c r="BZ72" s="26" t="e">
        <f t="shared" si="133"/>
        <v>#N/A</v>
      </c>
      <c r="CA72" s="26" t="e">
        <f t="shared" si="134"/>
        <v>#N/A</v>
      </c>
      <c r="CC72">
        <v>66</v>
      </c>
      <c r="CD72" s="26" t="e">
        <f t="shared" si="135"/>
        <v>#N/A</v>
      </c>
      <c r="CE72" s="26" t="e">
        <f t="shared" si="136"/>
        <v>#N/A</v>
      </c>
      <c r="CG72">
        <v>66</v>
      </c>
      <c r="CH72" s="24" t="e">
        <f t="shared" si="97"/>
        <v>#N/A</v>
      </c>
      <c r="CI72" s="24" t="e">
        <f t="shared" si="98"/>
        <v>#N/A</v>
      </c>
      <c r="CJ72" s="27">
        <f t="shared" si="99"/>
        <v>0</v>
      </c>
      <c r="CK72" s="27">
        <f t="shared" si="100"/>
        <v>0</v>
      </c>
      <c r="CL72" s="26">
        <f t="shared" si="101"/>
        <v>0</v>
      </c>
      <c r="CM72" s="26">
        <f t="shared" si="102"/>
        <v>0</v>
      </c>
      <c r="CN72" s="27">
        <f t="shared" si="103"/>
        <v>0</v>
      </c>
      <c r="CO72" s="27">
        <f t="shared" si="104"/>
        <v>0</v>
      </c>
      <c r="CP72" s="27">
        <f t="shared" si="105"/>
        <v>0</v>
      </c>
      <c r="CQ72" s="27">
        <f t="shared" si="106"/>
        <v>0</v>
      </c>
      <c r="CR72" s="24">
        <f t="shared" si="107"/>
        <v>0</v>
      </c>
      <c r="CS72" s="24">
        <f t="shared" si="108"/>
        <v>0</v>
      </c>
      <c r="CT72">
        <v>0</v>
      </c>
      <c r="CU72" s="24">
        <f t="shared" si="90"/>
        <v>0</v>
      </c>
      <c r="CV72" s="27">
        <f t="shared" si="109"/>
        <v>0</v>
      </c>
      <c r="CW72" s="27">
        <f t="shared" si="110"/>
        <v>0</v>
      </c>
      <c r="CX72" s="27">
        <f t="shared" si="111"/>
        <v>0</v>
      </c>
      <c r="CY72" s="27">
        <f t="shared" si="112"/>
        <v>0</v>
      </c>
      <c r="CZ72" s="24">
        <f t="shared" si="113"/>
        <v>0</v>
      </c>
      <c r="DA72" s="24">
        <f t="shared" si="114"/>
        <v>0</v>
      </c>
      <c r="DB72" s="27">
        <f t="shared" si="115"/>
        <v>0</v>
      </c>
      <c r="DC72" s="27">
        <f t="shared" si="116"/>
        <v>0</v>
      </c>
      <c r="DD72" s="27">
        <f t="shared" si="117"/>
        <v>0</v>
      </c>
      <c r="DE72" s="27">
        <f t="shared" si="118"/>
        <v>0</v>
      </c>
      <c r="DF72" s="24">
        <f t="shared" si="119"/>
        <v>0</v>
      </c>
      <c r="DG72" s="24">
        <f t="shared" si="120"/>
        <v>0</v>
      </c>
      <c r="DH72" s="24">
        <f t="shared" si="121"/>
        <v>0</v>
      </c>
      <c r="DI72" s="24">
        <f t="shared" si="122"/>
        <v>0</v>
      </c>
      <c r="DJ72" s="26">
        <f t="shared" si="91"/>
        <v>0</v>
      </c>
      <c r="DK72" s="26">
        <f t="shared" si="92"/>
        <v>0</v>
      </c>
      <c r="DP72" s="27"/>
      <c r="DQ72" s="27"/>
      <c r="DR72" s="27">
        <f t="shared" si="123"/>
        <v>0</v>
      </c>
      <c r="DS72" s="27">
        <f t="shared" si="124"/>
        <v>0</v>
      </c>
      <c r="DT72" s="27">
        <f t="shared" si="125"/>
        <v>0</v>
      </c>
      <c r="DU72" s="27">
        <f t="shared" si="126"/>
        <v>0</v>
      </c>
      <c r="DV72" s="27">
        <f t="shared" si="137"/>
        <v>0</v>
      </c>
      <c r="DW72" s="27">
        <f t="shared" si="138"/>
        <v>0</v>
      </c>
      <c r="DX72" s="27">
        <f t="shared" si="127"/>
        <v>0</v>
      </c>
      <c r="DY72" s="27">
        <f t="shared" si="128"/>
        <v>0</v>
      </c>
      <c r="DZ72" s="27">
        <f t="shared" si="129"/>
        <v>0</v>
      </c>
      <c r="EA72" s="27">
        <f t="shared" si="130"/>
        <v>0</v>
      </c>
      <c r="EB72" s="27">
        <f t="shared" si="139"/>
        <v>0</v>
      </c>
      <c r="EC72" s="27">
        <f t="shared" si="140"/>
        <v>0</v>
      </c>
    </row>
    <row r="73" spans="1:133" x14ac:dyDescent="0.35">
      <c r="A73" s="405"/>
      <c r="C73" s="31">
        <f t="shared" si="93"/>
        <v>69</v>
      </c>
      <c r="D73" s="32">
        <v>90203.6</v>
      </c>
      <c r="E73" s="32">
        <v>96219.9</v>
      </c>
      <c r="F73" s="72"/>
      <c r="G73" s="31">
        <f t="shared" si="94"/>
        <v>69</v>
      </c>
      <c r="H73" s="32">
        <v>161077.85999999999</v>
      </c>
      <c r="I73" s="32">
        <v>171821.25</v>
      </c>
      <c r="AH73" s="406"/>
      <c r="AQ73" s="40" t="s">
        <v>40</v>
      </c>
      <c r="AR73" s="40">
        <v>1</v>
      </c>
      <c r="AS73" s="49">
        <f t="shared" si="88"/>
        <v>0.23599999999999999</v>
      </c>
      <c r="AY73" s="40" t="s">
        <v>40</v>
      </c>
      <c r="AZ73" s="40">
        <v>1</v>
      </c>
      <c r="BA73" s="41">
        <v>2.1659099999999998</v>
      </c>
      <c r="BJ73" s="406"/>
      <c r="BQ73">
        <v>67</v>
      </c>
      <c r="BR73" s="26" t="e">
        <f t="shared" si="131"/>
        <v>#N/A</v>
      </c>
      <c r="BS73" s="26" t="e">
        <f t="shared" si="132"/>
        <v>#N/A</v>
      </c>
      <c r="BU73">
        <v>67</v>
      </c>
      <c r="BV73" s="26" t="e">
        <f t="shared" si="95"/>
        <v>#N/A</v>
      </c>
      <c r="BW73" s="26" t="e">
        <f t="shared" si="96"/>
        <v>#N/A</v>
      </c>
      <c r="BY73">
        <v>67</v>
      </c>
      <c r="BZ73" s="26" t="e">
        <f t="shared" si="133"/>
        <v>#N/A</v>
      </c>
      <c r="CA73" s="26" t="e">
        <f t="shared" si="134"/>
        <v>#N/A</v>
      </c>
      <c r="CC73">
        <v>67</v>
      </c>
      <c r="CD73" s="26" t="e">
        <f t="shared" si="135"/>
        <v>#N/A</v>
      </c>
      <c r="CE73" s="26" t="e">
        <f t="shared" si="136"/>
        <v>#N/A</v>
      </c>
      <c r="CG73">
        <v>67</v>
      </c>
      <c r="CH73" s="24" t="e">
        <f t="shared" si="97"/>
        <v>#N/A</v>
      </c>
      <c r="CI73" s="24" t="e">
        <f t="shared" si="98"/>
        <v>#N/A</v>
      </c>
      <c r="CJ73" s="27">
        <f t="shared" si="99"/>
        <v>0</v>
      </c>
      <c r="CK73" s="27">
        <f t="shared" si="100"/>
        <v>0</v>
      </c>
      <c r="CL73" s="26">
        <f t="shared" si="101"/>
        <v>0</v>
      </c>
      <c r="CM73" s="26">
        <f t="shared" si="102"/>
        <v>0</v>
      </c>
      <c r="CN73" s="27">
        <f t="shared" si="103"/>
        <v>0</v>
      </c>
      <c r="CO73" s="27">
        <f t="shared" si="104"/>
        <v>0</v>
      </c>
      <c r="CP73" s="27">
        <f t="shared" si="105"/>
        <v>0</v>
      </c>
      <c r="CQ73" s="27">
        <f t="shared" si="106"/>
        <v>0</v>
      </c>
      <c r="CR73" s="24">
        <f t="shared" si="107"/>
        <v>0</v>
      </c>
      <c r="CS73" s="24">
        <f t="shared" si="108"/>
        <v>0</v>
      </c>
      <c r="CT73">
        <v>0</v>
      </c>
      <c r="CU73" s="24">
        <f t="shared" si="90"/>
        <v>0</v>
      </c>
      <c r="CV73" s="27">
        <f t="shared" si="109"/>
        <v>0</v>
      </c>
      <c r="CW73" s="27">
        <f t="shared" si="110"/>
        <v>0</v>
      </c>
      <c r="CX73" s="27">
        <f t="shared" si="111"/>
        <v>0</v>
      </c>
      <c r="CY73" s="27">
        <f t="shared" si="112"/>
        <v>0</v>
      </c>
      <c r="CZ73" s="24">
        <f t="shared" si="113"/>
        <v>0</v>
      </c>
      <c r="DA73" s="24">
        <f t="shared" si="114"/>
        <v>0</v>
      </c>
      <c r="DB73" s="27">
        <f t="shared" si="115"/>
        <v>0</v>
      </c>
      <c r="DC73" s="27">
        <f t="shared" si="116"/>
        <v>0</v>
      </c>
      <c r="DD73" s="27">
        <f t="shared" si="117"/>
        <v>0</v>
      </c>
      <c r="DE73" s="27">
        <f t="shared" si="118"/>
        <v>0</v>
      </c>
      <c r="DF73" s="24">
        <f t="shared" si="119"/>
        <v>0</v>
      </c>
      <c r="DG73" s="24">
        <f t="shared" si="120"/>
        <v>0</v>
      </c>
      <c r="DH73" s="24">
        <f t="shared" si="121"/>
        <v>0</v>
      </c>
      <c r="DI73" s="24">
        <f t="shared" si="122"/>
        <v>0</v>
      </c>
      <c r="DJ73" s="26">
        <f t="shared" si="91"/>
        <v>0</v>
      </c>
      <c r="DK73" s="26">
        <f t="shared" si="92"/>
        <v>0</v>
      </c>
      <c r="DP73" s="27"/>
      <c r="DQ73" s="27"/>
      <c r="DR73" s="27">
        <f t="shared" si="123"/>
        <v>0</v>
      </c>
      <c r="DS73" s="27">
        <f t="shared" si="124"/>
        <v>0</v>
      </c>
      <c r="DT73" s="27">
        <f t="shared" si="125"/>
        <v>0</v>
      </c>
      <c r="DU73" s="27">
        <f t="shared" si="126"/>
        <v>0</v>
      </c>
      <c r="DV73" s="27">
        <f t="shared" si="137"/>
        <v>0</v>
      </c>
      <c r="DW73" s="27">
        <f t="shared" si="138"/>
        <v>0</v>
      </c>
      <c r="DX73" s="27">
        <f t="shared" si="127"/>
        <v>0</v>
      </c>
      <c r="DY73" s="27">
        <f t="shared" si="128"/>
        <v>0</v>
      </c>
      <c r="DZ73" s="27">
        <f t="shared" si="129"/>
        <v>0</v>
      </c>
      <c r="EA73" s="27">
        <f t="shared" si="130"/>
        <v>0</v>
      </c>
      <c r="EB73" s="27">
        <f t="shared" si="139"/>
        <v>0</v>
      </c>
      <c r="EC73" s="27">
        <f t="shared" si="140"/>
        <v>0</v>
      </c>
    </row>
    <row r="74" spans="1:133" x14ac:dyDescent="0.35">
      <c r="A74" s="405"/>
      <c r="C74" s="31">
        <f t="shared" si="93"/>
        <v>70</v>
      </c>
      <c r="D74" s="32">
        <v>93509.78</v>
      </c>
      <c r="E74" s="32">
        <v>99819.27</v>
      </c>
      <c r="F74" s="72"/>
      <c r="G74" s="31">
        <f t="shared" si="94"/>
        <v>70</v>
      </c>
      <c r="H74" s="32">
        <v>166981.75</v>
      </c>
      <c r="I74" s="32">
        <v>178248.7</v>
      </c>
      <c r="AH74" s="406"/>
      <c r="AQ74" s="40" t="s">
        <v>41</v>
      </c>
      <c r="AR74" s="40">
        <v>3</v>
      </c>
      <c r="AS74" s="49">
        <f t="shared" si="88"/>
        <v>0.111</v>
      </c>
      <c r="AY74" s="40" t="s">
        <v>41</v>
      </c>
      <c r="AZ74" s="40">
        <v>3</v>
      </c>
      <c r="BA74" s="41">
        <v>0.76854999999999996</v>
      </c>
      <c r="BJ74" s="406"/>
      <c r="BQ74">
        <v>68</v>
      </c>
      <c r="BR74" s="26" t="e">
        <f t="shared" si="131"/>
        <v>#N/A</v>
      </c>
      <c r="BS74" s="26" t="e">
        <f t="shared" si="132"/>
        <v>#N/A</v>
      </c>
      <c r="BU74">
        <v>68</v>
      </c>
      <c r="BV74" s="26" t="e">
        <f t="shared" si="95"/>
        <v>#N/A</v>
      </c>
      <c r="BW74" s="26" t="e">
        <f t="shared" si="96"/>
        <v>#N/A</v>
      </c>
      <c r="BY74">
        <v>68</v>
      </c>
      <c r="BZ74" s="26" t="e">
        <f t="shared" si="133"/>
        <v>#N/A</v>
      </c>
      <c r="CA74" s="26" t="e">
        <f t="shared" si="134"/>
        <v>#N/A</v>
      </c>
      <c r="CC74">
        <v>68</v>
      </c>
      <c r="CD74" s="26" t="e">
        <f t="shared" si="135"/>
        <v>#N/A</v>
      </c>
      <c r="CE74" s="26" t="e">
        <f t="shared" si="136"/>
        <v>#N/A</v>
      </c>
      <c r="CG74">
        <v>68</v>
      </c>
      <c r="CH74" s="24" t="e">
        <f t="shared" si="97"/>
        <v>#N/A</v>
      </c>
      <c r="CI74" s="24" t="e">
        <f t="shared" si="98"/>
        <v>#N/A</v>
      </c>
      <c r="CJ74" s="27">
        <f t="shared" si="99"/>
        <v>0</v>
      </c>
      <c r="CK74" s="27">
        <f t="shared" si="100"/>
        <v>0</v>
      </c>
      <c r="CL74" s="26">
        <f t="shared" si="101"/>
        <v>0</v>
      </c>
      <c r="CM74" s="26">
        <f t="shared" si="102"/>
        <v>0</v>
      </c>
      <c r="CN74" s="27">
        <f t="shared" si="103"/>
        <v>0</v>
      </c>
      <c r="CO74" s="27">
        <f t="shared" si="104"/>
        <v>0</v>
      </c>
      <c r="CP74" s="27">
        <f t="shared" si="105"/>
        <v>0</v>
      </c>
      <c r="CQ74" s="27">
        <f t="shared" si="106"/>
        <v>0</v>
      </c>
      <c r="CR74" s="24">
        <f t="shared" si="107"/>
        <v>0</v>
      </c>
      <c r="CS74" s="24">
        <f t="shared" si="108"/>
        <v>0</v>
      </c>
      <c r="CT74">
        <v>0</v>
      </c>
      <c r="CU74" s="24">
        <f t="shared" si="90"/>
        <v>0</v>
      </c>
      <c r="CV74" s="27">
        <f t="shared" si="109"/>
        <v>0</v>
      </c>
      <c r="CW74" s="27">
        <f t="shared" si="110"/>
        <v>0</v>
      </c>
      <c r="CX74" s="27">
        <f t="shared" si="111"/>
        <v>0</v>
      </c>
      <c r="CY74" s="27">
        <f t="shared" si="112"/>
        <v>0</v>
      </c>
      <c r="CZ74" s="24">
        <f t="shared" si="113"/>
        <v>0</v>
      </c>
      <c r="DA74" s="24">
        <f t="shared" si="114"/>
        <v>0</v>
      </c>
      <c r="DB74" s="27">
        <f t="shared" si="115"/>
        <v>0</v>
      </c>
      <c r="DC74" s="27">
        <f t="shared" si="116"/>
        <v>0</v>
      </c>
      <c r="DD74" s="27">
        <f t="shared" si="117"/>
        <v>0</v>
      </c>
      <c r="DE74" s="27">
        <f t="shared" si="118"/>
        <v>0</v>
      </c>
      <c r="DF74" s="24">
        <f t="shared" si="119"/>
        <v>0</v>
      </c>
      <c r="DG74" s="24">
        <f t="shared" si="120"/>
        <v>0</v>
      </c>
      <c r="DH74" s="24">
        <f t="shared" si="121"/>
        <v>0</v>
      </c>
      <c r="DI74" s="24">
        <f t="shared" si="122"/>
        <v>0</v>
      </c>
      <c r="DJ74" s="26">
        <f t="shared" si="91"/>
        <v>0</v>
      </c>
      <c r="DK74" s="26">
        <f t="shared" si="92"/>
        <v>0</v>
      </c>
      <c r="DP74" s="27"/>
      <c r="DQ74" s="27"/>
      <c r="DR74" s="27">
        <f t="shared" si="123"/>
        <v>0</v>
      </c>
      <c r="DS74" s="27">
        <f t="shared" si="124"/>
        <v>0</v>
      </c>
      <c r="DT74" s="27">
        <f t="shared" si="125"/>
        <v>0</v>
      </c>
      <c r="DU74" s="27">
        <f t="shared" si="126"/>
        <v>0</v>
      </c>
      <c r="DV74" s="27">
        <f t="shared" si="137"/>
        <v>0</v>
      </c>
      <c r="DW74" s="27">
        <f t="shared" si="138"/>
        <v>0</v>
      </c>
      <c r="DX74" s="27">
        <f t="shared" si="127"/>
        <v>0</v>
      </c>
      <c r="DY74" s="27">
        <f t="shared" si="128"/>
        <v>0</v>
      </c>
      <c r="DZ74" s="27">
        <f t="shared" si="129"/>
        <v>0</v>
      </c>
      <c r="EA74" s="27">
        <f t="shared" si="130"/>
        <v>0</v>
      </c>
      <c r="EB74" s="27">
        <f t="shared" si="139"/>
        <v>0</v>
      </c>
      <c r="EC74" s="27">
        <f t="shared" si="140"/>
        <v>0</v>
      </c>
    </row>
    <row r="75" spans="1:133" x14ac:dyDescent="0.35">
      <c r="A75" s="405"/>
      <c r="C75" s="31">
        <f t="shared" si="93"/>
        <v>71</v>
      </c>
      <c r="D75" s="32">
        <v>94259.5</v>
      </c>
      <c r="E75" s="32">
        <v>100619.57</v>
      </c>
      <c r="F75" s="72"/>
      <c r="G75" s="31">
        <f t="shared" si="94"/>
        <v>71</v>
      </c>
      <c r="H75" s="32">
        <v>168320.54</v>
      </c>
      <c r="I75" s="32">
        <v>179677.8</v>
      </c>
      <c r="AH75" s="406"/>
      <c r="AQ75" s="40" t="s">
        <v>42</v>
      </c>
      <c r="AR75" s="40"/>
      <c r="AS75" s="49"/>
      <c r="AY75" s="40" t="s">
        <v>42</v>
      </c>
      <c r="AZ75" s="40"/>
      <c r="BA75" s="40"/>
      <c r="BJ75" s="406"/>
      <c r="BQ75">
        <v>69</v>
      </c>
      <c r="BR75" s="26" t="e">
        <f t="shared" si="131"/>
        <v>#N/A</v>
      </c>
      <c r="BS75" s="26" t="e">
        <f t="shared" si="132"/>
        <v>#N/A</v>
      </c>
      <c r="BU75">
        <v>69</v>
      </c>
      <c r="BV75" s="26" t="e">
        <f t="shared" si="95"/>
        <v>#N/A</v>
      </c>
      <c r="BW75" s="26" t="e">
        <f t="shared" si="96"/>
        <v>#N/A</v>
      </c>
      <c r="BY75">
        <v>69</v>
      </c>
      <c r="BZ75" s="26" t="e">
        <f t="shared" si="133"/>
        <v>#N/A</v>
      </c>
      <c r="CA75" s="26" t="e">
        <f t="shared" si="134"/>
        <v>#N/A</v>
      </c>
      <c r="CC75">
        <v>69</v>
      </c>
      <c r="CD75" s="26" t="e">
        <f t="shared" si="135"/>
        <v>#N/A</v>
      </c>
      <c r="CE75" s="26" t="e">
        <f t="shared" si="136"/>
        <v>#N/A</v>
      </c>
      <c r="CG75">
        <v>69</v>
      </c>
      <c r="CH75" s="24" t="e">
        <f t="shared" si="97"/>
        <v>#N/A</v>
      </c>
      <c r="CI75" s="24" t="e">
        <f t="shared" si="98"/>
        <v>#N/A</v>
      </c>
      <c r="CJ75" s="27">
        <f t="shared" si="99"/>
        <v>0</v>
      </c>
      <c r="CK75" s="27">
        <f t="shared" si="100"/>
        <v>0</v>
      </c>
      <c r="CL75" s="26">
        <f t="shared" si="101"/>
        <v>0</v>
      </c>
      <c r="CM75" s="26">
        <f t="shared" si="102"/>
        <v>0</v>
      </c>
      <c r="CN75" s="27">
        <f t="shared" si="103"/>
        <v>0</v>
      </c>
      <c r="CO75" s="27">
        <f t="shared" si="104"/>
        <v>0</v>
      </c>
      <c r="CP75" s="27">
        <f t="shared" si="105"/>
        <v>0</v>
      </c>
      <c r="CQ75" s="27">
        <f t="shared" si="106"/>
        <v>0</v>
      </c>
      <c r="CR75" s="24">
        <f t="shared" si="107"/>
        <v>0</v>
      </c>
      <c r="CS75" s="24">
        <f t="shared" si="108"/>
        <v>0</v>
      </c>
      <c r="CT75">
        <v>0</v>
      </c>
      <c r="CU75" s="24">
        <f t="shared" si="90"/>
        <v>0</v>
      </c>
      <c r="CV75" s="27">
        <f t="shared" si="109"/>
        <v>0</v>
      </c>
      <c r="CW75" s="27">
        <f t="shared" si="110"/>
        <v>0</v>
      </c>
      <c r="CX75" s="27">
        <f t="shared" si="111"/>
        <v>0</v>
      </c>
      <c r="CY75" s="27">
        <f t="shared" si="112"/>
        <v>0</v>
      </c>
      <c r="CZ75" s="24">
        <f t="shared" si="113"/>
        <v>0</v>
      </c>
      <c r="DA75" s="24">
        <f t="shared" si="114"/>
        <v>0</v>
      </c>
      <c r="DB75" s="27">
        <f t="shared" si="115"/>
        <v>0</v>
      </c>
      <c r="DC75" s="27">
        <f t="shared" si="116"/>
        <v>0</v>
      </c>
      <c r="DD75" s="27">
        <f t="shared" si="117"/>
        <v>0</v>
      </c>
      <c r="DE75" s="27">
        <f t="shared" si="118"/>
        <v>0</v>
      </c>
      <c r="DF75" s="24">
        <f t="shared" si="119"/>
        <v>0</v>
      </c>
      <c r="DG75" s="24">
        <f t="shared" si="120"/>
        <v>0</v>
      </c>
      <c r="DH75" s="24">
        <f t="shared" si="121"/>
        <v>0</v>
      </c>
      <c r="DI75" s="24">
        <f t="shared" si="122"/>
        <v>0</v>
      </c>
      <c r="DJ75" s="26">
        <f t="shared" si="91"/>
        <v>0</v>
      </c>
      <c r="DK75" s="26">
        <f t="shared" si="92"/>
        <v>0</v>
      </c>
      <c r="DP75" s="27"/>
      <c r="DQ75" s="27"/>
      <c r="DR75" s="27">
        <f t="shared" si="123"/>
        <v>0</v>
      </c>
      <c r="DS75" s="27">
        <f t="shared" si="124"/>
        <v>0</v>
      </c>
      <c r="DT75" s="27">
        <f t="shared" si="125"/>
        <v>0</v>
      </c>
      <c r="DU75" s="27">
        <f t="shared" si="126"/>
        <v>0</v>
      </c>
      <c r="DV75" s="27">
        <f t="shared" si="137"/>
        <v>0</v>
      </c>
      <c r="DW75" s="27">
        <f t="shared" si="138"/>
        <v>0</v>
      </c>
      <c r="DX75" s="27">
        <f t="shared" si="127"/>
        <v>0</v>
      </c>
      <c r="DY75" s="27">
        <f t="shared" si="128"/>
        <v>0</v>
      </c>
      <c r="DZ75" s="27">
        <f t="shared" si="129"/>
        <v>0</v>
      </c>
      <c r="EA75" s="27">
        <f t="shared" si="130"/>
        <v>0</v>
      </c>
      <c r="EB75" s="27">
        <f t="shared" si="139"/>
        <v>0</v>
      </c>
      <c r="EC75" s="27">
        <f t="shared" si="140"/>
        <v>0</v>
      </c>
    </row>
    <row r="76" spans="1:133" x14ac:dyDescent="0.35">
      <c r="A76" s="405"/>
      <c r="C76" s="31">
        <f t="shared" si="93"/>
        <v>72</v>
      </c>
      <c r="D76" s="32">
        <v>95015.22</v>
      </c>
      <c r="E76" s="32">
        <v>101426.29</v>
      </c>
      <c r="F76" s="72"/>
      <c r="G76" s="31">
        <f t="shared" si="94"/>
        <v>72</v>
      </c>
      <c r="H76" s="32">
        <v>169670.04</v>
      </c>
      <c r="I76" s="32">
        <v>181118.38</v>
      </c>
      <c r="AH76" s="406"/>
      <c r="AQ76" s="40"/>
      <c r="AR76" s="40"/>
      <c r="AS76" s="49"/>
      <c r="BJ76" s="406"/>
      <c r="BQ76">
        <v>70</v>
      </c>
      <c r="BR76" s="26" t="e">
        <f t="shared" si="131"/>
        <v>#N/A</v>
      </c>
      <c r="BS76" s="26" t="e">
        <f t="shared" si="132"/>
        <v>#N/A</v>
      </c>
      <c r="BU76">
        <v>70</v>
      </c>
      <c r="BV76" s="26" t="e">
        <f t="shared" si="95"/>
        <v>#N/A</v>
      </c>
      <c r="BW76" s="26" t="e">
        <f t="shared" si="96"/>
        <v>#N/A</v>
      </c>
      <c r="BY76">
        <v>70</v>
      </c>
      <c r="BZ76" s="26" t="e">
        <f t="shared" si="133"/>
        <v>#N/A</v>
      </c>
      <c r="CA76" s="26" t="e">
        <f t="shared" si="134"/>
        <v>#N/A</v>
      </c>
      <c r="CC76">
        <v>70</v>
      </c>
      <c r="CD76" s="26" t="e">
        <f t="shared" si="135"/>
        <v>#N/A</v>
      </c>
      <c r="CE76" s="26" t="e">
        <f t="shared" si="136"/>
        <v>#N/A</v>
      </c>
      <c r="CG76">
        <v>70</v>
      </c>
      <c r="CH76" s="24" t="e">
        <f t="shared" si="97"/>
        <v>#N/A</v>
      </c>
      <c r="CI76" s="24" t="e">
        <f t="shared" si="98"/>
        <v>#N/A</v>
      </c>
      <c r="CJ76" s="27">
        <f t="shared" si="99"/>
        <v>0</v>
      </c>
      <c r="CK76" s="27">
        <f t="shared" si="100"/>
        <v>0</v>
      </c>
      <c r="CL76" s="26">
        <f t="shared" si="101"/>
        <v>0</v>
      </c>
      <c r="CM76" s="26">
        <f t="shared" si="102"/>
        <v>0</v>
      </c>
      <c r="CN76" s="27">
        <f t="shared" si="103"/>
        <v>0</v>
      </c>
      <c r="CO76" s="27">
        <f t="shared" si="104"/>
        <v>0</v>
      </c>
      <c r="CP76" s="27">
        <f t="shared" si="105"/>
        <v>0</v>
      </c>
      <c r="CQ76" s="27">
        <f t="shared" si="106"/>
        <v>0</v>
      </c>
      <c r="CR76" s="24">
        <f t="shared" si="107"/>
        <v>0</v>
      </c>
      <c r="CS76" s="24">
        <f t="shared" si="108"/>
        <v>0</v>
      </c>
      <c r="CT76">
        <v>0</v>
      </c>
      <c r="CU76" s="24">
        <f t="shared" si="90"/>
        <v>0</v>
      </c>
      <c r="CV76" s="27">
        <f t="shared" si="109"/>
        <v>0</v>
      </c>
      <c r="CW76" s="27">
        <f t="shared" si="110"/>
        <v>0</v>
      </c>
      <c r="CX76" s="27">
        <f t="shared" si="111"/>
        <v>0</v>
      </c>
      <c r="CY76" s="27">
        <f t="shared" si="112"/>
        <v>0</v>
      </c>
      <c r="CZ76" s="24">
        <f t="shared" si="113"/>
        <v>0</v>
      </c>
      <c r="DA76" s="24">
        <f t="shared" si="114"/>
        <v>0</v>
      </c>
      <c r="DB76" s="27">
        <f t="shared" si="115"/>
        <v>0</v>
      </c>
      <c r="DC76" s="27">
        <f t="shared" si="116"/>
        <v>0</v>
      </c>
      <c r="DD76" s="27">
        <f t="shared" si="117"/>
        <v>0</v>
      </c>
      <c r="DE76" s="27">
        <f t="shared" si="118"/>
        <v>0</v>
      </c>
      <c r="DF76" s="24">
        <f t="shared" si="119"/>
        <v>0</v>
      </c>
      <c r="DG76" s="24">
        <f t="shared" si="120"/>
        <v>0</v>
      </c>
      <c r="DH76" s="24">
        <f t="shared" si="121"/>
        <v>0</v>
      </c>
      <c r="DI76" s="24">
        <f t="shared" si="122"/>
        <v>0</v>
      </c>
      <c r="DJ76" s="26">
        <f t="shared" si="91"/>
        <v>0</v>
      </c>
      <c r="DK76" s="26">
        <f t="shared" si="92"/>
        <v>0</v>
      </c>
      <c r="DP76" s="27"/>
      <c r="DQ76" s="27"/>
      <c r="DR76" s="27">
        <f t="shared" si="123"/>
        <v>0</v>
      </c>
      <c r="DS76" s="27">
        <f t="shared" si="124"/>
        <v>0</v>
      </c>
      <c r="DT76" s="27">
        <f t="shared" si="125"/>
        <v>0</v>
      </c>
      <c r="DU76" s="27">
        <f t="shared" si="126"/>
        <v>0</v>
      </c>
      <c r="DV76" s="27">
        <f t="shared" si="137"/>
        <v>0</v>
      </c>
      <c r="DW76" s="27">
        <f t="shared" si="138"/>
        <v>0</v>
      </c>
      <c r="DX76" s="27">
        <f t="shared" si="127"/>
        <v>0</v>
      </c>
      <c r="DY76" s="27">
        <f t="shared" si="128"/>
        <v>0</v>
      </c>
      <c r="DZ76" s="27">
        <f t="shared" si="129"/>
        <v>0</v>
      </c>
      <c r="EA76" s="27">
        <f t="shared" si="130"/>
        <v>0</v>
      </c>
      <c r="EB76" s="27">
        <f t="shared" si="139"/>
        <v>0</v>
      </c>
      <c r="EC76" s="27">
        <f t="shared" si="140"/>
        <v>0</v>
      </c>
    </row>
    <row r="77" spans="1:133" x14ac:dyDescent="0.35">
      <c r="A77" s="405"/>
      <c r="C77" s="31">
        <f t="shared" si="93"/>
        <v>73</v>
      </c>
      <c r="D77" s="32">
        <v>95777</v>
      </c>
      <c r="E77" s="32">
        <v>102239.46</v>
      </c>
      <c r="F77" s="72"/>
      <c r="G77" s="31">
        <f t="shared" si="94"/>
        <v>73</v>
      </c>
      <c r="H77" s="32">
        <v>171030.36</v>
      </c>
      <c r="I77" s="32">
        <v>182570.46</v>
      </c>
      <c r="AH77" s="406"/>
      <c r="BJ77" s="406"/>
      <c r="BQ77">
        <v>71</v>
      </c>
      <c r="BR77" s="26" t="e">
        <f t="shared" si="131"/>
        <v>#N/A</v>
      </c>
      <c r="BS77" s="26" t="e">
        <f t="shared" si="132"/>
        <v>#N/A</v>
      </c>
      <c r="BU77">
        <v>71</v>
      </c>
      <c r="BV77" s="26" t="e">
        <f t="shared" si="95"/>
        <v>#N/A</v>
      </c>
      <c r="BW77" s="26" t="e">
        <f t="shared" si="96"/>
        <v>#N/A</v>
      </c>
      <c r="BY77">
        <v>71</v>
      </c>
      <c r="BZ77" s="26" t="e">
        <f t="shared" si="133"/>
        <v>#N/A</v>
      </c>
      <c r="CA77" s="26" t="e">
        <f t="shared" si="134"/>
        <v>#N/A</v>
      </c>
      <c r="CC77">
        <v>71</v>
      </c>
      <c r="CD77" s="26" t="e">
        <f t="shared" si="135"/>
        <v>#N/A</v>
      </c>
      <c r="CE77" s="26" t="e">
        <f t="shared" si="136"/>
        <v>#N/A</v>
      </c>
      <c r="CG77">
        <v>71</v>
      </c>
      <c r="CH77" s="24" t="e">
        <f t="shared" si="97"/>
        <v>#N/A</v>
      </c>
      <c r="CI77" s="24" t="e">
        <f t="shared" si="98"/>
        <v>#N/A</v>
      </c>
      <c r="CJ77" s="27">
        <f t="shared" si="99"/>
        <v>0</v>
      </c>
      <c r="CK77" s="27">
        <f t="shared" si="100"/>
        <v>0</v>
      </c>
      <c r="CL77" s="26">
        <f t="shared" si="101"/>
        <v>0</v>
      </c>
      <c r="CM77" s="26">
        <f t="shared" si="102"/>
        <v>0</v>
      </c>
      <c r="CN77" s="27">
        <f t="shared" si="103"/>
        <v>0</v>
      </c>
      <c r="CO77" s="27">
        <f t="shared" si="104"/>
        <v>0</v>
      </c>
      <c r="CP77" s="27">
        <f t="shared" si="105"/>
        <v>0</v>
      </c>
      <c r="CQ77" s="27">
        <f t="shared" si="106"/>
        <v>0</v>
      </c>
      <c r="CR77" s="24">
        <f t="shared" si="107"/>
        <v>0</v>
      </c>
      <c r="CS77" s="24">
        <f t="shared" si="108"/>
        <v>0</v>
      </c>
      <c r="CT77">
        <v>0</v>
      </c>
      <c r="CU77" s="24">
        <f t="shared" si="90"/>
        <v>0</v>
      </c>
      <c r="CV77" s="27">
        <f t="shared" si="109"/>
        <v>0</v>
      </c>
      <c r="CW77" s="27">
        <f t="shared" si="110"/>
        <v>0</v>
      </c>
      <c r="CX77" s="27">
        <f t="shared" si="111"/>
        <v>0</v>
      </c>
      <c r="CY77" s="27">
        <f t="shared" si="112"/>
        <v>0</v>
      </c>
      <c r="CZ77" s="24">
        <f t="shared" si="113"/>
        <v>0</v>
      </c>
      <c r="DA77" s="24">
        <f t="shared" si="114"/>
        <v>0</v>
      </c>
      <c r="DB77" s="27">
        <f t="shared" si="115"/>
        <v>0</v>
      </c>
      <c r="DC77" s="27">
        <f t="shared" si="116"/>
        <v>0</v>
      </c>
      <c r="DD77" s="27">
        <f t="shared" si="117"/>
        <v>0</v>
      </c>
      <c r="DE77" s="27">
        <f t="shared" si="118"/>
        <v>0</v>
      </c>
      <c r="DF77" s="24">
        <f t="shared" si="119"/>
        <v>0</v>
      </c>
      <c r="DG77" s="24">
        <f t="shared" si="120"/>
        <v>0</v>
      </c>
      <c r="DH77" s="24">
        <f t="shared" si="121"/>
        <v>0</v>
      </c>
      <c r="DI77" s="24">
        <f t="shared" si="122"/>
        <v>0</v>
      </c>
      <c r="DJ77" s="26">
        <f t="shared" si="91"/>
        <v>0</v>
      </c>
      <c r="DK77" s="26">
        <f t="shared" si="92"/>
        <v>0</v>
      </c>
      <c r="DP77" s="27"/>
      <c r="DQ77" s="27"/>
      <c r="DR77" s="27">
        <f t="shared" si="123"/>
        <v>0</v>
      </c>
      <c r="DS77" s="27">
        <f t="shared" si="124"/>
        <v>0</v>
      </c>
      <c r="DT77" s="27">
        <f t="shared" si="125"/>
        <v>0</v>
      </c>
      <c r="DU77" s="27">
        <f t="shared" si="126"/>
        <v>0</v>
      </c>
      <c r="DV77" s="27">
        <f t="shared" si="137"/>
        <v>0</v>
      </c>
      <c r="DW77" s="27">
        <f t="shared" si="138"/>
        <v>0</v>
      </c>
      <c r="DX77" s="27">
        <f t="shared" si="127"/>
        <v>0</v>
      </c>
      <c r="DY77" s="27">
        <f t="shared" si="128"/>
        <v>0</v>
      </c>
      <c r="DZ77" s="27">
        <f t="shared" si="129"/>
        <v>0</v>
      </c>
      <c r="EA77" s="27">
        <f t="shared" si="130"/>
        <v>0</v>
      </c>
      <c r="EB77" s="27">
        <f t="shared" si="139"/>
        <v>0</v>
      </c>
      <c r="EC77" s="27">
        <f t="shared" si="140"/>
        <v>0</v>
      </c>
    </row>
    <row r="78" spans="1:133" x14ac:dyDescent="0.35">
      <c r="A78" s="405"/>
      <c r="C78" s="31">
        <f t="shared" si="93"/>
        <v>74</v>
      </c>
      <c r="D78" s="32">
        <v>96544.89</v>
      </c>
      <c r="E78" s="32">
        <v>103059.17</v>
      </c>
      <c r="F78" s="72"/>
      <c r="G78" s="31">
        <f t="shared" si="94"/>
        <v>74</v>
      </c>
      <c r="H78" s="32">
        <v>172401.59</v>
      </c>
      <c r="I78" s="32">
        <v>184034.23</v>
      </c>
      <c r="AH78" s="406"/>
      <c r="BJ78" s="406"/>
      <c r="BQ78">
        <v>72</v>
      </c>
      <c r="BR78" s="26" t="e">
        <f t="shared" si="131"/>
        <v>#N/A</v>
      </c>
      <c r="BS78" s="26" t="e">
        <f t="shared" si="132"/>
        <v>#N/A</v>
      </c>
      <c r="BU78">
        <v>72</v>
      </c>
      <c r="BV78" s="26" t="e">
        <f t="shared" si="95"/>
        <v>#N/A</v>
      </c>
      <c r="BW78" s="26" t="e">
        <f t="shared" si="96"/>
        <v>#N/A</v>
      </c>
      <c r="BY78">
        <v>72</v>
      </c>
      <c r="BZ78" s="26" t="e">
        <f t="shared" si="133"/>
        <v>#N/A</v>
      </c>
      <c r="CA78" s="26" t="e">
        <f t="shared" si="134"/>
        <v>#N/A</v>
      </c>
      <c r="CC78">
        <v>72</v>
      </c>
      <c r="CD78" s="26" t="e">
        <f t="shared" si="135"/>
        <v>#N/A</v>
      </c>
      <c r="CE78" s="26" t="e">
        <f t="shared" si="136"/>
        <v>#N/A</v>
      </c>
      <c r="CG78">
        <v>72</v>
      </c>
      <c r="CH78" s="24" t="e">
        <f t="shared" si="97"/>
        <v>#N/A</v>
      </c>
      <c r="CI78" s="24" t="e">
        <f t="shared" si="98"/>
        <v>#N/A</v>
      </c>
      <c r="CJ78" s="27">
        <f t="shared" si="99"/>
        <v>0</v>
      </c>
      <c r="CK78" s="27">
        <f t="shared" si="100"/>
        <v>0</v>
      </c>
      <c r="CL78" s="26">
        <f t="shared" si="101"/>
        <v>0</v>
      </c>
      <c r="CM78" s="26">
        <f t="shared" si="102"/>
        <v>0</v>
      </c>
      <c r="CN78" s="27">
        <f t="shared" si="103"/>
        <v>0</v>
      </c>
      <c r="CO78" s="27">
        <f t="shared" si="104"/>
        <v>0</v>
      </c>
      <c r="CP78" s="27">
        <f t="shared" si="105"/>
        <v>0</v>
      </c>
      <c r="CQ78" s="27">
        <f t="shared" si="106"/>
        <v>0</v>
      </c>
      <c r="CR78" s="24">
        <f t="shared" si="107"/>
        <v>0</v>
      </c>
      <c r="CS78" s="24">
        <f t="shared" si="108"/>
        <v>0</v>
      </c>
      <c r="CT78">
        <v>0</v>
      </c>
      <c r="CU78" s="24">
        <f t="shared" si="90"/>
        <v>0</v>
      </c>
      <c r="CV78" s="27">
        <f t="shared" si="109"/>
        <v>0</v>
      </c>
      <c r="CW78" s="27">
        <f t="shared" si="110"/>
        <v>0</v>
      </c>
      <c r="CX78" s="27">
        <f t="shared" si="111"/>
        <v>0</v>
      </c>
      <c r="CY78" s="27">
        <f t="shared" si="112"/>
        <v>0</v>
      </c>
      <c r="CZ78" s="24">
        <f t="shared" si="113"/>
        <v>0</v>
      </c>
      <c r="DA78" s="24">
        <f t="shared" si="114"/>
        <v>0</v>
      </c>
      <c r="DB78" s="27">
        <f t="shared" si="115"/>
        <v>0</v>
      </c>
      <c r="DC78" s="27">
        <f t="shared" si="116"/>
        <v>0</v>
      </c>
      <c r="DD78" s="27">
        <f t="shared" si="117"/>
        <v>0</v>
      </c>
      <c r="DE78" s="27">
        <f t="shared" si="118"/>
        <v>0</v>
      </c>
      <c r="DF78" s="24">
        <f t="shared" si="119"/>
        <v>0</v>
      </c>
      <c r="DG78" s="24">
        <f t="shared" si="120"/>
        <v>0</v>
      </c>
      <c r="DH78" s="24">
        <f t="shared" si="121"/>
        <v>0</v>
      </c>
      <c r="DI78" s="24">
        <f t="shared" si="122"/>
        <v>0</v>
      </c>
      <c r="DJ78" s="26">
        <f t="shared" si="91"/>
        <v>0</v>
      </c>
      <c r="DK78" s="26">
        <f t="shared" si="92"/>
        <v>0</v>
      </c>
      <c r="DP78" s="27"/>
      <c r="DQ78" s="27"/>
      <c r="DR78" s="27">
        <f t="shared" si="123"/>
        <v>0</v>
      </c>
      <c r="DS78" s="27">
        <f t="shared" si="124"/>
        <v>0</v>
      </c>
      <c r="DT78" s="27">
        <f t="shared" si="125"/>
        <v>0</v>
      </c>
      <c r="DU78" s="27">
        <f t="shared" si="126"/>
        <v>0</v>
      </c>
      <c r="DV78" s="27">
        <f t="shared" si="137"/>
        <v>0</v>
      </c>
      <c r="DW78" s="27">
        <f t="shared" si="138"/>
        <v>0</v>
      </c>
      <c r="DX78" s="27">
        <f t="shared" si="127"/>
        <v>0</v>
      </c>
      <c r="DY78" s="27">
        <f t="shared" si="128"/>
        <v>0</v>
      </c>
      <c r="DZ78" s="27">
        <f t="shared" si="129"/>
        <v>0</v>
      </c>
      <c r="EA78" s="27">
        <f t="shared" si="130"/>
        <v>0</v>
      </c>
      <c r="EB78" s="27">
        <f t="shared" si="139"/>
        <v>0</v>
      </c>
      <c r="EC78" s="27">
        <f t="shared" si="140"/>
        <v>0</v>
      </c>
    </row>
    <row r="79" spans="1:133" x14ac:dyDescent="0.35">
      <c r="A79" s="405"/>
      <c r="C79" s="31">
        <f t="shared" si="93"/>
        <v>75</v>
      </c>
      <c r="D79" s="32">
        <v>97318.94</v>
      </c>
      <c r="E79" s="32">
        <v>103885.44</v>
      </c>
      <c r="F79" s="72"/>
      <c r="G79" s="31">
        <f t="shared" si="94"/>
        <v>75</v>
      </c>
      <c r="H79" s="32">
        <v>173783.82</v>
      </c>
      <c r="I79" s="32">
        <v>185509.71</v>
      </c>
      <c r="AH79" s="406"/>
      <c r="BJ79" s="406"/>
      <c r="BQ79">
        <v>73</v>
      </c>
      <c r="BR79" s="26" t="e">
        <f t="shared" si="131"/>
        <v>#N/A</v>
      </c>
      <c r="BS79" s="26" t="e">
        <f t="shared" si="132"/>
        <v>#N/A</v>
      </c>
      <c r="BU79">
        <v>73</v>
      </c>
      <c r="BV79" s="26" t="e">
        <f t="shared" si="95"/>
        <v>#N/A</v>
      </c>
      <c r="BW79" s="26" t="e">
        <f t="shared" si="96"/>
        <v>#N/A</v>
      </c>
      <c r="BY79">
        <v>73</v>
      </c>
      <c r="BZ79" s="26" t="e">
        <f t="shared" si="133"/>
        <v>#N/A</v>
      </c>
      <c r="CA79" s="26" t="e">
        <f t="shared" si="134"/>
        <v>#N/A</v>
      </c>
      <c r="CC79">
        <v>73</v>
      </c>
      <c r="CD79" s="26" t="e">
        <f t="shared" si="135"/>
        <v>#N/A</v>
      </c>
      <c r="CE79" s="26" t="e">
        <f t="shared" si="136"/>
        <v>#N/A</v>
      </c>
      <c r="CG79">
        <v>73</v>
      </c>
      <c r="CH79" s="24" t="e">
        <f t="shared" si="97"/>
        <v>#N/A</v>
      </c>
      <c r="CI79" s="24" t="e">
        <f t="shared" si="98"/>
        <v>#N/A</v>
      </c>
      <c r="CJ79" s="27">
        <f t="shared" si="99"/>
        <v>0</v>
      </c>
      <c r="CK79" s="27">
        <f t="shared" si="100"/>
        <v>0</v>
      </c>
      <c r="CL79" s="26">
        <f t="shared" si="101"/>
        <v>0</v>
      </c>
      <c r="CM79" s="26">
        <f t="shared" si="102"/>
        <v>0</v>
      </c>
      <c r="CN79" s="27">
        <f t="shared" si="103"/>
        <v>0</v>
      </c>
      <c r="CO79" s="27">
        <f t="shared" si="104"/>
        <v>0</v>
      </c>
      <c r="CP79" s="27">
        <f t="shared" si="105"/>
        <v>0</v>
      </c>
      <c r="CQ79" s="27">
        <f t="shared" si="106"/>
        <v>0</v>
      </c>
      <c r="CR79" s="24">
        <f t="shared" si="107"/>
        <v>0</v>
      </c>
      <c r="CS79" s="24">
        <f t="shared" si="108"/>
        <v>0</v>
      </c>
      <c r="CT79">
        <v>0</v>
      </c>
      <c r="CU79" s="24">
        <f t="shared" si="90"/>
        <v>0</v>
      </c>
      <c r="CV79" s="27">
        <f t="shared" si="109"/>
        <v>0</v>
      </c>
      <c r="CW79" s="27">
        <f t="shared" si="110"/>
        <v>0</v>
      </c>
      <c r="CX79" s="27">
        <f t="shared" si="111"/>
        <v>0</v>
      </c>
      <c r="CY79" s="27">
        <f t="shared" si="112"/>
        <v>0</v>
      </c>
      <c r="CZ79" s="24">
        <f t="shared" si="113"/>
        <v>0</v>
      </c>
      <c r="DA79" s="24">
        <f t="shared" si="114"/>
        <v>0</v>
      </c>
      <c r="DB79" s="27">
        <f t="shared" si="115"/>
        <v>0</v>
      </c>
      <c r="DC79" s="27">
        <f t="shared" si="116"/>
        <v>0</v>
      </c>
      <c r="DD79" s="27">
        <f t="shared" si="117"/>
        <v>0</v>
      </c>
      <c r="DE79" s="27">
        <f t="shared" si="118"/>
        <v>0</v>
      </c>
      <c r="DF79" s="24">
        <f t="shared" si="119"/>
        <v>0</v>
      </c>
      <c r="DG79" s="24">
        <f t="shared" si="120"/>
        <v>0</v>
      </c>
      <c r="DH79" s="24">
        <f t="shared" si="121"/>
        <v>0</v>
      </c>
      <c r="DI79" s="24">
        <f t="shared" si="122"/>
        <v>0</v>
      </c>
      <c r="DJ79" s="26">
        <f t="shared" si="91"/>
        <v>0</v>
      </c>
      <c r="DK79" s="26">
        <f t="shared" si="92"/>
        <v>0</v>
      </c>
      <c r="DP79" s="27"/>
      <c r="DQ79" s="27"/>
      <c r="DR79" s="27">
        <f t="shared" si="123"/>
        <v>0</v>
      </c>
      <c r="DS79" s="27">
        <f t="shared" si="124"/>
        <v>0</v>
      </c>
      <c r="DT79" s="27">
        <f t="shared" si="125"/>
        <v>0</v>
      </c>
      <c r="DU79" s="27">
        <f t="shared" si="126"/>
        <v>0</v>
      </c>
      <c r="DV79" s="27">
        <f t="shared" si="137"/>
        <v>0</v>
      </c>
      <c r="DW79" s="27">
        <f t="shared" si="138"/>
        <v>0</v>
      </c>
      <c r="DX79" s="27">
        <f t="shared" si="127"/>
        <v>0</v>
      </c>
      <c r="DY79" s="27">
        <f t="shared" si="128"/>
        <v>0</v>
      </c>
      <c r="DZ79" s="27">
        <f t="shared" si="129"/>
        <v>0</v>
      </c>
      <c r="EA79" s="27">
        <f t="shared" si="130"/>
        <v>0</v>
      </c>
      <c r="EB79" s="27">
        <f t="shared" si="139"/>
        <v>0</v>
      </c>
      <c r="EC79" s="27">
        <f t="shared" si="140"/>
        <v>0</v>
      </c>
    </row>
    <row r="80" spans="1:133" x14ac:dyDescent="0.35">
      <c r="A80" s="405"/>
      <c r="C80" s="31">
        <f t="shared" si="93"/>
        <v>76</v>
      </c>
      <c r="D80" s="32">
        <v>98099.19</v>
      </c>
      <c r="E80" s="32">
        <v>104718.34</v>
      </c>
      <c r="F80" s="72"/>
      <c r="G80" s="31">
        <f t="shared" si="94"/>
        <v>76</v>
      </c>
      <c r="H80" s="32">
        <v>175177.13</v>
      </c>
      <c r="I80" s="32">
        <v>186997.04</v>
      </c>
      <c r="AH80" s="406"/>
      <c r="BJ80" s="406"/>
      <c r="BQ80">
        <v>74</v>
      </c>
      <c r="BR80" s="26" t="e">
        <f t="shared" si="131"/>
        <v>#N/A</v>
      </c>
      <c r="BS80" s="26" t="e">
        <f t="shared" si="132"/>
        <v>#N/A</v>
      </c>
      <c r="BU80">
        <v>74</v>
      </c>
      <c r="BV80" s="26" t="e">
        <f t="shared" si="95"/>
        <v>#N/A</v>
      </c>
      <c r="BW80" s="26" t="e">
        <f t="shared" si="96"/>
        <v>#N/A</v>
      </c>
      <c r="BY80">
        <v>74</v>
      </c>
      <c r="BZ80" s="26" t="e">
        <f t="shared" si="133"/>
        <v>#N/A</v>
      </c>
      <c r="CA80" s="26" t="e">
        <f t="shared" si="134"/>
        <v>#N/A</v>
      </c>
      <c r="CC80">
        <v>74</v>
      </c>
      <c r="CD80" s="26" t="e">
        <f t="shared" si="135"/>
        <v>#N/A</v>
      </c>
      <c r="CE80" s="26" t="e">
        <f t="shared" si="136"/>
        <v>#N/A</v>
      </c>
      <c r="CG80">
        <v>74</v>
      </c>
      <c r="CH80" s="24" t="e">
        <f t="shared" si="97"/>
        <v>#N/A</v>
      </c>
      <c r="CI80" s="24" t="e">
        <f t="shared" si="98"/>
        <v>#N/A</v>
      </c>
      <c r="CJ80" s="27">
        <f t="shared" si="99"/>
        <v>0</v>
      </c>
      <c r="CK80" s="27">
        <f t="shared" si="100"/>
        <v>0</v>
      </c>
      <c r="CL80" s="26">
        <f t="shared" si="101"/>
        <v>0</v>
      </c>
      <c r="CM80" s="26">
        <f t="shared" si="102"/>
        <v>0</v>
      </c>
      <c r="CN80" s="27">
        <f t="shared" si="103"/>
        <v>0</v>
      </c>
      <c r="CO80" s="27">
        <f t="shared" si="104"/>
        <v>0</v>
      </c>
      <c r="CP80" s="27">
        <f t="shared" si="105"/>
        <v>0</v>
      </c>
      <c r="CQ80" s="27">
        <f t="shared" si="106"/>
        <v>0</v>
      </c>
      <c r="CR80" s="24">
        <f t="shared" si="107"/>
        <v>0</v>
      </c>
      <c r="CS80" s="24">
        <f t="shared" si="108"/>
        <v>0</v>
      </c>
      <c r="CT80">
        <v>0</v>
      </c>
      <c r="CU80" s="24">
        <f t="shared" si="90"/>
        <v>0</v>
      </c>
      <c r="CV80" s="27">
        <f t="shared" si="109"/>
        <v>0</v>
      </c>
      <c r="CW80" s="27">
        <f t="shared" si="110"/>
        <v>0</v>
      </c>
      <c r="CX80" s="27">
        <f t="shared" si="111"/>
        <v>0</v>
      </c>
      <c r="CY80" s="27">
        <f t="shared" si="112"/>
        <v>0</v>
      </c>
      <c r="CZ80" s="24">
        <f t="shared" si="113"/>
        <v>0</v>
      </c>
      <c r="DA80" s="24">
        <f t="shared" si="114"/>
        <v>0</v>
      </c>
      <c r="DB80" s="27">
        <f t="shared" si="115"/>
        <v>0</v>
      </c>
      <c r="DC80" s="27">
        <f t="shared" si="116"/>
        <v>0</v>
      </c>
      <c r="DD80" s="27">
        <f t="shared" si="117"/>
        <v>0</v>
      </c>
      <c r="DE80" s="27">
        <f t="shared" si="118"/>
        <v>0</v>
      </c>
      <c r="DF80" s="24">
        <f t="shared" si="119"/>
        <v>0</v>
      </c>
      <c r="DG80" s="24">
        <f t="shared" si="120"/>
        <v>0</v>
      </c>
      <c r="DH80" s="24">
        <f t="shared" si="121"/>
        <v>0</v>
      </c>
      <c r="DI80" s="24">
        <f t="shared" si="122"/>
        <v>0</v>
      </c>
      <c r="DJ80" s="26">
        <f t="shared" si="91"/>
        <v>0</v>
      </c>
      <c r="DK80" s="26">
        <f t="shared" si="92"/>
        <v>0</v>
      </c>
      <c r="DP80" s="27"/>
      <c r="DQ80" s="27"/>
      <c r="DR80" s="27">
        <f t="shared" si="123"/>
        <v>0</v>
      </c>
      <c r="DS80" s="27">
        <f t="shared" si="124"/>
        <v>0</v>
      </c>
      <c r="DT80" s="27">
        <f t="shared" si="125"/>
        <v>0</v>
      </c>
      <c r="DU80" s="27">
        <f t="shared" si="126"/>
        <v>0</v>
      </c>
      <c r="DV80" s="27">
        <f t="shared" si="137"/>
        <v>0</v>
      </c>
      <c r="DW80" s="27">
        <f t="shared" si="138"/>
        <v>0</v>
      </c>
      <c r="DX80" s="27">
        <f t="shared" si="127"/>
        <v>0</v>
      </c>
      <c r="DY80" s="27">
        <f t="shared" si="128"/>
        <v>0</v>
      </c>
      <c r="DZ80" s="27">
        <f t="shared" si="129"/>
        <v>0</v>
      </c>
      <c r="EA80" s="27">
        <f t="shared" si="130"/>
        <v>0</v>
      </c>
      <c r="EB80" s="27">
        <f t="shared" si="139"/>
        <v>0</v>
      </c>
      <c r="EC80" s="27">
        <f t="shared" si="140"/>
        <v>0</v>
      </c>
    </row>
    <row r="81" spans="3:133" x14ac:dyDescent="0.35">
      <c r="C81" s="31">
        <f t="shared" si="93"/>
        <v>77</v>
      </c>
      <c r="D81" s="32">
        <v>98885.7</v>
      </c>
      <c r="E81" s="32">
        <v>105557.91</v>
      </c>
      <c r="F81" s="72"/>
      <c r="G81" s="31">
        <f t="shared" si="94"/>
        <v>77</v>
      </c>
      <c r="H81" s="32">
        <v>176581.61</v>
      </c>
      <c r="I81" s="32">
        <v>188496.27</v>
      </c>
      <c r="BQ81">
        <v>75</v>
      </c>
      <c r="BR81" s="26" t="e">
        <f t="shared" si="131"/>
        <v>#N/A</v>
      </c>
      <c r="BS81" s="26" t="e">
        <f t="shared" si="132"/>
        <v>#N/A</v>
      </c>
      <c r="BU81">
        <v>75</v>
      </c>
      <c r="BV81" s="26" t="e">
        <f t="shared" si="95"/>
        <v>#N/A</v>
      </c>
      <c r="BW81" s="26" t="e">
        <f t="shared" si="96"/>
        <v>#N/A</v>
      </c>
      <c r="BY81">
        <v>75</v>
      </c>
      <c r="BZ81" s="26" t="e">
        <f t="shared" si="133"/>
        <v>#N/A</v>
      </c>
      <c r="CA81" s="26" t="e">
        <f t="shared" si="134"/>
        <v>#N/A</v>
      </c>
      <c r="CC81">
        <v>75</v>
      </c>
      <c r="CD81" s="26" t="e">
        <f t="shared" si="135"/>
        <v>#N/A</v>
      </c>
      <c r="CE81" s="26" t="e">
        <f t="shared" si="136"/>
        <v>#N/A</v>
      </c>
      <c r="CG81">
        <v>75</v>
      </c>
      <c r="CH81" s="24" t="e">
        <f t="shared" si="97"/>
        <v>#N/A</v>
      </c>
      <c r="CI81" s="24" t="e">
        <f t="shared" si="98"/>
        <v>#N/A</v>
      </c>
      <c r="CJ81" s="27">
        <f t="shared" si="99"/>
        <v>0</v>
      </c>
      <c r="CK81" s="27">
        <f t="shared" si="100"/>
        <v>0</v>
      </c>
      <c r="CL81" s="26">
        <f t="shared" si="101"/>
        <v>0</v>
      </c>
      <c r="CM81" s="26">
        <f t="shared" si="102"/>
        <v>0</v>
      </c>
      <c r="CN81" s="27">
        <f t="shared" si="103"/>
        <v>0</v>
      </c>
      <c r="CO81" s="27">
        <f t="shared" si="104"/>
        <v>0</v>
      </c>
      <c r="CP81" s="27">
        <f t="shared" si="105"/>
        <v>0</v>
      </c>
      <c r="CQ81" s="27">
        <f t="shared" si="106"/>
        <v>0</v>
      </c>
      <c r="CR81" s="24">
        <f t="shared" si="107"/>
        <v>0</v>
      </c>
      <c r="CS81" s="24">
        <f t="shared" si="108"/>
        <v>0</v>
      </c>
      <c r="CT81">
        <v>0</v>
      </c>
      <c r="CU81" s="24">
        <f t="shared" si="90"/>
        <v>0</v>
      </c>
      <c r="CV81" s="27">
        <f t="shared" si="109"/>
        <v>0</v>
      </c>
      <c r="CW81" s="27">
        <f t="shared" si="110"/>
        <v>0</v>
      </c>
      <c r="CX81" s="27">
        <f t="shared" si="111"/>
        <v>0</v>
      </c>
      <c r="CY81" s="27">
        <f t="shared" si="112"/>
        <v>0</v>
      </c>
      <c r="CZ81" s="24">
        <f t="shared" si="113"/>
        <v>0</v>
      </c>
      <c r="DA81" s="24">
        <f t="shared" si="114"/>
        <v>0</v>
      </c>
      <c r="DB81" s="27">
        <f t="shared" si="115"/>
        <v>0</v>
      </c>
      <c r="DC81" s="27">
        <f t="shared" si="116"/>
        <v>0</v>
      </c>
      <c r="DD81" s="27">
        <f t="shared" si="117"/>
        <v>0</v>
      </c>
      <c r="DE81" s="27">
        <f t="shared" si="118"/>
        <v>0</v>
      </c>
      <c r="DF81" s="24">
        <f t="shared" si="119"/>
        <v>0</v>
      </c>
      <c r="DG81" s="24">
        <f t="shared" si="120"/>
        <v>0</v>
      </c>
      <c r="DH81" s="24">
        <f t="shared" si="121"/>
        <v>0</v>
      </c>
      <c r="DI81" s="24">
        <f t="shared" si="122"/>
        <v>0</v>
      </c>
      <c r="DJ81" s="26">
        <f t="shared" si="91"/>
        <v>0</v>
      </c>
      <c r="DK81" s="26">
        <f t="shared" si="92"/>
        <v>0</v>
      </c>
      <c r="DP81" s="27"/>
      <c r="DQ81" s="27"/>
      <c r="DR81" s="27">
        <f t="shared" si="123"/>
        <v>0</v>
      </c>
      <c r="DS81" s="27">
        <f t="shared" si="124"/>
        <v>0</v>
      </c>
      <c r="DT81" s="27">
        <f t="shared" si="125"/>
        <v>0</v>
      </c>
      <c r="DU81" s="27">
        <f t="shared" si="126"/>
        <v>0</v>
      </c>
      <c r="DV81" s="27">
        <f t="shared" si="137"/>
        <v>0</v>
      </c>
      <c r="DW81" s="27">
        <f t="shared" si="138"/>
        <v>0</v>
      </c>
      <c r="DX81" s="27">
        <f t="shared" si="127"/>
        <v>0</v>
      </c>
      <c r="DY81" s="27">
        <f t="shared" si="128"/>
        <v>0</v>
      </c>
      <c r="DZ81" s="27">
        <f t="shared" si="129"/>
        <v>0</v>
      </c>
      <c r="EA81" s="27">
        <f t="shared" si="130"/>
        <v>0</v>
      </c>
      <c r="EB81" s="27">
        <f t="shared" si="139"/>
        <v>0</v>
      </c>
      <c r="EC81" s="27">
        <f t="shared" si="140"/>
        <v>0</v>
      </c>
    </row>
    <row r="82" spans="3:133" x14ac:dyDescent="0.35">
      <c r="C82" s="31">
        <f t="shared" si="93"/>
        <v>78</v>
      </c>
      <c r="D82" s="32">
        <v>99678.51</v>
      </c>
      <c r="E82" s="32">
        <v>106404.22</v>
      </c>
      <c r="F82" s="72"/>
      <c r="G82" s="31">
        <f t="shared" si="94"/>
        <v>78</v>
      </c>
      <c r="H82" s="32">
        <v>177997.34</v>
      </c>
      <c r="I82" s="32">
        <v>190007.54</v>
      </c>
      <c r="BQ82">
        <v>76</v>
      </c>
      <c r="BR82" s="26" t="e">
        <f t="shared" si="131"/>
        <v>#N/A</v>
      </c>
      <c r="BS82" s="26" t="e">
        <f t="shared" si="132"/>
        <v>#N/A</v>
      </c>
      <c r="BU82">
        <v>76</v>
      </c>
      <c r="BV82" s="26" t="e">
        <f t="shared" si="95"/>
        <v>#N/A</v>
      </c>
      <c r="BW82" s="26" t="e">
        <f t="shared" si="96"/>
        <v>#N/A</v>
      </c>
      <c r="BY82">
        <v>76</v>
      </c>
      <c r="BZ82" s="26" t="e">
        <f t="shared" si="133"/>
        <v>#N/A</v>
      </c>
      <c r="CA82" s="26" t="e">
        <f t="shared" si="134"/>
        <v>#N/A</v>
      </c>
      <c r="CC82">
        <v>76</v>
      </c>
      <c r="CD82" s="26" t="e">
        <f t="shared" si="135"/>
        <v>#N/A</v>
      </c>
      <c r="CE82" s="26" t="e">
        <f t="shared" si="136"/>
        <v>#N/A</v>
      </c>
      <c r="CG82">
        <v>76</v>
      </c>
      <c r="CH82" s="24" t="e">
        <f t="shared" si="97"/>
        <v>#N/A</v>
      </c>
      <c r="CI82" s="24" t="e">
        <f t="shared" si="98"/>
        <v>#N/A</v>
      </c>
      <c r="CJ82" s="27">
        <f t="shared" si="99"/>
        <v>0</v>
      </c>
      <c r="CK82" s="27">
        <f t="shared" si="100"/>
        <v>0</v>
      </c>
      <c r="CL82" s="26">
        <f t="shared" si="101"/>
        <v>0</v>
      </c>
      <c r="CM82" s="26">
        <f t="shared" si="102"/>
        <v>0</v>
      </c>
      <c r="CN82" s="27">
        <f t="shared" si="103"/>
        <v>0</v>
      </c>
      <c r="CO82" s="27">
        <f t="shared" si="104"/>
        <v>0</v>
      </c>
      <c r="CP82" s="27">
        <f t="shared" si="105"/>
        <v>0</v>
      </c>
      <c r="CQ82" s="27">
        <f t="shared" si="106"/>
        <v>0</v>
      </c>
      <c r="CR82" s="24">
        <f t="shared" si="107"/>
        <v>0</v>
      </c>
      <c r="CS82" s="24">
        <f t="shared" si="108"/>
        <v>0</v>
      </c>
      <c r="CT82">
        <v>0</v>
      </c>
      <c r="CU82" s="24">
        <f t="shared" si="90"/>
        <v>0</v>
      </c>
      <c r="CV82" s="27">
        <f t="shared" si="109"/>
        <v>0</v>
      </c>
      <c r="CW82" s="27">
        <f t="shared" si="110"/>
        <v>0</v>
      </c>
      <c r="CX82" s="27">
        <f t="shared" si="111"/>
        <v>0</v>
      </c>
      <c r="CY82" s="27">
        <f t="shared" si="112"/>
        <v>0</v>
      </c>
      <c r="CZ82" s="24">
        <f t="shared" si="113"/>
        <v>0</v>
      </c>
      <c r="DA82" s="24">
        <f t="shared" si="114"/>
        <v>0</v>
      </c>
      <c r="DB82" s="27">
        <f t="shared" si="115"/>
        <v>0</v>
      </c>
      <c r="DC82" s="27">
        <f t="shared" si="116"/>
        <v>0</v>
      </c>
      <c r="DD82" s="27">
        <f t="shared" si="117"/>
        <v>0</v>
      </c>
      <c r="DE82" s="27">
        <f t="shared" si="118"/>
        <v>0</v>
      </c>
      <c r="DF82" s="24">
        <f t="shared" si="119"/>
        <v>0</v>
      </c>
      <c r="DG82" s="24">
        <f t="shared" si="120"/>
        <v>0</v>
      </c>
      <c r="DH82" s="24">
        <f t="shared" si="121"/>
        <v>0</v>
      </c>
      <c r="DI82" s="24">
        <f t="shared" si="122"/>
        <v>0</v>
      </c>
      <c r="DJ82" s="26">
        <f t="shared" si="91"/>
        <v>0</v>
      </c>
      <c r="DK82" s="26">
        <f t="shared" si="92"/>
        <v>0</v>
      </c>
      <c r="DP82" s="27"/>
      <c r="DQ82" s="27"/>
      <c r="DR82" s="27">
        <f t="shared" si="123"/>
        <v>0</v>
      </c>
      <c r="DS82" s="27">
        <f t="shared" si="124"/>
        <v>0</v>
      </c>
      <c r="DT82" s="27">
        <f t="shared" si="125"/>
        <v>0</v>
      </c>
      <c r="DU82" s="27">
        <f t="shared" si="126"/>
        <v>0</v>
      </c>
      <c r="DV82" s="27">
        <f t="shared" si="137"/>
        <v>0</v>
      </c>
      <c r="DW82" s="27">
        <f t="shared" si="138"/>
        <v>0</v>
      </c>
      <c r="DX82" s="27">
        <f t="shared" si="127"/>
        <v>0</v>
      </c>
      <c r="DY82" s="27">
        <f t="shared" si="128"/>
        <v>0</v>
      </c>
      <c r="DZ82" s="27">
        <f t="shared" si="129"/>
        <v>0</v>
      </c>
      <c r="EA82" s="27">
        <f t="shared" si="130"/>
        <v>0</v>
      </c>
      <c r="EB82" s="27">
        <f t="shared" si="139"/>
        <v>0</v>
      </c>
      <c r="EC82" s="27">
        <f t="shared" si="140"/>
        <v>0</v>
      </c>
    </row>
    <row r="83" spans="3:133" x14ac:dyDescent="0.35">
      <c r="C83" s="31">
        <f t="shared" si="93"/>
        <v>79</v>
      </c>
      <c r="D83" s="32">
        <v>100477.68</v>
      </c>
      <c r="E83" s="32">
        <v>107257.32</v>
      </c>
      <c r="F83" s="72"/>
      <c r="G83" s="31">
        <f t="shared" si="94"/>
        <v>79</v>
      </c>
      <c r="H83" s="32">
        <v>179424.43</v>
      </c>
      <c r="I83" s="32">
        <v>191530.93</v>
      </c>
      <c r="BQ83">
        <v>77</v>
      </c>
      <c r="BR83" s="26" t="e">
        <f t="shared" si="131"/>
        <v>#N/A</v>
      </c>
      <c r="BS83" s="26" t="e">
        <f t="shared" si="132"/>
        <v>#N/A</v>
      </c>
      <c r="BU83">
        <v>77</v>
      </c>
      <c r="BV83" s="26" t="e">
        <f t="shared" si="95"/>
        <v>#N/A</v>
      </c>
      <c r="BW83" s="26" t="e">
        <f t="shared" si="96"/>
        <v>#N/A</v>
      </c>
      <c r="BY83">
        <v>77</v>
      </c>
      <c r="BZ83" s="26" t="e">
        <f t="shared" si="133"/>
        <v>#N/A</v>
      </c>
      <c r="CA83" s="26" t="e">
        <f t="shared" si="134"/>
        <v>#N/A</v>
      </c>
      <c r="CC83">
        <v>77</v>
      </c>
      <c r="CD83" s="26" t="e">
        <f t="shared" si="135"/>
        <v>#N/A</v>
      </c>
      <c r="CE83" s="26" t="e">
        <f t="shared" si="136"/>
        <v>#N/A</v>
      </c>
      <c r="CG83">
        <v>77</v>
      </c>
      <c r="CH83" s="24" t="e">
        <f t="shared" si="97"/>
        <v>#N/A</v>
      </c>
      <c r="CI83" s="24" t="e">
        <f t="shared" si="98"/>
        <v>#N/A</v>
      </c>
      <c r="CJ83" s="27">
        <f t="shared" si="99"/>
        <v>0</v>
      </c>
      <c r="CK83" s="27">
        <f t="shared" si="100"/>
        <v>0</v>
      </c>
      <c r="CL83" s="26">
        <f t="shared" si="101"/>
        <v>0</v>
      </c>
      <c r="CM83" s="26">
        <f t="shared" si="102"/>
        <v>0</v>
      </c>
      <c r="CN83" s="27">
        <f t="shared" si="103"/>
        <v>0</v>
      </c>
      <c r="CO83" s="27">
        <f t="shared" si="104"/>
        <v>0</v>
      </c>
      <c r="CP83" s="27">
        <f t="shared" si="105"/>
        <v>0</v>
      </c>
      <c r="CQ83" s="27">
        <f t="shared" si="106"/>
        <v>0</v>
      </c>
      <c r="CR83" s="24">
        <f t="shared" si="107"/>
        <v>0</v>
      </c>
      <c r="CS83" s="24">
        <f t="shared" si="108"/>
        <v>0</v>
      </c>
      <c r="CT83">
        <v>0</v>
      </c>
      <c r="CU83" s="24">
        <f t="shared" si="90"/>
        <v>0</v>
      </c>
      <c r="CV83" s="27">
        <f t="shared" si="109"/>
        <v>0</v>
      </c>
      <c r="CW83" s="27">
        <f t="shared" si="110"/>
        <v>0</v>
      </c>
      <c r="CX83" s="27">
        <f t="shared" si="111"/>
        <v>0</v>
      </c>
      <c r="CY83" s="27">
        <f t="shared" si="112"/>
        <v>0</v>
      </c>
      <c r="CZ83" s="24">
        <f t="shared" si="113"/>
        <v>0</v>
      </c>
      <c r="DA83" s="24">
        <f t="shared" si="114"/>
        <v>0</v>
      </c>
      <c r="DB83" s="27">
        <f t="shared" si="115"/>
        <v>0</v>
      </c>
      <c r="DC83" s="27">
        <f t="shared" si="116"/>
        <v>0</v>
      </c>
      <c r="DD83" s="27">
        <f t="shared" si="117"/>
        <v>0</v>
      </c>
      <c r="DE83" s="27">
        <f t="shared" si="118"/>
        <v>0</v>
      </c>
      <c r="DF83" s="24">
        <f t="shared" si="119"/>
        <v>0</v>
      </c>
      <c r="DG83" s="24">
        <f t="shared" si="120"/>
        <v>0</v>
      </c>
      <c r="DH83" s="24">
        <f t="shared" si="121"/>
        <v>0</v>
      </c>
      <c r="DI83" s="24">
        <f t="shared" si="122"/>
        <v>0</v>
      </c>
      <c r="DJ83" s="26">
        <f t="shared" si="91"/>
        <v>0</v>
      </c>
      <c r="DK83" s="26">
        <f t="shared" si="92"/>
        <v>0</v>
      </c>
      <c r="DP83" s="27"/>
      <c r="DQ83" s="27"/>
      <c r="DR83" s="27">
        <f t="shared" si="123"/>
        <v>0</v>
      </c>
      <c r="DS83" s="27">
        <f t="shared" si="124"/>
        <v>0</v>
      </c>
      <c r="DT83" s="27">
        <f t="shared" si="125"/>
        <v>0</v>
      </c>
      <c r="DU83" s="27">
        <f t="shared" si="126"/>
        <v>0</v>
      </c>
      <c r="DV83" s="27">
        <f t="shared" si="137"/>
        <v>0</v>
      </c>
      <c r="DW83" s="27">
        <f t="shared" si="138"/>
        <v>0</v>
      </c>
      <c r="DX83" s="27">
        <f t="shared" si="127"/>
        <v>0</v>
      </c>
      <c r="DY83" s="27">
        <f t="shared" si="128"/>
        <v>0</v>
      </c>
      <c r="DZ83" s="27">
        <f t="shared" si="129"/>
        <v>0</v>
      </c>
      <c r="EA83" s="27">
        <f t="shared" si="130"/>
        <v>0</v>
      </c>
      <c r="EB83" s="27">
        <f t="shared" si="139"/>
        <v>0</v>
      </c>
      <c r="EC83" s="27">
        <f t="shared" si="140"/>
        <v>0</v>
      </c>
    </row>
    <row r="84" spans="3:133" x14ac:dyDescent="0.35">
      <c r="C84" s="31">
        <f t="shared" si="93"/>
        <v>80</v>
      </c>
      <c r="D84" s="32">
        <v>101283.26</v>
      </c>
      <c r="E84" s="32">
        <v>108117.25</v>
      </c>
      <c r="F84" s="72"/>
      <c r="G84" s="31">
        <f t="shared" si="94"/>
        <v>80</v>
      </c>
      <c r="H84" s="32">
        <v>180862.96</v>
      </c>
      <c r="I84" s="32">
        <v>193066.52</v>
      </c>
      <c r="BQ84">
        <v>78</v>
      </c>
      <c r="BR84" s="26" t="e">
        <f t="shared" si="131"/>
        <v>#N/A</v>
      </c>
      <c r="BS84" s="26" t="e">
        <f t="shared" si="132"/>
        <v>#N/A</v>
      </c>
      <c r="BU84">
        <v>78</v>
      </c>
      <c r="BV84" s="26" t="e">
        <f t="shared" si="95"/>
        <v>#N/A</v>
      </c>
      <c r="BW84" s="26" t="e">
        <f t="shared" si="96"/>
        <v>#N/A</v>
      </c>
      <c r="BY84">
        <v>78</v>
      </c>
      <c r="BZ84" s="26" t="e">
        <f t="shared" si="133"/>
        <v>#N/A</v>
      </c>
      <c r="CA84" s="26" t="e">
        <f t="shared" si="134"/>
        <v>#N/A</v>
      </c>
      <c r="CC84">
        <v>78</v>
      </c>
      <c r="CD84" s="26" t="e">
        <f t="shared" si="135"/>
        <v>#N/A</v>
      </c>
      <c r="CE84" s="26" t="e">
        <f t="shared" si="136"/>
        <v>#N/A</v>
      </c>
      <c r="CG84">
        <v>78</v>
      </c>
      <c r="CH84" s="24" t="e">
        <f t="shared" si="97"/>
        <v>#N/A</v>
      </c>
      <c r="CI84" s="24" t="e">
        <f t="shared" si="98"/>
        <v>#N/A</v>
      </c>
      <c r="CJ84" s="27">
        <f t="shared" si="99"/>
        <v>0</v>
      </c>
      <c r="CK84" s="27">
        <f t="shared" si="100"/>
        <v>0</v>
      </c>
      <c r="CL84" s="26">
        <f t="shared" si="101"/>
        <v>0</v>
      </c>
      <c r="CM84" s="26">
        <f t="shared" si="102"/>
        <v>0</v>
      </c>
      <c r="CN84" s="27">
        <f t="shared" si="103"/>
        <v>0</v>
      </c>
      <c r="CO84" s="27">
        <f t="shared" si="104"/>
        <v>0</v>
      </c>
      <c r="CP84" s="27">
        <f t="shared" si="105"/>
        <v>0</v>
      </c>
      <c r="CQ84" s="27">
        <f t="shared" si="106"/>
        <v>0</v>
      </c>
      <c r="CR84" s="24">
        <f t="shared" si="107"/>
        <v>0</v>
      </c>
      <c r="CS84" s="24">
        <f t="shared" si="108"/>
        <v>0</v>
      </c>
      <c r="CT84">
        <v>0</v>
      </c>
      <c r="CU84" s="24">
        <f t="shared" si="90"/>
        <v>0</v>
      </c>
      <c r="CV84" s="27">
        <f t="shared" si="109"/>
        <v>0</v>
      </c>
      <c r="CW84" s="27">
        <f t="shared" si="110"/>
        <v>0</v>
      </c>
      <c r="CX84" s="27">
        <f t="shared" si="111"/>
        <v>0</v>
      </c>
      <c r="CY84" s="27">
        <f t="shared" si="112"/>
        <v>0</v>
      </c>
      <c r="CZ84" s="24">
        <f t="shared" si="113"/>
        <v>0</v>
      </c>
      <c r="DA84" s="24">
        <f t="shared" si="114"/>
        <v>0</v>
      </c>
      <c r="DB84" s="27">
        <f t="shared" si="115"/>
        <v>0</v>
      </c>
      <c r="DC84" s="27">
        <f t="shared" si="116"/>
        <v>0</v>
      </c>
      <c r="DD84" s="27">
        <f t="shared" si="117"/>
        <v>0</v>
      </c>
      <c r="DE84" s="27">
        <f t="shared" si="118"/>
        <v>0</v>
      </c>
      <c r="DF84" s="24">
        <f t="shared" si="119"/>
        <v>0</v>
      </c>
      <c r="DG84" s="24">
        <f t="shared" si="120"/>
        <v>0</v>
      </c>
      <c r="DH84" s="24">
        <f t="shared" si="121"/>
        <v>0</v>
      </c>
      <c r="DI84" s="24">
        <f t="shared" si="122"/>
        <v>0</v>
      </c>
      <c r="DJ84" s="26">
        <f t="shared" si="91"/>
        <v>0</v>
      </c>
      <c r="DK84" s="26">
        <f t="shared" si="92"/>
        <v>0</v>
      </c>
      <c r="DP84" s="27"/>
      <c r="DQ84" s="27"/>
      <c r="DR84" s="27">
        <f t="shared" si="123"/>
        <v>0</v>
      </c>
      <c r="DS84" s="27">
        <f t="shared" si="124"/>
        <v>0</v>
      </c>
      <c r="DT84" s="27">
        <f t="shared" si="125"/>
        <v>0</v>
      </c>
      <c r="DU84" s="27">
        <f t="shared" si="126"/>
        <v>0</v>
      </c>
      <c r="DV84" s="27">
        <f t="shared" si="137"/>
        <v>0</v>
      </c>
      <c r="DW84" s="27">
        <f t="shared" si="138"/>
        <v>0</v>
      </c>
      <c r="DX84" s="27">
        <f t="shared" si="127"/>
        <v>0</v>
      </c>
      <c r="DY84" s="27">
        <f t="shared" si="128"/>
        <v>0</v>
      </c>
      <c r="DZ84" s="27">
        <f t="shared" si="129"/>
        <v>0</v>
      </c>
      <c r="EA84" s="27">
        <f t="shared" si="130"/>
        <v>0</v>
      </c>
      <c r="EB84" s="27">
        <f t="shared" si="139"/>
        <v>0</v>
      </c>
      <c r="EC84" s="27">
        <f t="shared" si="140"/>
        <v>0</v>
      </c>
    </row>
    <row r="85" spans="3:133" x14ac:dyDescent="0.35">
      <c r="C85" s="31">
        <f t="shared" si="93"/>
        <v>81</v>
      </c>
      <c r="D85" s="32">
        <v>102095.3</v>
      </c>
      <c r="E85" s="32">
        <v>108984.08</v>
      </c>
      <c r="F85" s="72"/>
      <c r="G85" s="31">
        <f t="shared" si="94"/>
        <v>81</v>
      </c>
      <c r="H85" s="32">
        <v>182313.04</v>
      </c>
      <c r="I85" s="32">
        <v>194614.43</v>
      </c>
      <c r="BQ85">
        <v>79</v>
      </c>
      <c r="BR85" s="26" t="e">
        <f t="shared" si="131"/>
        <v>#N/A</v>
      </c>
      <c r="BS85" s="26" t="e">
        <f t="shared" si="132"/>
        <v>#N/A</v>
      </c>
      <c r="BU85">
        <v>79</v>
      </c>
      <c r="BV85" s="26" t="e">
        <f t="shared" si="95"/>
        <v>#N/A</v>
      </c>
      <c r="BW85" s="26" t="e">
        <f t="shared" si="96"/>
        <v>#N/A</v>
      </c>
      <c r="BY85">
        <v>79</v>
      </c>
      <c r="BZ85" s="26" t="e">
        <f t="shared" si="133"/>
        <v>#N/A</v>
      </c>
      <c r="CA85" s="26" t="e">
        <f t="shared" si="134"/>
        <v>#N/A</v>
      </c>
      <c r="CC85">
        <v>79</v>
      </c>
      <c r="CD85" s="26" t="e">
        <f t="shared" si="135"/>
        <v>#N/A</v>
      </c>
      <c r="CE85" s="26" t="e">
        <f t="shared" si="136"/>
        <v>#N/A</v>
      </c>
      <c r="CG85">
        <v>79</v>
      </c>
      <c r="CH85" s="24" t="e">
        <f t="shared" si="97"/>
        <v>#N/A</v>
      </c>
      <c r="CI85" s="24" t="e">
        <f t="shared" si="98"/>
        <v>#N/A</v>
      </c>
      <c r="CJ85" s="27">
        <f t="shared" si="99"/>
        <v>0</v>
      </c>
      <c r="CK85" s="27">
        <f t="shared" si="100"/>
        <v>0</v>
      </c>
      <c r="CL85" s="26">
        <f t="shared" si="101"/>
        <v>0</v>
      </c>
      <c r="CM85" s="26">
        <f t="shared" si="102"/>
        <v>0</v>
      </c>
      <c r="CN85" s="27">
        <f t="shared" si="103"/>
        <v>0</v>
      </c>
      <c r="CO85" s="27">
        <f t="shared" si="104"/>
        <v>0</v>
      </c>
      <c r="CP85" s="27">
        <f t="shared" si="105"/>
        <v>0</v>
      </c>
      <c r="CQ85" s="27">
        <f t="shared" si="106"/>
        <v>0</v>
      </c>
      <c r="CR85" s="24">
        <f t="shared" si="107"/>
        <v>0</v>
      </c>
      <c r="CS85" s="24">
        <f t="shared" si="108"/>
        <v>0</v>
      </c>
      <c r="CT85">
        <v>0</v>
      </c>
      <c r="CU85" s="24">
        <f t="shared" ref="CU85:CU106" si="141">ROUND(IF($CU$1=1,(AO83*$CU$2)/(1-$L$7),0),4)</f>
        <v>0</v>
      </c>
      <c r="CV85" s="27">
        <f t="shared" si="109"/>
        <v>0</v>
      </c>
      <c r="CW85" s="27">
        <f t="shared" si="110"/>
        <v>0</v>
      </c>
      <c r="CX85" s="27">
        <f t="shared" si="111"/>
        <v>0</v>
      </c>
      <c r="CY85" s="27">
        <f t="shared" si="112"/>
        <v>0</v>
      </c>
      <c r="CZ85" s="24">
        <f t="shared" si="113"/>
        <v>0</v>
      </c>
      <c r="DA85" s="24">
        <f t="shared" si="114"/>
        <v>0</v>
      </c>
      <c r="DB85" s="27">
        <f t="shared" si="115"/>
        <v>0</v>
      </c>
      <c r="DC85" s="27">
        <f t="shared" si="116"/>
        <v>0</v>
      </c>
      <c r="DD85" s="27">
        <f t="shared" si="117"/>
        <v>0</v>
      </c>
      <c r="DE85" s="27">
        <f t="shared" si="118"/>
        <v>0</v>
      </c>
      <c r="DF85" s="24">
        <f t="shared" si="119"/>
        <v>0</v>
      </c>
      <c r="DG85" s="24">
        <f t="shared" si="120"/>
        <v>0</v>
      </c>
      <c r="DH85" s="24">
        <f t="shared" si="121"/>
        <v>0</v>
      </c>
      <c r="DI85" s="24">
        <f t="shared" si="122"/>
        <v>0</v>
      </c>
      <c r="DJ85" s="26">
        <f t="shared" si="91"/>
        <v>0</v>
      </c>
      <c r="DK85" s="26">
        <f t="shared" si="92"/>
        <v>0</v>
      </c>
      <c r="DP85" s="27"/>
      <c r="DQ85" s="27"/>
      <c r="DR85" s="27">
        <f t="shared" si="123"/>
        <v>0</v>
      </c>
      <c r="DS85" s="27">
        <f t="shared" si="124"/>
        <v>0</v>
      </c>
      <c r="DT85" s="27">
        <f t="shared" si="125"/>
        <v>0</v>
      </c>
      <c r="DU85" s="27">
        <f t="shared" si="126"/>
        <v>0</v>
      </c>
      <c r="DV85" s="27">
        <f t="shared" si="137"/>
        <v>0</v>
      </c>
      <c r="DW85" s="27">
        <f t="shared" si="138"/>
        <v>0</v>
      </c>
      <c r="DX85" s="27">
        <f t="shared" si="127"/>
        <v>0</v>
      </c>
      <c r="DY85" s="27">
        <f t="shared" si="128"/>
        <v>0</v>
      </c>
      <c r="DZ85" s="27">
        <f t="shared" si="129"/>
        <v>0</v>
      </c>
      <c r="EA85" s="27">
        <f t="shared" si="130"/>
        <v>0</v>
      </c>
      <c r="EB85" s="27">
        <f t="shared" si="139"/>
        <v>0</v>
      </c>
      <c r="EC85" s="27">
        <f t="shared" si="140"/>
        <v>0</v>
      </c>
    </row>
    <row r="86" spans="3:133" x14ac:dyDescent="0.35">
      <c r="C86" s="31">
        <f t="shared" si="93"/>
        <v>82</v>
      </c>
      <c r="D86" s="32">
        <v>102913.84</v>
      </c>
      <c r="E86" s="32">
        <v>109857.86</v>
      </c>
      <c r="F86" s="72"/>
      <c r="G86" s="31">
        <f t="shared" si="94"/>
        <v>82</v>
      </c>
      <c r="H86" s="32">
        <v>183774.71</v>
      </c>
      <c r="I86" s="32">
        <v>196174.75</v>
      </c>
      <c r="BQ86">
        <v>80</v>
      </c>
      <c r="BR86" s="26" t="e">
        <f t="shared" si="131"/>
        <v>#N/A</v>
      </c>
      <c r="BS86" s="26" t="e">
        <f t="shared" si="132"/>
        <v>#N/A</v>
      </c>
      <c r="BU86">
        <v>80</v>
      </c>
      <c r="BV86" s="26" t="e">
        <f t="shared" si="95"/>
        <v>#N/A</v>
      </c>
      <c r="BW86" s="26" t="e">
        <f t="shared" si="96"/>
        <v>#N/A</v>
      </c>
      <c r="BY86">
        <v>80</v>
      </c>
      <c r="BZ86" s="26" t="e">
        <f t="shared" si="133"/>
        <v>#N/A</v>
      </c>
      <c r="CA86" s="26" t="e">
        <f t="shared" si="134"/>
        <v>#N/A</v>
      </c>
      <c r="CC86">
        <v>80</v>
      </c>
      <c r="CD86" s="26" t="e">
        <f t="shared" si="135"/>
        <v>#N/A</v>
      </c>
      <c r="CE86" s="26" t="e">
        <f t="shared" si="136"/>
        <v>#N/A</v>
      </c>
      <c r="CG86">
        <v>80</v>
      </c>
      <c r="CH86" s="24" t="e">
        <f t="shared" si="97"/>
        <v>#N/A</v>
      </c>
      <c r="CI86" s="24" t="e">
        <f t="shared" si="98"/>
        <v>#N/A</v>
      </c>
      <c r="CJ86" s="27">
        <f t="shared" si="99"/>
        <v>0</v>
      </c>
      <c r="CK86" s="27">
        <f t="shared" si="100"/>
        <v>0</v>
      </c>
      <c r="CL86" s="26">
        <f t="shared" si="101"/>
        <v>0</v>
      </c>
      <c r="CM86" s="26">
        <f t="shared" si="102"/>
        <v>0</v>
      </c>
      <c r="CN86" s="27">
        <f t="shared" si="103"/>
        <v>0</v>
      </c>
      <c r="CO86" s="27">
        <f t="shared" si="104"/>
        <v>0</v>
      </c>
      <c r="CP86" s="27">
        <f t="shared" si="105"/>
        <v>0</v>
      </c>
      <c r="CQ86" s="27">
        <f t="shared" si="106"/>
        <v>0</v>
      </c>
      <c r="CR86" s="24">
        <f t="shared" si="107"/>
        <v>0</v>
      </c>
      <c r="CS86" s="24">
        <f t="shared" si="108"/>
        <v>0</v>
      </c>
      <c r="CT86">
        <v>0</v>
      </c>
      <c r="CU86" s="24">
        <f t="shared" si="141"/>
        <v>0</v>
      </c>
      <c r="CV86" s="27">
        <f t="shared" si="109"/>
        <v>0</v>
      </c>
      <c r="CW86" s="27">
        <f t="shared" si="110"/>
        <v>0</v>
      </c>
      <c r="CX86" s="27">
        <f t="shared" si="111"/>
        <v>0</v>
      </c>
      <c r="CY86" s="27">
        <f t="shared" si="112"/>
        <v>0</v>
      </c>
      <c r="CZ86" s="24">
        <f t="shared" si="113"/>
        <v>0</v>
      </c>
      <c r="DA86" s="24">
        <f t="shared" si="114"/>
        <v>0</v>
      </c>
      <c r="DB86" s="27">
        <f t="shared" si="115"/>
        <v>0</v>
      </c>
      <c r="DC86" s="27">
        <f t="shared" si="116"/>
        <v>0</v>
      </c>
      <c r="DD86" s="27">
        <f t="shared" si="117"/>
        <v>0</v>
      </c>
      <c r="DE86" s="27">
        <f t="shared" si="118"/>
        <v>0</v>
      </c>
      <c r="DF86" s="24">
        <f t="shared" si="119"/>
        <v>0</v>
      </c>
      <c r="DG86" s="24">
        <f t="shared" si="120"/>
        <v>0</v>
      </c>
      <c r="DH86" s="24">
        <f t="shared" si="121"/>
        <v>0</v>
      </c>
      <c r="DI86" s="24">
        <f t="shared" si="122"/>
        <v>0</v>
      </c>
      <c r="DJ86" s="26">
        <f t="shared" si="91"/>
        <v>0</v>
      </c>
      <c r="DK86" s="26">
        <f t="shared" si="92"/>
        <v>0</v>
      </c>
      <c r="DP86" s="27"/>
      <c r="DQ86" s="27"/>
      <c r="DR86" s="27">
        <f t="shared" si="123"/>
        <v>0</v>
      </c>
      <c r="DS86" s="27">
        <f t="shared" si="124"/>
        <v>0</v>
      </c>
      <c r="DT86" s="27">
        <f t="shared" si="125"/>
        <v>0</v>
      </c>
      <c r="DU86" s="27">
        <f t="shared" si="126"/>
        <v>0</v>
      </c>
      <c r="DV86" s="27">
        <f t="shared" si="137"/>
        <v>0</v>
      </c>
      <c r="DW86" s="27">
        <f t="shared" si="138"/>
        <v>0</v>
      </c>
      <c r="DX86" s="27">
        <f t="shared" si="127"/>
        <v>0</v>
      </c>
      <c r="DY86" s="27">
        <f t="shared" si="128"/>
        <v>0</v>
      </c>
      <c r="DZ86" s="27">
        <f t="shared" si="129"/>
        <v>0</v>
      </c>
      <c r="EA86" s="27">
        <f t="shared" si="130"/>
        <v>0</v>
      </c>
      <c r="EB86" s="27">
        <f t="shared" si="139"/>
        <v>0</v>
      </c>
      <c r="EC86" s="27">
        <f t="shared" si="140"/>
        <v>0</v>
      </c>
    </row>
    <row r="87" spans="3:133" x14ac:dyDescent="0.35">
      <c r="C87" s="31">
        <f t="shared" si="93"/>
        <v>83</v>
      </c>
      <c r="D87" s="32">
        <v>103738.94</v>
      </c>
      <c r="E87" s="32">
        <v>110738.63</v>
      </c>
      <c r="F87" s="72"/>
      <c r="G87" s="31">
        <f t="shared" si="94"/>
        <v>83</v>
      </c>
      <c r="H87" s="32">
        <v>185248.11</v>
      </c>
      <c r="I87" s="32">
        <v>197747.55</v>
      </c>
      <c r="BQ87">
        <v>81</v>
      </c>
      <c r="BR87" s="26" t="e">
        <f t="shared" si="131"/>
        <v>#N/A</v>
      </c>
      <c r="BS87" s="26" t="e">
        <f t="shared" si="132"/>
        <v>#N/A</v>
      </c>
      <c r="BU87">
        <v>81</v>
      </c>
      <c r="BV87" s="26" t="e">
        <f t="shared" si="95"/>
        <v>#N/A</v>
      </c>
      <c r="BW87" s="26" t="e">
        <f t="shared" si="96"/>
        <v>#N/A</v>
      </c>
      <c r="BY87">
        <v>81</v>
      </c>
      <c r="BZ87" s="26" t="e">
        <f t="shared" si="133"/>
        <v>#N/A</v>
      </c>
      <c r="CA87" s="26" t="e">
        <f t="shared" si="134"/>
        <v>#N/A</v>
      </c>
      <c r="CC87">
        <v>81</v>
      </c>
      <c r="CD87" s="26" t="e">
        <f t="shared" si="135"/>
        <v>#N/A</v>
      </c>
      <c r="CE87" s="26" t="e">
        <f t="shared" si="136"/>
        <v>#N/A</v>
      </c>
      <c r="CG87">
        <v>81</v>
      </c>
      <c r="CH87" s="24" t="e">
        <f t="shared" si="97"/>
        <v>#N/A</v>
      </c>
      <c r="CI87" s="24" t="e">
        <f t="shared" si="98"/>
        <v>#N/A</v>
      </c>
      <c r="CJ87" s="27">
        <f t="shared" si="99"/>
        <v>0</v>
      </c>
      <c r="CK87" s="27">
        <f t="shared" si="100"/>
        <v>0</v>
      </c>
      <c r="CL87" s="26">
        <f t="shared" si="101"/>
        <v>0</v>
      </c>
      <c r="CM87" s="26">
        <f t="shared" si="102"/>
        <v>0</v>
      </c>
      <c r="CN87" s="27">
        <f t="shared" si="103"/>
        <v>0</v>
      </c>
      <c r="CO87" s="27">
        <f t="shared" si="104"/>
        <v>0</v>
      </c>
      <c r="CP87" s="27">
        <f t="shared" si="105"/>
        <v>0</v>
      </c>
      <c r="CQ87" s="27">
        <f t="shared" si="106"/>
        <v>0</v>
      </c>
      <c r="CR87" s="24">
        <f t="shared" si="107"/>
        <v>0</v>
      </c>
      <c r="CS87" s="24">
        <f t="shared" si="108"/>
        <v>0</v>
      </c>
      <c r="CT87">
        <v>0</v>
      </c>
      <c r="CU87" s="24">
        <f t="shared" si="141"/>
        <v>0</v>
      </c>
      <c r="CV87" s="27">
        <f t="shared" si="109"/>
        <v>0</v>
      </c>
      <c r="CW87" s="27">
        <f t="shared" si="110"/>
        <v>0</v>
      </c>
      <c r="CX87" s="27">
        <f t="shared" si="111"/>
        <v>0</v>
      </c>
      <c r="CY87" s="27">
        <f t="shared" si="112"/>
        <v>0</v>
      </c>
      <c r="CZ87" s="24">
        <f t="shared" si="113"/>
        <v>0</v>
      </c>
      <c r="DA87" s="24">
        <f t="shared" si="114"/>
        <v>0</v>
      </c>
      <c r="DB87" s="27">
        <f t="shared" si="115"/>
        <v>0</v>
      </c>
      <c r="DC87" s="27">
        <f t="shared" si="116"/>
        <v>0</v>
      </c>
      <c r="DD87" s="27">
        <f t="shared" si="117"/>
        <v>0</v>
      </c>
      <c r="DE87" s="27">
        <f t="shared" si="118"/>
        <v>0</v>
      </c>
      <c r="DF87" s="24">
        <f t="shared" si="119"/>
        <v>0</v>
      </c>
      <c r="DG87" s="24">
        <f t="shared" si="120"/>
        <v>0</v>
      </c>
      <c r="DH87" s="24">
        <f t="shared" si="121"/>
        <v>0</v>
      </c>
      <c r="DI87" s="24">
        <f t="shared" si="122"/>
        <v>0</v>
      </c>
      <c r="DJ87" s="26">
        <f t="shared" si="91"/>
        <v>0</v>
      </c>
      <c r="DK87" s="26">
        <f t="shared" si="92"/>
        <v>0</v>
      </c>
      <c r="DP87" s="27"/>
      <c r="DQ87" s="27"/>
      <c r="DR87" s="27">
        <f t="shared" si="123"/>
        <v>0</v>
      </c>
      <c r="DS87" s="27">
        <f t="shared" si="124"/>
        <v>0</v>
      </c>
      <c r="DT87" s="27">
        <f t="shared" si="125"/>
        <v>0</v>
      </c>
      <c r="DU87" s="27">
        <f t="shared" si="126"/>
        <v>0</v>
      </c>
      <c r="DV87" s="27">
        <f t="shared" si="137"/>
        <v>0</v>
      </c>
      <c r="DW87" s="27">
        <f t="shared" si="138"/>
        <v>0</v>
      </c>
      <c r="DX87" s="27">
        <f t="shared" si="127"/>
        <v>0</v>
      </c>
      <c r="DY87" s="27">
        <f t="shared" si="128"/>
        <v>0</v>
      </c>
      <c r="DZ87" s="27">
        <f t="shared" si="129"/>
        <v>0</v>
      </c>
      <c r="EA87" s="27">
        <f t="shared" si="130"/>
        <v>0</v>
      </c>
      <c r="EB87" s="27">
        <f t="shared" si="139"/>
        <v>0</v>
      </c>
      <c r="EC87" s="27">
        <f t="shared" si="140"/>
        <v>0</v>
      </c>
    </row>
    <row r="88" spans="3:133" x14ac:dyDescent="0.35">
      <c r="C88" s="31">
        <f t="shared" si="93"/>
        <v>84</v>
      </c>
      <c r="D88" s="32">
        <v>104570.68</v>
      </c>
      <c r="E88" s="32">
        <v>111626.49</v>
      </c>
      <c r="F88" s="72"/>
      <c r="G88" s="31">
        <f t="shared" si="94"/>
        <v>84</v>
      </c>
      <c r="H88" s="32">
        <v>186733.36</v>
      </c>
      <c r="I88" s="32">
        <v>199333.02</v>
      </c>
      <c r="BQ88">
        <v>82</v>
      </c>
      <c r="BR88" s="26" t="e">
        <f t="shared" si="131"/>
        <v>#N/A</v>
      </c>
      <c r="BS88" s="26" t="e">
        <f t="shared" si="132"/>
        <v>#N/A</v>
      </c>
      <c r="BU88">
        <v>82</v>
      </c>
      <c r="BV88" s="26" t="e">
        <f t="shared" si="95"/>
        <v>#N/A</v>
      </c>
      <c r="BW88" s="26" t="e">
        <f t="shared" si="96"/>
        <v>#N/A</v>
      </c>
      <c r="BY88">
        <v>82</v>
      </c>
      <c r="BZ88" s="26" t="e">
        <f t="shared" si="133"/>
        <v>#N/A</v>
      </c>
      <c r="CA88" s="26" t="e">
        <f t="shared" si="134"/>
        <v>#N/A</v>
      </c>
      <c r="CC88">
        <v>82</v>
      </c>
      <c r="CD88" s="26" t="e">
        <f t="shared" si="135"/>
        <v>#N/A</v>
      </c>
      <c r="CE88" s="26" t="e">
        <f t="shared" si="136"/>
        <v>#N/A</v>
      </c>
      <c r="CG88">
        <v>82</v>
      </c>
      <c r="CH88" s="24" t="e">
        <f t="shared" si="97"/>
        <v>#N/A</v>
      </c>
      <c r="CI88" s="24" t="e">
        <f t="shared" si="98"/>
        <v>#N/A</v>
      </c>
      <c r="CJ88" s="27">
        <f t="shared" si="99"/>
        <v>0</v>
      </c>
      <c r="CK88" s="27">
        <f t="shared" si="100"/>
        <v>0</v>
      </c>
      <c r="CL88" s="26">
        <f t="shared" si="101"/>
        <v>0</v>
      </c>
      <c r="CM88" s="26">
        <f t="shared" si="102"/>
        <v>0</v>
      </c>
      <c r="CN88" s="27">
        <f t="shared" si="103"/>
        <v>0</v>
      </c>
      <c r="CO88" s="27">
        <f t="shared" si="104"/>
        <v>0</v>
      </c>
      <c r="CP88" s="27">
        <f t="shared" si="105"/>
        <v>0</v>
      </c>
      <c r="CQ88" s="27">
        <f t="shared" si="106"/>
        <v>0</v>
      </c>
      <c r="CR88" s="24">
        <f t="shared" si="107"/>
        <v>0</v>
      </c>
      <c r="CS88" s="24">
        <f t="shared" si="108"/>
        <v>0</v>
      </c>
      <c r="CT88">
        <v>0</v>
      </c>
      <c r="CU88" s="24">
        <f t="shared" si="141"/>
        <v>0</v>
      </c>
      <c r="CV88" s="27">
        <f t="shared" si="109"/>
        <v>0</v>
      </c>
      <c r="CW88" s="27">
        <f t="shared" si="110"/>
        <v>0</v>
      </c>
      <c r="CX88" s="27">
        <f t="shared" si="111"/>
        <v>0</v>
      </c>
      <c r="CY88" s="27">
        <f t="shared" si="112"/>
        <v>0</v>
      </c>
      <c r="CZ88" s="24">
        <f t="shared" si="113"/>
        <v>0</v>
      </c>
      <c r="DA88" s="24">
        <f t="shared" si="114"/>
        <v>0</v>
      </c>
      <c r="DB88" s="27">
        <f t="shared" si="115"/>
        <v>0</v>
      </c>
      <c r="DC88" s="27">
        <f t="shared" si="116"/>
        <v>0</v>
      </c>
      <c r="DD88" s="27">
        <f t="shared" si="117"/>
        <v>0</v>
      </c>
      <c r="DE88" s="27">
        <f t="shared" si="118"/>
        <v>0</v>
      </c>
      <c r="DF88" s="24">
        <f t="shared" si="119"/>
        <v>0</v>
      </c>
      <c r="DG88" s="24">
        <f t="shared" si="120"/>
        <v>0</v>
      </c>
      <c r="DH88" s="24">
        <f t="shared" si="121"/>
        <v>0</v>
      </c>
      <c r="DI88" s="24">
        <f t="shared" si="122"/>
        <v>0</v>
      </c>
      <c r="DJ88" s="26">
        <f t="shared" ref="DJ88:DJ106" si="142">ROUND(IF($DK$1=1,(($DK$2/1000)*BF68)/(1-$L$7),0),4)</f>
        <v>0</v>
      </c>
      <c r="DK88" s="26">
        <f t="shared" ref="DK88:DK106" si="143">ROUND(IF($DK$1=1,(($DK$2/1000)*BG68)/(1-$L$7),0),4)</f>
        <v>0</v>
      </c>
      <c r="DP88" s="27"/>
      <c r="DQ88" s="27"/>
      <c r="DR88" s="27">
        <f t="shared" si="123"/>
        <v>0</v>
      </c>
      <c r="DS88" s="27">
        <f t="shared" si="124"/>
        <v>0</v>
      </c>
      <c r="DT88" s="27">
        <f t="shared" si="125"/>
        <v>0</v>
      </c>
      <c r="DU88" s="27">
        <f t="shared" si="126"/>
        <v>0</v>
      </c>
      <c r="DV88" s="27">
        <f t="shared" si="137"/>
        <v>0</v>
      </c>
      <c r="DW88" s="27">
        <f t="shared" si="138"/>
        <v>0</v>
      </c>
      <c r="DX88" s="27">
        <f t="shared" si="127"/>
        <v>0</v>
      </c>
      <c r="DY88" s="27">
        <f t="shared" si="128"/>
        <v>0</v>
      </c>
      <c r="DZ88" s="27">
        <f t="shared" si="129"/>
        <v>0</v>
      </c>
      <c r="EA88" s="27">
        <f t="shared" si="130"/>
        <v>0</v>
      </c>
      <c r="EB88" s="27">
        <f t="shared" si="139"/>
        <v>0</v>
      </c>
      <c r="EC88" s="27">
        <f t="shared" si="140"/>
        <v>0</v>
      </c>
    </row>
    <row r="89" spans="3:133" x14ac:dyDescent="0.35">
      <c r="C89" s="31">
        <f t="shared" si="93"/>
        <v>85</v>
      </c>
      <c r="D89" s="32">
        <v>105409.07</v>
      </c>
      <c r="E89" s="32">
        <v>112521.45</v>
      </c>
      <c r="F89" s="72"/>
      <c r="G89" s="31">
        <f t="shared" si="94"/>
        <v>85</v>
      </c>
      <c r="H89" s="32">
        <v>188230.48</v>
      </c>
      <c r="I89" s="32">
        <v>200931.16</v>
      </c>
      <c r="BQ89">
        <v>83</v>
      </c>
      <c r="BR89" s="26" t="e">
        <f t="shared" si="131"/>
        <v>#N/A</v>
      </c>
      <c r="BS89" s="26" t="e">
        <f t="shared" si="132"/>
        <v>#N/A</v>
      </c>
      <c r="BU89">
        <v>83</v>
      </c>
      <c r="BV89" s="26" t="e">
        <f t="shared" si="95"/>
        <v>#N/A</v>
      </c>
      <c r="BW89" s="26" t="e">
        <f t="shared" si="96"/>
        <v>#N/A</v>
      </c>
      <c r="BY89">
        <v>83</v>
      </c>
      <c r="BZ89" s="26" t="e">
        <f t="shared" si="133"/>
        <v>#N/A</v>
      </c>
      <c r="CA89" s="26" t="e">
        <f t="shared" si="134"/>
        <v>#N/A</v>
      </c>
      <c r="CC89">
        <v>83</v>
      </c>
      <c r="CD89" s="26" t="e">
        <f t="shared" si="135"/>
        <v>#N/A</v>
      </c>
      <c r="CE89" s="26" t="e">
        <f t="shared" si="136"/>
        <v>#N/A</v>
      </c>
      <c r="CG89">
        <v>83</v>
      </c>
      <c r="CH89" s="24" t="e">
        <f t="shared" si="97"/>
        <v>#N/A</v>
      </c>
      <c r="CI89" s="24" t="e">
        <f t="shared" si="98"/>
        <v>#N/A</v>
      </c>
      <c r="CJ89" s="27">
        <f t="shared" si="99"/>
        <v>0</v>
      </c>
      <c r="CK89" s="27">
        <f t="shared" si="100"/>
        <v>0</v>
      </c>
      <c r="CL89" s="26">
        <f t="shared" si="101"/>
        <v>0</v>
      </c>
      <c r="CM89" s="26">
        <f t="shared" si="102"/>
        <v>0</v>
      </c>
      <c r="CN89" s="27">
        <f t="shared" si="103"/>
        <v>0</v>
      </c>
      <c r="CO89" s="27">
        <f t="shared" si="104"/>
        <v>0</v>
      </c>
      <c r="CP89" s="27">
        <f t="shared" si="105"/>
        <v>0</v>
      </c>
      <c r="CQ89" s="27">
        <f t="shared" si="106"/>
        <v>0</v>
      </c>
      <c r="CR89" s="24">
        <f t="shared" si="107"/>
        <v>0</v>
      </c>
      <c r="CS89" s="24">
        <f t="shared" si="108"/>
        <v>0</v>
      </c>
      <c r="CT89">
        <v>0</v>
      </c>
      <c r="CU89" s="24">
        <f t="shared" si="141"/>
        <v>0</v>
      </c>
      <c r="CV89" s="27">
        <f t="shared" si="109"/>
        <v>0</v>
      </c>
      <c r="CW89" s="27">
        <f t="shared" si="110"/>
        <v>0</v>
      </c>
      <c r="CX89" s="27">
        <f t="shared" si="111"/>
        <v>0</v>
      </c>
      <c r="CY89" s="27">
        <f t="shared" si="112"/>
        <v>0</v>
      </c>
      <c r="CZ89" s="24">
        <f t="shared" si="113"/>
        <v>0</v>
      </c>
      <c r="DA89" s="24">
        <f t="shared" si="114"/>
        <v>0</v>
      </c>
      <c r="DB89" s="27">
        <f t="shared" si="115"/>
        <v>0</v>
      </c>
      <c r="DC89" s="27">
        <f t="shared" si="116"/>
        <v>0</v>
      </c>
      <c r="DD89" s="27">
        <f t="shared" si="117"/>
        <v>0</v>
      </c>
      <c r="DE89" s="27">
        <f t="shared" si="118"/>
        <v>0</v>
      </c>
      <c r="DF89" s="24">
        <f t="shared" si="119"/>
        <v>0</v>
      </c>
      <c r="DG89" s="24">
        <f t="shared" si="120"/>
        <v>0</v>
      </c>
      <c r="DH89" s="24">
        <f t="shared" si="121"/>
        <v>0</v>
      </c>
      <c r="DI89" s="24">
        <f t="shared" si="122"/>
        <v>0</v>
      </c>
      <c r="DJ89" s="26">
        <f t="shared" si="142"/>
        <v>0</v>
      </c>
      <c r="DK89" s="26">
        <f t="shared" si="143"/>
        <v>0</v>
      </c>
      <c r="DP89" s="27"/>
      <c r="DQ89" s="27"/>
      <c r="DR89" s="27">
        <f t="shared" si="123"/>
        <v>0</v>
      </c>
      <c r="DS89" s="27">
        <f t="shared" si="124"/>
        <v>0</v>
      </c>
      <c r="DT89" s="27">
        <f t="shared" si="125"/>
        <v>0</v>
      </c>
      <c r="DU89" s="27">
        <f t="shared" si="126"/>
        <v>0</v>
      </c>
      <c r="DV89" s="27">
        <f t="shared" si="137"/>
        <v>0</v>
      </c>
      <c r="DW89" s="27">
        <f t="shared" si="138"/>
        <v>0</v>
      </c>
      <c r="DX89" s="27">
        <f t="shared" si="127"/>
        <v>0</v>
      </c>
      <c r="DY89" s="27">
        <f t="shared" si="128"/>
        <v>0</v>
      </c>
      <c r="DZ89" s="27">
        <f t="shared" si="129"/>
        <v>0</v>
      </c>
      <c r="EA89" s="27">
        <f t="shared" si="130"/>
        <v>0</v>
      </c>
      <c r="EB89" s="27">
        <f t="shared" si="139"/>
        <v>0</v>
      </c>
      <c r="EC89" s="27">
        <f t="shared" si="140"/>
        <v>0</v>
      </c>
    </row>
    <row r="90" spans="3:133" x14ac:dyDescent="0.35">
      <c r="C90" s="31">
        <f t="shared" si="93"/>
        <v>86</v>
      </c>
      <c r="D90" s="32">
        <v>106254.19</v>
      </c>
      <c r="E90" s="32">
        <v>113423.58</v>
      </c>
      <c r="F90" s="72"/>
      <c r="G90" s="31">
        <f t="shared" si="94"/>
        <v>86</v>
      </c>
      <c r="H90" s="32">
        <v>189739.63</v>
      </c>
      <c r="I90" s="32">
        <v>202542.11</v>
      </c>
      <c r="BQ90">
        <v>84</v>
      </c>
      <c r="BR90" s="26" t="e">
        <f t="shared" si="131"/>
        <v>#N/A</v>
      </c>
      <c r="BS90" s="26" t="e">
        <f t="shared" si="132"/>
        <v>#N/A</v>
      </c>
      <c r="BU90">
        <v>84</v>
      </c>
      <c r="BV90" s="26" t="e">
        <f t="shared" si="95"/>
        <v>#N/A</v>
      </c>
      <c r="BW90" s="26" t="e">
        <f t="shared" si="96"/>
        <v>#N/A</v>
      </c>
      <c r="BY90">
        <v>84</v>
      </c>
      <c r="BZ90" s="26" t="e">
        <f t="shared" si="133"/>
        <v>#N/A</v>
      </c>
      <c r="CA90" s="26" t="e">
        <f t="shared" si="134"/>
        <v>#N/A</v>
      </c>
      <c r="CC90">
        <v>84</v>
      </c>
      <c r="CD90" s="26" t="e">
        <f t="shared" si="135"/>
        <v>#N/A</v>
      </c>
      <c r="CE90" s="26" t="e">
        <f t="shared" si="136"/>
        <v>#N/A</v>
      </c>
      <c r="CG90">
        <v>84</v>
      </c>
      <c r="CH90" s="24" t="e">
        <f t="shared" si="97"/>
        <v>#N/A</v>
      </c>
      <c r="CI90" s="24" t="e">
        <f t="shared" si="98"/>
        <v>#N/A</v>
      </c>
      <c r="CJ90" s="27">
        <f t="shared" si="99"/>
        <v>0</v>
      </c>
      <c r="CK90" s="27">
        <f t="shared" si="100"/>
        <v>0</v>
      </c>
      <c r="CL90" s="26">
        <f t="shared" si="101"/>
        <v>0</v>
      </c>
      <c r="CM90" s="26">
        <f t="shared" si="102"/>
        <v>0</v>
      </c>
      <c r="CN90" s="27">
        <f t="shared" si="103"/>
        <v>0</v>
      </c>
      <c r="CO90" s="27">
        <f t="shared" si="104"/>
        <v>0</v>
      </c>
      <c r="CP90" s="27">
        <f t="shared" si="105"/>
        <v>0</v>
      </c>
      <c r="CQ90" s="27">
        <f t="shared" si="106"/>
        <v>0</v>
      </c>
      <c r="CR90" s="24">
        <f t="shared" si="107"/>
        <v>0</v>
      </c>
      <c r="CS90" s="24">
        <f t="shared" si="108"/>
        <v>0</v>
      </c>
      <c r="CT90">
        <v>0</v>
      </c>
      <c r="CU90" s="24">
        <f t="shared" si="141"/>
        <v>0</v>
      </c>
      <c r="CV90" s="27">
        <f t="shared" si="109"/>
        <v>0</v>
      </c>
      <c r="CW90" s="27">
        <f t="shared" si="110"/>
        <v>0</v>
      </c>
      <c r="CX90" s="27">
        <f t="shared" si="111"/>
        <v>0</v>
      </c>
      <c r="CY90" s="27">
        <f t="shared" si="112"/>
        <v>0</v>
      </c>
      <c r="CZ90" s="24">
        <f t="shared" si="113"/>
        <v>0</v>
      </c>
      <c r="DA90" s="24">
        <f t="shared" si="114"/>
        <v>0</v>
      </c>
      <c r="DB90" s="27">
        <f t="shared" si="115"/>
        <v>0</v>
      </c>
      <c r="DC90" s="27">
        <f t="shared" si="116"/>
        <v>0</v>
      </c>
      <c r="DD90" s="27">
        <f t="shared" si="117"/>
        <v>0</v>
      </c>
      <c r="DE90" s="27">
        <f t="shared" si="118"/>
        <v>0</v>
      </c>
      <c r="DF90" s="24">
        <f t="shared" si="119"/>
        <v>0</v>
      </c>
      <c r="DG90" s="24">
        <f t="shared" si="120"/>
        <v>0</v>
      </c>
      <c r="DH90" s="24">
        <f t="shared" si="121"/>
        <v>0</v>
      </c>
      <c r="DI90" s="24">
        <f t="shared" si="122"/>
        <v>0</v>
      </c>
      <c r="DJ90" s="26">
        <f t="shared" si="142"/>
        <v>0</v>
      </c>
      <c r="DK90" s="26">
        <f t="shared" si="143"/>
        <v>0</v>
      </c>
      <c r="DP90" s="27"/>
      <c r="DQ90" s="27"/>
      <c r="DR90" s="27">
        <f t="shared" si="123"/>
        <v>0</v>
      </c>
      <c r="DS90" s="27">
        <f t="shared" si="124"/>
        <v>0</v>
      </c>
      <c r="DT90" s="27">
        <f t="shared" si="125"/>
        <v>0</v>
      </c>
      <c r="DU90" s="27">
        <f t="shared" si="126"/>
        <v>0</v>
      </c>
      <c r="DV90" s="27">
        <f t="shared" si="137"/>
        <v>0</v>
      </c>
      <c r="DW90" s="27">
        <f t="shared" si="138"/>
        <v>0</v>
      </c>
      <c r="DX90" s="27">
        <f t="shared" si="127"/>
        <v>0</v>
      </c>
      <c r="DY90" s="27">
        <f t="shared" si="128"/>
        <v>0</v>
      </c>
      <c r="DZ90" s="27">
        <f t="shared" si="129"/>
        <v>0</v>
      </c>
      <c r="EA90" s="27">
        <f t="shared" si="130"/>
        <v>0</v>
      </c>
      <c r="EB90" s="27">
        <f t="shared" si="139"/>
        <v>0</v>
      </c>
      <c r="EC90" s="27">
        <f t="shared" si="140"/>
        <v>0</v>
      </c>
    </row>
    <row r="91" spans="3:133" x14ac:dyDescent="0.35">
      <c r="C91" s="31">
        <f t="shared" si="93"/>
        <v>87</v>
      </c>
      <c r="D91" s="32">
        <v>107106.07</v>
      </c>
      <c r="E91" s="32">
        <v>114332.95</v>
      </c>
      <c r="F91" s="72"/>
      <c r="G91" s="31">
        <f t="shared" si="94"/>
        <v>87</v>
      </c>
      <c r="H91" s="32">
        <v>191260.84</v>
      </c>
      <c r="I91" s="32">
        <v>204165.98</v>
      </c>
      <c r="BQ91">
        <v>85</v>
      </c>
      <c r="BR91" s="26" t="e">
        <f t="shared" si="131"/>
        <v>#N/A</v>
      </c>
      <c r="BS91" s="26" t="e">
        <f t="shared" si="132"/>
        <v>#N/A</v>
      </c>
      <c r="BU91">
        <v>85</v>
      </c>
      <c r="BV91" s="26" t="e">
        <f t="shared" si="95"/>
        <v>#N/A</v>
      </c>
      <c r="BW91" s="26" t="e">
        <f t="shared" si="96"/>
        <v>#N/A</v>
      </c>
      <c r="BY91">
        <v>85</v>
      </c>
      <c r="BZ91" s="26" t="e">
        <f t="shared" si="133"/>
        <v>#N/A</v>
      </c>
      <c r="CA91" s="26" t="e">
        <f t="shared" si="134"/>
        <v>#N/A</v>
      </c>
      <c r="CC91">
        <v>85</v>
      </c>
      <c r="CD91" s="26" t="e">
        <f t="shared" si="135"/>
        <v>#N/A</v>
      </c>
      <c r="CE91" s="26" t="e">
        <f t="shared" si="136"/>
        <v>#N/A</v>
      </c>
      <c r="CG91">
        <v>85</v>
      </c>
      <c r="CH91" s="24" t="e">
        <f t="shared" si="97"/>
        <v>#N/A</v>
      </c>
      <c r="CI91" s="24" t="e">
        <f t="shared" si="98"/>
        <v>#N/A</v>
      </c>
      <c r="CJ91" s="27">
        <f t="shared" si="99"/>
        <v>0</v>
      </c>
      <c r="CK91" s="27">
        <f t="shared" si="100"/>
        <v>0</v>
      </c>
      <c r="CL91" s="26">
        <f t="shared" si="101"/>
        <v>0</v>
      </c>
      <c r="CM91" s="26">
        <f t="shared" si="102"/>
        <v>0</v>
      </c>
      <c r="CN91" s="27">
        <f t="shared" si="103"/>
        <v>0</v>
      </c>
      <c r="CO91" s="27">
        <f t="shared" si="104"/>
        <v>0</v>
      </c>
      <c r="CP91" s="27">
        <f t="shared" si="105"/>
        <v>0</v>
      </c>
      <c r="CQ91" s="27">
        <f t="shared" si="106"/>
        <v>0</v>
      </c>
      <c r="CR91" s="24">
        <f t="shared" si="107"/>
        <v>0</v>
      </c>
      <c r="CS91" s="24">
        <f t="shared" si="108"/>
        <v>0</v>
      </c>
      <c r="CT91">
        <v>0</v>
      </c>
      <c r="CU91" s="24">
        <f t="shared" si="141"/>
        <v>0</v>
      </c>
      <c r="CV91" s="27">
        <f t="shared" si="109"/>
        <v>0</v>
      </c>
      <c r="CW91" s="27">
        <f t="shared" si="110"/>
        <v>0</v>
      </c>
      <c r="CX91" s="27">
        <f t="shared" si="111"/>
        <v>0</v>
      </c>
      <c r="CY91" s="27">
        <f t="shared" si="112"/>
        <v>0</v>
      </c>
      <c r="CZ91" s="24">
        <f t="shared" si="113"/>
        <v>0</v>
      </c>
      <c r="DA91" s="24">
        <f t="shared" si="114"/>
        <v>0</v>
      </c>
      <c r="DB91" s="27">
        <f t="shared" si="115"/>
        <v>0</v>
      </c>
      <c r="DC91" s="27">
        <f t="shared" si="116"/>
        <v>0</v>
      </c>
      <c r="DD91" s="27">
        <f t="shared" si="117"/>
        <v>0</v>
      </c>
      <c r="DE91" s="27">
        <f t="shared" si="118"/>
        <v>0</v>
      </c>
      <c r="DF91" s="24">
        <f t="shared" si="119"/>
        <v>0</v>
      </c>
      <c r="DG91" s="24">
        <f t="shared" si="120"/>
        <v>0</v>
      </c>
      <c r="DH91" s="24">
        <f t="shared" si="121"/>
        <v>0</v>
      </c>
      <c r="DI91" s="24">
        <f t="shared" si="122"/>
        <v>0</v>
      </c>
      <c r="DJ91" s="26">
        <f t="shared" si="142"/>
        <v>0</v>
      </c>
      <c r="DK91" s="26">
        <f t="shared" si="143"/>
        <v>0</v>
      </c>
      <c r="DP91" s="27"/>
      <c r="DQ91" s="27"/>
      <c r="DR91" s="27">
        <f t="shared" si="123"/>
        <v>0</v>
      </c>
      <c r="DS91" s="27">
        <f t="shared" si="124"/>
        <v>0</v>
      </c>
      <c r="DT91" s="27">
        <f t="shared" si="125"/>
        <v>0</v>
      </c>
      <c r="DU91" s="27">
        <f t="shared" si="126"/>
        <v>0</v>
      </c>
      <c r="DV91" s="27">
        <f t="shared" si="137"/>
        <v>0</v>
      </c>
      <c r="DW91" s="27">
        <f t="shared" si="138"/>
        <v>0</v>
      </c>
      <c r="DX91" s="27">
        <f t="shared" si="127"/>
        <v>0</v>
      </c>
      <c r="DY91" s="27">
        <f t="shared" si="128"/>
        <v>0</v>
      </c>
      <c r="DZ91" s="27">
        <f t="shared" si="129"/>
        <v>0</v>
      </c>
      <c r="EA91" s="27">
        <f t="shared" si="130"/>
        <v>0</v>
      </c>
      <c r="EB91" s="27">
        <f t="shared" si="139"/>
        <v>0</v>
      </c>
      <c r="EC91" s="27">
        <f t="shared" si="140"/>
        <v>0</v>
      </c>
    </row>
    <row r="92" spans="3:133" x14ac:dyDescent="0.35">
      <c r="C92" s="31">
        <f t="shared" si="93"/>
        <v>88</v>
      </c>
      <c r="D92" s="32">
        <v>107964.8</v>
      </c>
      <c r="E92" s="32">
        <v>115249.62</v>
      </c>
      <c r="F92" s="72"/>
      <c r="G92" s="31">
        <f t="shared" si="94"/>
        <v>88</v>
      </c>
      <c r="H92" s="32">
        <v>192794.29</v>
      </c>
      <c r="I92" s="32">
        <v>205802.89</v>
      </c>
      <c r="BQ92">
        <v>86</v>
      </c>
      <c r="BR92" s="26" t="e">
        <f t="shared" si="131"/>
        <v>#N/A</v>
      </c>
      <c r="BS92" s="26" t="e">
        <f t="shared" si="132"/>
        <v>#N/A</v>
      </c>
      <c r="BU92">
        <v>86</v>
      </c>
      <c r="BV92" s="26" t="e">
        <f t="shared" si="95"/>
        <v>#N/A</v>
      </c>
      <c r="BW92" s="26" t="e">
        <f t="shared" si="96"/>
        <v>#N/A</v>
      </c>
      <c r="BY92">
        <v>86</v>
      </c>
      <c r="BZ92" s="26" t="e">
        <f t="shared" si="133"/>
        <v>#N/A</v>
      </c>
      <c r="CA92" s="26" t="e">
        <f t="shared" si="134"/>
        <v>#N/A</v>
      </c>
      <c r="CC92">
        <v>86</v>
      </c>
      <c r="CD92" s="26" t="e">
        <f t="shared" si="135"/>
        <v>#N/A</v>
      </c>
      <c r="CE92" s="26" t="e">
        <f t="shared" si="136"/>
        <v>#N/A</v>
      </c>
      <c r="CG92">
        <v>86</v>
      </c>
      <c r="CH92" s="24" t="e">
        <f t="shared" si="97"/>
        <v>#N/A</v>
      </c>
      <c r="CI92" s="24" t="e">
        <f t="shared" si="98"/>
        <v>#N/A</v>
      </c>
      <c r="CJ92" s="27">
        <f t="shared" si="99"/>
        <v>0</v>
      </c>
      <c r="CK92" s="27">
        <f t="shared" si="100"/>
        <v>0</v>
      </c>
      <c r="CL92" s="26">
        <f t="shared" si="101"/>
        <v>0</v>
      </c>
      <c r="CM92" s="26">
        <f t="shared" si="102"/>
        <v>0</v>
      </c>
      <c r="CN92" s="27">
        <f t="shared" si="103"/>
        <v>0</v>
      </c>
      <c r="CO92" s="27">
        <f t="shared" si="104"/>
        <v>0</v>
      </c>
      <c r="CP92" s="27">
        <f t="shared" si="105"/>
        <v>0</v>
      </c>
      <c r="CQ92" s="27">
        <f t="shared" si="106"/>
        <v>0</v>
      </c>
      <c r="CR92" s="24">
        <f t="shared" si="107"/>
        <v>0</v>
      </c>
      <c r="CS92" s="24">
        <f t="shared" si="108"/>
        <v>0</v>
      </c>
      <c r="CT92">
        <v>0</v>
      </c>
      <c r="CU92" s="24">
        <f t="shared" si="141"/>
        <v>0</v>
      </c>
      <c r="CV92" s="27">
        <f t="shared" si="109"/>
        <v>0</v>
      </c>
      <c r="CW92" s="27">
        <f t="shared" si="110"/>
        <v>0</v>
      </c>
      <c r="CX92" s="27">
        <f t="shared" si="111"/>
        <v>0</v>
      </c>
      <c r="CY92" s="27">
        <f t="shared" si="112"/>
        <v>0</v>
      </c>
      <c r="CZ92" s="24">
        <f t="shared" si="113"/>
        <v>0</v>
      </c>
      <c r="DA92" s="24">
        <f t="shared" si="114"/>
        <v>0</v>
      </c>
      <c r="DB92" s="27">
        <f t="shared" si="115"/>
        <v>0</v>
      </c>
      <c r="DC92" s="27">
        <f t="shared" si="116"/>
        <v>0</v>
      </c>
      <c r="DD92" s="27">
        <f t="shared" si="117"/>
        <v>0</v>
      </c>
      <c r="DE92" s="27">
        <f t="shared" si="118"/>
        <v>0</v>
      </c>
      <c r="DF92" s="24">
        <f t="shared" si="119"/>
        <v>0</v>
      </c>
      <c r="DG92" s="24">
        <f t="shared" si="120"/>
        <v>0</v>
      </c>
      <c r="DH92" s="24">
        <f t="shared" si="121"/>
        <v>0</v>
      </c>
      <c r="DI92" s="24">
        <f t="shared" si="122"/>
        <v>0</v>
      </c>
      <c r="DJ92" s="26">
        <f t="shared" si="142"/>
        <v>0</v>
      </c>
      <c r="DK92" s="26">
        <f t="shared" si="143"/>
        <v>0</v>
      </c>
      <c r="DP92" s="27"/>
      <c r="DQ92" s="27"/>
      <c r="DR92" s="27">
        <f t="shared" si="123"/>
        <v>0</v>
      </c>
      <c r="DS92" s="27">
        <f t="shared" si="124"/>
        <v>0</v>
      </c>
      <c r="DT92" s="27">
        <f t="shared" si="125"/>
        <v>0</v>
      </c>
      <c r="DU92" s="27">
        <f t="shared" si="126"/>
        <v>0</v>
      </c>
      <c r="DV92" s="27">
        <f t="shared" si="137"/>
        <v>0</v>
      </c>
      <c r="DW92" s="27">
        <f t="shared" si="138"/>
        <v>0</v>
      </c>
      <c r="DX92" s="27">
        <f t="shared" si="127"/>
        <v>0</v>
      </c>
      <c r="DY92" s="27">
        <f t="shared" si="128"/>
        <v>0</v>
      </c>
      <c r="DZ92" s="27">
        <f t="shared" si="129"/>
        <v>0</v>
      </c>
      <c r="EA92" s="27">
        <f t="shared" si="130"/>
        <v>0</v>
      </c>
      <c r="EB92" s="27">
        <f t="shared" si="139"/>
        <v>0</v>
      </c>
      <c r="EC92" s="27">
        <f t="shared" si="140"/>
        <v>0</v>
      </c>
    </row>
    <row r="93" spans="3:133" x14ac:dyDescent="0.35">
      <c r="C93" s="31">
        <f t="shared" si="93"/>
        <v>89</v>
      </c>
      <c r="D93" s="32">
        <v>108830.39999999999</v>
      </c>
      <c r="E93" s="32">
        <v>116173.63</v>
      </c>
      <c r="F93" s="72"/>
      <c r="G93" s="31">
        <f t="shared" si="94"/>
        <v>89</v>
      </c>
      <c r="H93" s="32">
        <v>194340</v>
      </c>
      <c r="I93" s="32">
        <v>207452.91</v>
      </c>
      <c r="BQ93">
        <v>87</v>
      </c>
      <c r="BR93" s="26" t="e">
        <f t="shared" si="131"/>
        <v>#N/A</v>
      </c>
      <c r="BS93" s="26" t="e">
        <f t="shared" si="132"/>
        <v>#N/A</v>
      </c>
      <c r="BU93">
        <v>87</v>
      </c>
      <c r="BV93" s="26" t="e">
        <f t="shared" si="95"/>
        <v>#N/A</v>
      </c>
      <c r="BW93" s="26" t="e">
        <f t="shared" si="96"/>
        <v>#N/A</v>
      </c>
      <c r="BY93">
        <v>87</v>
      </c>
      <c r="BZ93" s="26" t="e">
        <f t="shared" si="133"/>
        <v>#N/A</v>
      </c>
      <c r="CA93" s="26" t="e">
        <f t="shared" si="134"/>
        <v>#N/A</v>
      </c>
      <c r="CC93">
        <v>87</v>
      </c>
      <c r="CD93" s="26" t="e">
        <f t="shared" si="135"/>
        <v>#N/A</v>
      </c>
      <c r="CE93" s="26" t="e">
        <f t="shared" si="136"/>
        <v>#N/A</v>
      </c>
      <c r="CG93">
        <v>87</v>
      </c>
      <c r="CH93" s="24" t="e">
        <f t="shared" si="97"/>
        <v>#N/A</v>
      </c>
      <c r="CI93" s="24" t="e">
        <f t="shared" si="98"/>
        <v>#N/A</v>
      </c>
      <c r="CJ93" s="27">
        <f t="shared" si="99"/>
        <v>0</v>
      </c>
      <c r="CK93" s="27">
        <f t="shared" si="100"/>
        <v>0</v>
      </c>
      <c r="CL93" s="26">
        <f t="shared" si="101"/>
        <v>0</v>
      </c>
      <c r="CM93" s="26">
        <f t="shared" si="102"/>
        <v>0</v>
      </c>
      <c r="CN93" s="27">
        <f t="shared" si="103"/>
        <v>0</v>
      </c>
      <c r="CO93" s="27">
        <f t="shared" si="104"/>
        <v>0</v>
      </c>
      <c r="CP93" s="27">
        <f t="shared" si="105"/>
        <v>0</v>
      </c>
      <c r="CQ93" s="27">
        <f t="shared" si="106"/>
        <v>0</v>
      </c>
      <c r="CR93" s="24">
        <f t="shared" si="107"/>
        <v>0</v>
      </c>
      <c r="CS93" s="24">
        <f t="shared" si="108"/>
        <v>0</v>
      </c>
      <c r="CT93">
        <v>0</v>
      </c>
      <c r="CU93" s="24">
        <f t="shared" si="141"/>
        <v>0</v>
      </c>
      <c r="CV93" s="27">
        <f t="shared" si="109"/>
        <v>0</v>
      </c>
      <c r="CW93" s="27">
        <f t="shared" si="110"/>
        <v>0</v>
      </c>
      <c r="CX93" s="27">
        <f t="shared" si="111"/>
        <v>0</v>
      </c>
      <c r="CY93" s="27">
        <f t="shared" si="112"/>
        <v>0</v>
      </c>
      <c r="CZ93" s="24">
        <f t="shared" si="113"/>
        <v>0</v>
      </c>
      <c r="DA93" s="24">
        <f t="shared" si="114"/>
        <v>0</v>
      </c>
      <c r="DB93" s="27">
        <f t="shared" si="115"/>
        <v>0</v>
      </c>
      <c r="DC93" s="27">
        <f t="shared" si="116"/>
        <v>0</v>
      </c>
      <c r="DD93" s="27">
        <f t="shared" si="117"/>
        <v>0</v>
      </c>
      <c r="DE93" s="27">
        <f t="shared" si="118"/>
        <v>0</v>
      </c>
      <c r="DF93" s="24">
        <f t="shared" si="119"/>
        <v>0</v>
      </c>
      <c r="DG93" s="24">
        <f t="shared" si="120"/>
        <v>0</v>
      </c>
      <c r="DH93" s="24">
        <f t="shared" si="121"/>
        <v>0</v>
      </c>
      <c r="DI93" s="24">
        <f t="shared" si="122"/>
        <v>0</v>
      </c>
      <c r="DJ93" s="26">
        <f t="shared" si="142"/>
        <v>0</v>
      </c>
      <c r="DK93" s="26">
        <f t="shared" si="143"/>
        <v>0</v>
      </c>
      <c r="DP93" s="27"/>
      <c r="DQ93" s="27"/>
      <c r="DR93" s="27">
        <f t="shared" si="123"/>
        <v>0</v>
      </c>
      <c r="DS93" s="27">
        <f t="shared" si="124"/>
        <v>0</v>
      </c>
      <c r="DT93" s="27">
        <f t="shared" si="125"/>
        <v>0</v>
      </c>
      <c r="DU93" s="27">
        <f t="shared" si="126"/>
        <v>0</v>
      </c>
      <c r="DV93" s="27">
        <f t="shared" si="137"/>
        <v>0</v>
      </c>
      <c r="DW93" s="27">
        <f t="shared" si="138"/>
        <v>0</v>
      </c>
      <c r="DX93" s="27">
        <f t="shared" si="127"/>
        <v>0</v>
      </c>
      <c r="DY93" s="27">
        <f t="shared" si="128"/>
        <v>0</v>
      </c>
      <c r="DZ93" s="27">
        <f t="shared" si="129"/>
        <v>0</v>
      </c>
      <c r="EA93" s="27">
        <f t="shared" si="130"/>
        <v>0</v>
      </c>
      <c r="EB93" s="27">
        <f t="shared" si="139"/>
        <v>0</v>
      </c>
      <c r="EC93" s="27">
        <f t="shared" si="140"/>
        <v>0</v>
      </c>
    </row>
    <row r="94" spans="3:133" x14ac:dyDescent="0.35">
      <c r="C94" s="31">
        <f t="shared" si="93"/>
        <v>90</v>
      </c>
      <c r="D94" s="32">
        <v>109702.95</v>
      </c>
      <c r="E94" s="32">
        <v>117105.05</v>
      </c>
      <c r="F94" s="72"/>
      <c r="G94" s="31">
        <f t="shared" si="94"/>
        <v>90</v>
      </c>
      <c r="H94" s="32">
        <v>195898.13</v>
      </c>
      <c r="I94" s="32">
        <v>209116.16</v>
      </c>
      <c r="BQ94">
        <v>88</v>
      </c>
      <c r="BR94" s="26" t="e">
        <f t="shared" si="131"/>
        <v>#N/A</v>
      </c>
      <c r="BS94" s="26" t="e">
        <f t="shared" si="132"/>
        <v>#N/A</v>
      </c>
      <c r="BU94">
        <v>88</v>
      </c>
      <c r="BV94" s="26" t="e">
        <f t="shared" si="95"/>
        <v>#N/A</v>
      </c>
      <c r="BW94" s="26" t="e">
        <f t="shared" si="96"/>
        <v>#N/A</v>
      </c>
      <c r="BY94">
        <v>88</v>
      </c>
      <c r="BZ94" s="26" t="e">
        <f t="shared" si="133"/>
        <v>#N/A</v>
      </c>
      <c r="CA94" s="26" t="e">
        <f t="shared" si="134"/>
        <v>#N/A</v>
      </c>
      <c r="CC94">
        <v>88</v>
      </c>
      <c r="CD94" s="26" t="e">
        <f t="shared" si="135"/>
        <v>#N/A</v>
      </c>
      <c r="CE94" s="26" t="e">
        <f t="shared" si="136"/>
        <v>#N/A</v>
      </c>
      <c r="CG94">
        <v>88</v>
      </c>
      <c r="CH94" s="24" t="e">
        <f t="shared" si="97"/>
        <v>#N/A</v>
      </c>
      <c r="CI94" s="24" t="e">
        <f t="shared" si="98"/>
        <v>#N/A</v>
      </c>
      <c r="CJ94" s="27">
        <f t="shared" si="99"/>
        <v>0</v>
      </c>
      <c r="CK94" s="27">
        <f t="shared" si="100"/>
        <v>0</v>
      </c>
      <c r="CL94" s="26">
        <f t="shared" si="101"/>
        <v>0</v>
      </c>
      <c r="CM94" s="26">
        <f t="shared" si="102"/>
        <v>0</v>
      </c>
      <c r="CN94" s="27">
        <f t="shared" si="103"/>
        <v>0</v>
      </c>
      <c r="CO94" s="27">
        <f t="shared" si="104"/>
        <v>0</v>
      </c>
      <c r="CP94" s="27">
        <f t="shared" si="105"/>
        <v>0</v>
      </c>
      <c r="CQ94" s="27">
        <f t="shared" si="106"/>
        <v>0</v>
      </c>
      <c r="CR94" s="24">
        <f t="shared" si="107"/>
        <v>0</v>
      </c>
      <c r="CS94" s="24">
        <f t="shared" si="108"/>
        <v>0</v>
      </c>
      <c r="CT94">
        <v>0</v>
      </c>
      <c r="CU94" s="24">
        <f t="shared" si="141"/>
        <v>0</v>
      </c>
      <c r="CV94" s="27">
        <f t="shared" si="109"/>
        <v>0</v>
      </c>
      <c r="CW94" s="27">
        <f t="shared" si="110"/>
        <v>0</v>
      </c>
      <c r="CX94" s="27">
        <f t="shared" si="111"/>
        <v>0</v>
      </c>
      <c r="CY94" s="27">
        <f t="shared" si="112"/>
        <v>0</v>
      </c>
      <c r="CZ94" s="24">
        <f t="shared" si="113"/>
        <v>0</v>
      </c>
      <c r="DA94" s="24">
        <f t="shared" si="114"/>
        <v>0</v>
      </c>
      <c r="DB94" s="27">
        <f t="shared" si="115"/>
        <v>0</v>
      </c>
      <c r="DC94" s="27">
        <f t="shared" si="116"/>
        <v>0</v>
      </c>
      <c r="DD94" s="27">
        <f t="shared" si="117"/>
        <v>0</v>
      </c>
      <c r="DE94" s="27">
        <f t="shared" si="118"/>
        <v>0</v>
      </c>
      <c r="DF94" s="24">
        <f t="shared" si="119"/>
        <v>0</v>
      </c>
      <c r="DG94" s="24">
        <f t="shared" si="120"/>
        <v>0</v>
      </c>
      <c r="DH94" s="24">
        <f t="shared" si="121"/>
        <v>0</v>
      </c>
      <c r="DI94" s="24">
        <f t="shared" si="122"/>
        <v>0</v>
      </c>
      <c r="DJ94" s="26">
        <f t="shared" si="142"/>
        <v>0</v>
      </c>
      <c r="DK94" s="26">
        <f t="shared" si="143"/>
        <v>0</v>
      </c>
      <c r="DP94" s="27"/>
      <c r="DQ94" s="27"/>
      <c r="DR94" s="27">
        <f t="shared" si="123"/>
        <v>0</v>
      </c>
      <c r="DS94" s="27">
        <f t="shared" si="124"/>
        <v>0</v>
      </c>
      <c r="DT94" s="27">
        <f t="shared" si="125"/>
        <v>0</v>
      </c>
      <c r="DU94" s="27">
        <f t="shared" si="126"/>
        <v>0</v>
      </c>
      <c r="DV94" s="27">
        <f t="shared" si="137"/>
        <v>0</v>
      </c>
      <c r="DW94" s="27">
        <f t="shared" si="138"/>
        <v>0</v>
      </c>
      <c r="DX94" s="27">
        <f t="shared" si="127"/>
        <v>0</v>
      </c>
      <c r="DY94" s="27">
        <f t="shared" si="128"/>
        <v>0</v>
      </c>
      <c r="DZ94" s="27">
        <f t="shared" si="129"/>
        <v>0</v>
      </c>
      <c r="EA94" s="27">
        <f t="shared" si="130"/>
        <v>0</v>
      </c>
      <c r="EB94" s="27">
        <f t="shared" si="139"/>
        <v>0</v>
      </c>
      <c r="EC94" s="27">
        <f t="shared" si="140"/>
        <v>0</v>
      </c>
    </row>
    <row r="95" spans="3:133" x14ac:dyDescent="0.35">
      <c r="C95" s="31">
        <f t="shared" si="93"/>
        <v>91</v>
      </c>
      <c r="D95" s="32">
        <v>110582.48</v>
      </c>
      <c r="E95" s="32">
        <v>118043.93</v>
      </c>
      <c r="F95" s="72"/>
      <c r="G95" s="31">
        <f t="shared" si="94"/>
        <v>91</v>
      </c>
      <c r="H95" s="32">
        <v>197468.71</v>
      </c>
      <c r="I95" s="32">
        <v>210792.73</v>
      </c>
      <c r="BQ95">
        <v>89</v>
      </c>
      <c r="BR95" s="26" t="e">
        <f t="shared" si="131"/>
        <v>#N/A</v>
      </c>
      <c r="BS95" s="26" t="e">
        <f t="shared" si="132"/>
        <v>#N/A</v>
      </c>
      <c r="BU95">
        <v>89</v>
      </c>
      <c r="BV95" s="26" t="e">
        <f t="shared" si="95"/>
        <v>#N/A</v>
      </c>
      <c r="BW95" s="26" t="e">
        <f t="shared" si="96"/>
        <v>#N/A</v>
      </c>
      <c r="BY95">
        <v>89</v>
      </c>
      <c r="BZ95" s="26" t="e">
        <f t="shared" si="133"/>
        <v>#N/A</v>
      </c>
      <c r="CA95" s="26" t="e">
        <f t="shared" si="134"/>
        <v>#N/A</v>
      </c>
      <c r="CC95">
        <v>89</v>
      </c>
      <c r="CD95" s="26" t="e">
        <f t="shared" si="135"/>
        <v>#N/A</v>
      </c>
      <c r="CE95" s="26" t="e">
        <f t="shared" si="136"/>
        <v>#N/A</v>
      </c>
      <c r="CG95">
        <v>89</v>
      </c>
      <c r="CH95" s="24" t="e">
        <f t="shared" si="97"/>
        <v>#N/A</v>
      </c>
      <c r="CI95" s="24" t="e">
        <f t="shared" si="98"/>
        <v>#N/A</v>
      </c>
      <c r="CJ95" s="27">
        <f t="shared" si="99"/>
        <v>0</v>
      </c>
      <c r="CK95" s="27">
        <f t="shared" si="100"/>
        <v>0</v>
      </c>
      <c r="CL95" s="26">
        <f t="shared" si="101"/>
        <v>0</v>
      </c>
      <c r="CM95" s="26">
        <f t="shared" si="102"/>
        <v>0</v>
      </c>
      <c r="CN95" s="27">
        <f t="shared" si="103"/>
        <v>0</v>
      </c>
      <c r="CO95" s="27">
        <f t="shared" si="104"/>
        <v>0</v>
      </c>
      <c r="CP95" s="27">
        <f t="shared" si="105"/>
        <v>0</v>
      </c>
      <c r="CQ95" s="27">
        <f t="shared" si="106"/>
        <v>0</v>
      </c>
      <c r="CR95" s="24">
        <f t="shared" si="107"/>
        <v>0</v>
      </c>
      <c r="CS95" s="24">
        <f t="shared" si="108"/>
        <v>0</v>
      </c>
      <c r="CT95">
        <v>0</v>
      </c>
      <c r="CU95" s="24">
        <f t="shared" si="141"/>
        <v>0</v>
      </c>
      <c r="CV95" s="27">
        <f t="shared" si="109"/>
        <v>0</v>
      </c>
      <c r="CW95" s="27">
        <f t="shared" si="110"/>
        <v>0</v>
      </c>
      <c r="CX95" s="27">
        <f t="shared" si="111"/>
        <v>0</v>
      </c>
      <c r="CY95" s="27">
        <f t="shared" si="112"/>
        <v>0</v>
      </c>
      <c r="CZ95" s="24">
        <f t="shared" si="113"/>
        <v>0</v>
      </c>
      <c r="DA95" s="24">
        <f t="shared" si="114"/>
        <v>0</v>
      </c>
      <c r="DB95" s="27">
        <f t="shared" si="115"/>
        <v>0</v>
      </c>
      <c r="DC95" s="27">
        <f t="shared" si="116"/>
        <v>0</v>
      </c>
      <c r="DD95" s="27">
        <f t="shared" si="117"/>
        <v>0</v>
      </c>
      <c r="DE95" s="27">
        <f t="shared" si="118"/>
        <v>0</v>
      </c>
      <c r="DF95" s="24">
        <f t="shared" si="119"/>
        <v>0</v>
      </c>
      <c r="DG95" s="24">
        <f t="shared" si="120"/>
        <v>0</v>
      </c>
      <c r="DH95" s="24">
        <f t="shared" si="121"/>
        <v>0</v>
      </c>
      <c r="DI95" s="24">
        <f t="shared" si="122"/>
        <v>0</v>
      </c>
      <c r="DJ95" s="26">
        <f t="shared" si="142"/>
        <v>0</v>
      </c>
      <c r="DK95" s="26">
        <f t="shared" si="143"/>
        <v>0</v>
      </c>
      <c r="DP95" s="27"/>
      <c r="DQ95" s="27"/>
      <c r="DR95" s="27">
        <f t="shared" si="123"/>
        <v>0</v>
      </c>
      <c r="DS95" s="27">
        <f t="shared" si="124"/>
        <v>0</v>
      </c>
      <c r="DT95" s="27">
        <f t="shared" si="125"/>
        <v>0</v>
      </c>
      <c r="DU95" s="27">
        <f t="shared" si="126"/>
        <v>0</v>
      </c>
      <c r="DV95" s="27">
        <f t="shared" si="137"/>
        <v>0</v>
      </c>
      <c r="DW95" s="27">
        <f t="shared" si="138"/>
        <v>0</v>
      </c>
      <c r="DX95" s="27">
        <f t="shared" si="127"/>
        <v>0</v>
      </c>
      <c r="DY95" s="27">
        <f t="shared" si="128"/>
        <v>0</v>
      </c>
      <c r="DZ95" s="27">
        <f t="shared" si="129"/>
        <v>0</v>
      </c>
      <c r="EA95" s="27">
        <f t="shared" si="130"/>
        <v>0</v>
      </c>
      <c r="EB95" s="27">
        <f t="shared" si="139"/>
        <v>0</v>
      </c>
      <c r="EC95" s="27">
        <f t="shared" si="140"/>
        <v>0</v>
      </c>
    </row>
    <row r="96" spans="3:133" x14ac:dyDescent="0.35">
      <c r="C96" s="31">
        <f t="shared" si="93"/>
        <v>92</v>
      </c>
      <c r="D96" s="32">
        <v>111469.08</v>
      </c>
      <c r="E96" s="32">
        <v>118990.35</v>
      </c>
      <c r="F96" s="72"/>
      <c r="G96" s="31">
        <f t="shared" si="94"/>
        <v>92</v>
      </c>
      <c r="H96" s="32">
        <v>199051.93</v>
      </c>
      <c r="I96" s="32">
        <v>212482.77</v>
      </c>
      <c r="BQ96">
        <v>90</v>
      </c>
      <c r="BR96" s="26" t="e">
        <f t="shared" si="131"/>
        <v>#N/A</v>
      </c>
      <c r="BS96" s="26" t="e">
        <f t="shared" si="132"/>
        <v>#N/A</v>
      </c>
      <c r="BU96">
        <v>90</v>
      </c>
      <c r="BV96" s="26" t="e">
        <f t="shared" si="95"/>
        <v>#N/A</v>
      </c>
      <c r="BW96" s="26" t="e">
        <f t="shared" si="96"/>
        <v>#N/A</v>
      </c>
      <c r="BY96">
        <v>90</v>
      </c>
      <c r="BZ96" s="26" t="e">
        <f t="shared" si="133"/>
        <v>#N/A</v>
      </c>
      <c r="CA96" s="26" t="e">
        <f t="shared" si="134"/>
        <v>#N/A</v>
      </c>
      <c r="CC96">
        <v>90</v>
      </c>
      <c r="CD96" s="26" t="e">
        <f t="shared" si="135"/>
        <v>#N/A</v>
      </c>
      <c r="CE96" s="26" t="e">
        <f t="shared" si="136"/>
        <v>#N/A</v>
      </c>
      <c r="CG96">
        <v>90</v>
      </c>
      <c r="CH96" s="24" t="e">
        <f t="shared" si="97"/>
        <v>#N/A</v>
      </c>
      <c r="CI96" s="24" t="e">
        <f t="shared" si="98"/>
        <v>#N/A</v>
      </c>
      <c r="CJ96" s="27">
        <f t="shared" si="99"/>
        <v>0</v>
      </c>
      <c r="CK96" s="27">
        <f t="shared" si="100"/>
        <v>0</v>
      </c>
      <c r="CL96" s="26">
        <f t="shared" si="101"/>
        <v>0</v>
      </c>
      <c r="CM96" s="26">
        <f t="shared" si="102"/>
        <v>0</v>
      </c>
      <c r="CN96" s="27">
        <f t="shared" si="103"/>
        <v>0</v>
      </c>
      <c r="CO96" s="27">
        <f t="shared" si="104"/>
        <v>0</v>
      </c>
      <c r="CP96" s="27">
        <f t="shared" si="105"/>
        <v>0</v>
      </c>
      <c r="CQ96" s="27">
        <f t="shared" si="106"/>
        <v>0</v>
      </c>
      <c r="CR96" s="24">
        <f t="shared" si="107"/>
        <v>0</v>
      </c>
      <c r="CS96" s="24">
        <f t="shared" si="108"/>
        <v>0</v>
      </c>
      <c r="CT96">
        <v>0</v>
      </c>
      <c r="CU96" s="24">
        <f t="shared" si="141"/>
        <v>0</v>
      </c>
      <c r="CV96" s="27">
        <f t="shared" si="109"/>
        <v>0</v>
      </c>
      <c r="CW96" s="27">
        <f t="shared" si="110"/>
        <v>0</v>
      </c>
      <c r="CX96" s="27">
        <f t="shared" si="111"/>
        <v>0</v>
      </c>
      <c r="CY96" s="27">
        <f t="shared" si="112"/>
        <v>0</v>
      </c>
      <c r="CZ96" s="24">
        <f t="shared" si="113"/>
        <v>0</v>
      </c>
      <c r="DA96" s="24">
        <f t="shared" si="114"/>
        <v>0</v>
      </c>
      <c r="DB96" s="27">
        <f t="shared" si="115"/>
        <v>0</v>
      </c>
      <c r="DC96" s="27">
        <f t="shared" si="116"/>
        <v>0</v>
      </c>
      <c r="DD96" s="27">
        <f t="shared" si="117"/>
        <v>0</v>
      </c>
      <c r="DE96" s="27">
        <f t="shared" si="118"/>
        <v>0</v>
      </c>
      <c r="DF96" s="24">
        <f t="shared" si="119"/>
        <v>0</v>
      </c>
      <c r="DG96" s="24">
        <f t="shared" si="120"/>
        <v>0</v>
      </c>
      <c r="DH96" s="24">
        <f t="shared" si="121"/>
        <v>0</v>
      </c>
      <c r="DI96" s="24">
        <f t="shared" si="122"/>
        <v>0</v>
      </c>
      <c r="DJ96" s="26">
        <f t="shared" si="142"/>
        <v>0</v>
      </c>
      <c r="DK96" s="26">
        <f t="shared" si="143"/>
        <v>0</v>
      </c>
      <c r="DP96" s="27"/>
      <c r="DQ96" s="27"/>
      <c r="DR96" s="27">
        <f t="shared" si="123"/>
        <v>0</v>
      </c>
      <c r="DS96" s="27">
        <f t="shared" si="124"/>
        <v>0</v>
      </c>
      <c r="DT96" s="27">
        <f t="shared" si="125"/>
        <v>0</v>
      </c>
      <c r="DU96" s="27">
        <f t="shared" si="126"/>
        <v>0</v>
      </c>
      <c r="DV96" s="27">
        <f t="shared" si="137"/>
        <v>0</v>
      </c>
      <c r="DW96" s="27">
        <f t="shared" si="138"/>
        <v>0</v>
      </c>
      <c r="DX96" s="27">
        <f t="shared" si="127"/>
        <v>0</v>
      </c>
      <c r="DY96" s="27">
        <f t="shared" si="128"/>
        <v>0</v>
      </c>
      <c r="DZ96" s="27">
        <f t="shared" si="129"/>
        <v>0</v>
      </c>
      <c r="EA96" s="27">
        <f t="shared" si="130"/>
        <v>0</v>
      </c>
      <c r="EB96" s="27">
        <f t="shared" si="139"/>
        <v>0</v>
      </c>
      <c r="EC96" s="27">
        <f t="shared" si="140"/>
        <v>0</v>
      </c>
    </row>
    <row r="97" spans="3:133" x14ac:dyDescent="0.35">
      <c r="C97" s="31">
        <f t="shared" si="93"/>
        <v>93</v>
      </c>
      <c r="D97" s="32">
        <v>112362.77</v>
      </c>
      <c r="E97" s="32">
        <v>119944.35</v>
      </c>
      <c r="F97" s="72"/>
      <c r="G97" s="31">
        <f t="shared" si="94"/>
        <v>93</v>
      </c>
      <c r="H97" s="32">
        <v>200647.8</v>
      </c>
      <c r="I97" s="32">
        <v>214186.34</v>
      </c>
      <c r="BQ97">
        <v>91</v>
      </c>
      <c r="BR97" s="26" t="e">
        <f t="shared" si="131"/>
        <v>#N/A</v>
      </c>
      <c r="BS97" s="26" t="e">
        <f t="shared" si="132"/>
        <v>#N/A</v>
      </c>
      <c r="BU97">
        <v>91</v>
      </c>
      <c r="BV97" s="26" t="e">
        <f t="shared" si="95"/>
        <v>#N/A</v>
      </c>
      <c r="BW97" s="26" t="e">
        <f t="shared" si="96"/>
        <v>#N/A</v>
      </c>
      <c r="BY97">
        <v>91</v>
      </c>
      <c r="BZ97" s="26" t="e">
        <f t="shared" si="133"/>
        <v>#N/A</v>
      </c>
      <c r="CA97" s="26" t="e">
        <f t="shared" si="134"/>
        <v>#N/A</v>
      </c>
      <c r="CC97">
        <v>91</v>
      </c>
      <c r="CD97" s="26" t="e">
        <f t="shared" si="135"/>
        <v>#N/A</v>
      </c>
      <c r="CE97" s="26" t="e">
        <f t="shared" si="136"/>
        <v>#N/A</v>
      </c>
      <c r="CG97">
        <v>91</v>
      </c>
      <c r="CH97" s="24" t="e">
        <f t="shared" si="97"/>
        <v>#N/A</v>
      </c>
      <c r="CI97" s="24" t="e">
        <f t="shared" si="98"/>
        <v>#N/A</v>
      </c>
      <c r="CJ97" s="27">
        <f t="shared" si="99"/>
        <v>0</v>
      </c>
      <c r="CK97" s="27">
        <f t="shared" si="100"/>
        <v>0</v>
      </c>
      <c r="CL97" s="26">
        <f t="shared" si="101"/>
        <v>0</v>
      </c>
      <c r="CM97" s="26">
        <f t="shared" si="102"/>
        <v>0</v>
      </c>
      <c r="CN97" s="27">
        <f t="shared" si="103"/>
        <v>0</v>
      </c>
      <c r="CO97" s="27">
        <f t="shared" si="104"/>
        <v>0</v>
      </c>
      <c r="CP97" s="27">
        <f t="shared" si="105"/>
        <v>0</v>
      </c>
      <c r="CQ97" s="27">
        <f t="shared" si="106"/>
        <v>0</v>
      </c>
      <c r="CR97" s="24">
        <f t="shared" si="107"/>
        <v>0</v>
      </c>
      <c r="CS97" s="24">
        <f t="shared" si="108"/>
        <v>0</v>
      </c>
      <c r="CT97">
        <v>0</v>
      </c>
      <c r="CU97" s="24">
        <f t="shared" si="141"/>
        <v>0</v>
      </c>
      <c r="CV97" s="27">
        <f t="shared" si="109"/>
        <v>0</v>
      </c>
      <c r="CW97" s="27">
        <f t="shared" si="110"/>
        <v>0</v>
      </c>
      <c r="CX97" s="27">
        <f t="shared" si="111"/>
        <v>0</v>
      </c>
      <c r="CY97" s="27">
        <f t="shared" si="112"/>
        <v>0</v>
      </c>
      <c r="CZ97" s="24">
        <f t="shared" si="113"/>
        <v>0</v>
      </c>
      <c r="DA97" s="24">
        <f t="shared" si="114"/>
        <v>0</v>
      </c>
      <c r="DB97" s="27">
        <f t="shared" si="115"/>
        <v>0</v>
      </c>
      <c r="DC97" s="27">
        <f t="shared" si="116"/>
        <v>0</v>
      </c>
      <c r="DD97" s="27">
        <f t="shared" si="117"/>
        <v>0</v>
      </c>
      <c r="DE97" s="27">
        <f t="shared" si="118"/>
        <v>0</v>
      </c>
      <c r="DF97" s="24">
        <f t="shared" si="119"/>
        <v>0</v>
      </c>
      <c r="DG97" s="24">
        <f t="shared" si="120"/>
        <v>0</v>
      </c>
      <c r="DH97" s="24">
        <f t="shared" si="121"/>
        <v>0</v>
      </c>
      <c r="DI97" s="24">
        <f t="shared" si="122"/>
        <v>0</v>
      </c>
      <c r="DJ97" s="26">
        <f t="shared" si="142"/>
        <v>0</v>
      </c>
      <c r="DK97" s="26">
        <f t="shared" si="143"/>
        <v>0</v>
      </c>
      <c r="DP97" s="27"/>
      <c r="DQ97" s="27"/>
      <c r="DR97" s="27">
        <f t="shared" si="123"/>
        <v>0</v>
      </c>
      <c r="DS97" s="27">
        <f t="shared" si="124"/>
        <v>0</v>
      </c>
      <c r="DT97" s="27">
        <f t="shared" si="125"/>
        <v>0</v>
      </c>
      <c r="DU97" s="27">
        <f t="shared" si="126"/>
        <v>0</v>
      </c>
      <c r="DV97" s="27">
        <f t="shared" si="137"/>
        <v>0</v>
      </c>
      <c r="DW97" s="27">
        <f t="shared" si="138"/>
        <v>0</v>
      </c>
      <c r="DX97" s="27">
        <f t="shared" si="127"/>
        <v>0</v>
      </c>
      <c r="DY97" s="27">
        <f t="shared" si="128"/>
        <v>0</v>
      </c>
      <c r="DZ97" s="27">
        <f t="shared" si="129"/>
        <v>0</v>
      </c>
      <c r="EA97" s="27">
        <f t="shared" si="130"/>
        <v>0</v>
      </c>
      <c r="EB97" s="27">
        <f t="shared" si="139"/>
        <v>0</v>
      </c>
      <c r="EC97" s="27">
        <f t="shared" si="140"/>
        <v>0</v>
      </c>
    </row>
    <row r="98" spans="3:133" x14ac:dyDescent="0.35">
      <c r="C98" s="31">
        <f t="shared" si="93"/>
        <v>94</v>
      </c>
      <c r="D98" s="32">
        <v>113263.65</v>
      </c>
      <c r="E98" s="32">
        <v>120906</v>
      </c>
      <c r="F98" s="72"/>
      <c r="G98" s="31">
        <f t="shared" si="94"/>
        <v>94</v>
      </c>
      <c r="H98" s="32">
        <v>202256.52</v>
      </c>
      <c r="I98" s="32">
        <v>215903.57</v>
      </c>
      <c r="BQ98">
        <v>92</v>
      </c>
      <c r="BR98" s="26" t="e">
        <f t="shared" si="131"/>
        <v>#N/A</v>
      </c>
      <c r="BS98" s="26" t="e">
        <f t="shared" si="132"/>
        <v>#N/A</v>
      </c>
      <c r="BU98">
        <v>92</v>
      </c>
      <c r="BV98" s="26" t="e">
        <f t="shared" si="95"/>
        <v>#N/A</v>
      </c>
      <c r="BW98" s="26" t="e">
        <f t="shared" si="96"/>
        <v>#N/A</v>
      </c>
      <c r="BY98">
        <v>92</v>
      </c>
      <c r="BZ98" s="26" t="e">
        <f t="shared" si="133"/>
        <v>#N/A</v>
      </c>
      <c r="CA98" s="26" t="e">
        <f t="shared" si="134"/>
        <v>#N/A</v>
      </c>
      <c r="CC98">
        <v>92</v>
      </c>
      <c r="CD98" s="26" t="e">
        <f t="shared" si="135"/>
        <v>#N/A</v>
      </c>
      <c r="CE98" s="26" t="e">
        <f t="shared" si="136"/>
        <v>#N/A</v>
      </c>
      <c r="CG98">
        <v>92</v>
      </c>
      <c r="CH98" s="24" t="e">
        <f t="shared" si="97"/>
        <v>#N/A</v>
      </c>
      <c r="CI98" s="24" t="e">
        <f t="shared" si="98"/>
        <v>#N/A</v>
      </c>
      <c r="CJ98" s="27">
        <f t="shared" si="99"/>
        <v>0</v>
      </c>
      <c r="CK98" s="27">
        <f t="shared" si="100"/>
        <v>0</v>
      </c>
      <c r="CL98" s="26">
        <f t="shared" si="101"/>
        <v>0</v>
      </c>
      <c r="CM98" s="26">
        <f t="shared" si="102"/>
        <v>0</v>
      </c>
      <c r="CN98" s="27">
        <f t="shared" si="103"/>
        <v>0</v>
      </c>
      <c r="CO98" s="27">
        <f t="shared" si="104"/>
        <v>0</v>
      </c>
      <c r="CP98" s="27">
        <f t="shared" si="105"/>
        <v>0</v>
      </c>
      <c r="CQ98" s="27">
        <f t="shared" si="106"/>
        <v>0</v>
      </c>
      <c r="CR98" s="24">
        <f t="shared" si="107"/>
        <v>0</v>
      </c>
      <c r="CS98" s="24">
        <f t="shared" si="108"/>
        <v>0</v>
      </c>
      <c r="CT98">
        <v>0</v>
      </c>
      <c r="CU98" s="24">
        <f t="shared" si="141"/>
        <v>0</v>
      </c>
      <c r="CV98" s="27">
        <f t="shared" si="109"/>
        <v>0</v>
      </c>
      <c r="CW98" s="27">
        <f t="shared" si="110"/>
        <v>0</v>
      </c>
      <c r="CX98" s="27">
        <f t="shared" si="111"/>
        <v>0</v>
      </c>
      <c r="CY98" s="27">
        <f t="shared" si="112"/>
        <v>0</v>
      </c>
      <c r="CZ98" s="24">
        <f t="shared" si="113"/>
        <v>0</v>
      </c>
      <c r="DA98" s="24">
        <f t="shared" si="114"/>
        <v>0</v>
      </c>
      <c r="DB98" s="27">
        <f t="shared" si="115"/>
        <v>0</v>
      </c>
      <c r="DC98" s="27">
        <f t="shared" si="116"/>
        <v>0</v>
      </c>
      <c r="DD98" s="27">
        <f t="shared" si="117"/>
        <v>0</v>
      </c>
      <c r="DE98" s="27">
        <f t="shared" si="118"/>
        <v>0</v>
      </c>
      <c r="DF98" s="24">
        <f t="shared" si="119"/>
        <v>0</v>
      </c>
      <c r="DG98" s="24">
        <f t="shared" si="120"/>
        <v>0</v>
      </c>
      <c r="DH98" s="24">
        <f t="shared" si="121"/>
        <v>0</v>
      </c>
      <c r="DI98" s="24">
        <f t="shared" si="122"/>
        <v>0</v>
      </c>
      <c r="DJ98" s="26">
        <f t="shared" si="142"/>
        <v>0</v>
      </c>
      <c r="DK98" s="26">
        <f t="shared" si="143"/>
        <v>0</v>
      </c>
      <c r="DP98" s="27"/>
      <c r="DQ98" s="27"/>
      <c r="DR98" s="27">
        <f t="shared" si="123"/>
        <v>0</v>
      </c>
      <c r="DS98" s="27">
        <f t="shared" si="124"/>
        <v>0</v>
      </c>
      <c r="DT98" s="27">
        <f t="shared" si="125"/>
        <v>0</v>
      </c>
      <c r="DU98" s="27">
        <f t="shared" si="126"/>
        <v>0</v>
      </c>
      <c r="DV98" s="27">
        <f t="shared" si="137"/>
        <v>0</v>
      </c>
      <c r="DW98" s="27">
        <f t="shared" si="138"/>
        <v>0</v>
      </c>
      <c r="DX98" s="27">
        <f t="shared" si="127"/>
        <v>0</v>
      </c>
      <c r="DY98" s="27">
        <f t="shared" si="128"/>
        <v>0</v>
      </c>
      <c r="DZ98" s="27">
        <f t="shared" si="129"/>
        <v>0</v>
      </c>
      <c r="EA98" s="27">
        <f t="shared" si="130"/>
        <v>0</v>
      </c>
      <c r="EB98" s="27">
        <f t="shared" si="139"/>
        <v>0</v>
      </c>
      <c r="EC98" s="27">
        <f t="shared" si="140"/>
        <v>0</v>
      </c>
    </row>
    <row r="99" spans="3:133" x14ac:dyDescent="0.35">
      <c r="C99" s="31">
        <f t="shared" si="93"/>
        <v>95</v>
      </c>
      <c r="D99" s="32">
        <v>114171.73</v>
      </c>
      <c r="E99" s="32">
        <v>121875.37</v>
      </c>
      <c r="F99" s="72"/>
      <c r="G99" s="31">
        <f t="shared" si="94"/>
        <v>95</v>
      </c>
      <c r="H99" s="32">
        <v>203878.09</v>
      </c>
      <c r="I99" s="32">
        <v>217634.59</v>
      </c>
      <c r="BQ99">
        <v>93</v>
      </c>
      <c r="BR99" s="26" t="e">
        <f t="shared" si="131"/>
        <v>#N/A</v>
      </c>
      <c r="BS99" s="26" t="e">
        <f t="shared" si="132"/>
        <v>#N/A</v>
      </c>
      <c r="BU99">
        <v>93</v>
      </c>
      <c r="BV99" s="26" t="e">
        <f t="shared" si="95"/>
        <v>#N/A</v>
      </c>
      <c r="BW99" s="26" t="e">
        <f t="shared" si="96"/>
        <v>#N/A</v>
      </c>
      <c r="BY99">
        <v>93</v>
      </c>
      <c r="BZ99" s="26" t="e">
        <f t="shared" si="133"/>
        <v>#N/A</v>
      </c>
      <c r="CA99" s="26" t="e">
        <f t="shared" si="134"/>
        <v>#N/A</v>
      </c>
      <c r="CC99">
        <v>93</v>
      </c>
      <c r="CD99" s="26" t="e">
        <f t="shared" si="135"/>
        <v>#N/A</v>
      </c>
      <c r="CE99" s="26" t="e">
        <f t="shared" si="136"/>
        <v>#N/A</v>
      </c>
      <c r="CG99">
        <v>93</v>
      </c>
      <c r="CH99" s="24" t="e">
        <f t="shared" si="97"/>
        <v>#N/A</v>
      </c>
      <c r="CI99" s="24" t="e">
        <f t="shared" si="98"/>
        <v>#N/A</v>
      </c>
      <c r="CJ99" s="27">
        <f t="shared" si="99"/>
        <v>0</v>
      </c>
      <c r="CK99" s="27">
        <f t="shared" si="100"/>
        <v>0</v>
      </c>
      <c r="CL99" s="26">
        <f t="shared" si="101"/>
        <v>0</v>
      </c>
      <c r="CM99" s="26">
        <f t="shared" si="102"/>
        <v>0</v>
      </c>
      <c r="CN99" s="27">
        <f t="shared" si="103"/>
        <v>0</v>
      </c>
      <c r="CO99" s="27">
        <f t="shared" si="104"/>
        <v>0</v>
      </c>
      <c r="CP99" s="27">
        <f t="shared" si="105"/>
        <v>0</v>
      </c>
      <c r="CQ99" s="27">
        <f t="shared" si="106"/>
        <v>0</v>
      </c>
      <c r="CR99" s="24">
        <f t="shared" si="107"/>
        <v>0</v>
      </c>
      <c r="CS99" s="24">
        <f t="shared" si="108"/>
        <v>0</v>
      </c>
      <c r="CT99">
        <v>0</v>
      </c>
      <c r="CU99" s="24">
        <f t="shared" si="141"/>
        <v>0</v>
      </c>
      <c r="CV99" s="27">
        <f t="shared" si="109"/>
        <v>0</v>
      </c>
      <c r="CW99" s="27">
        <f t="shared" si="110"/>
        <v>0</v>
      </c>
      <c r="CX99" s="27">
        <f t="shared" si="111"/>
        <v>0</v>
      </c>
      <c r="CY99" s="27">
        <f t="shared" si="112"/>
        <v>0</v>
      </c>
      <c r="CZ99" s="24">
        <f t="shared" si="113"/>
        <v>0</v>
      </c>
      <c r="DA99" s="24">
        <f t="shared" si="114"/>
        <v>0</v>
      </c>
      <c r="DB99" s="27">
        <f t="shared" si="115"/>
        <v>0</v>
      </c>
      <c r="DC99" s="27">
        <f t="shared" si="116"/>
        <v>0</v>
      </c>
      <c r="DD99" s="27">
        <f t="shared" si="117"/>
        <v>0</v>
      </c>
      <c r="DE99" s="27">
        <f t="shared" si="118"/>
        <v>0</v>
      </c>
      <c r="DF99" s="24">
        <f t="shared" si="119"/>
        <v>0</v>
      </c>
      <c r="DG99" s="24">
        <f t="shared" si="120"/>
        <v>0</v>
      </c>
      <c r="DH99" s="24">
        <f t="shared" si="121"/>
        <v>0</v>
      </c>
      <c r="DI99" s="24">
        <f t="shared" si="122"/>
        <v>0</v>
      </c>
      <c r="DJ99" s="26">
        <f t="shared" si="142"/>
        <v>0</v>
      </c>
      <c r="DK99" s="26">
        <f t="shared" si="143"/>
        <v>0</v>
      </c>
      <c r="DP99" s="27"/>
      <c r="DQ99" s="27"/>
      <c r="DR99" s="27">
        <f t="shared" si="123"/>
        <v>0</v>
      </c>
      <c r="DS99" s="27">
        <f t="shared" si="124"/>
        <v>0</v>
      </c>
      <c r="DT99" s="27">
        <f t="shared" si="125"/>
        <v>0</v>
      </c>
      <c r="DU99" s="27">
        <f t="shared" si="126"/>
        <v>0</v>
      </c>
      <c r="DV99" s="27">
        <f t="shared" si="137"/>
        <v>0</v>
      </c>
      <c r="DW99" s="27">
        <f t="shared" si="138"/>
        <v>0</v>
      </c>
      <c r="DX99" s="27">
        <f t="shared" si="127"/>
        <v>0</v>
      </c>
      <c r="DY99" s="27">
        <f t="shared" si="128"/>
        <v>0</v>
      </c>
      <c r="DZ99" s="27">
        <f t="shared" si="129"/>
        <v>0</v>
      </c>
      <c r="EA99" s="27">
        <f t="shared" si="130"/>
        <v>0</v>
      </c>
      <c r="EB99" s="27">
        <f t="shared" si="139"/>
        <v>0</v>
      </c>
      <c r="EC99" s="27">
        <f t="shared" si="140"/>
        <v>0</v>
      </c>
    </row>
    <row r="100" spans="3:133" x14ac:dyDescent="0.35">
      <c r="C100" s="31">
        <f t="shared" si="93"/>
        <v>96</v>
      </c>
      <c r="D100" s="32">
        <v>115087.1</v>
      </c>
      <c r="E100" s="32">
        <v>122852.49</v>
      </c>
      <c r="F100" s="72"/>
      <c r="G100" s="31">
        <f t="shared" si="94"/>
        <v>96</v>
      </c>
      <c r="H100" s="32">
        <v>205512.68</v>
      </c>
      <c r="I100" s="32">
        <v>219379.45</v>
      </c>
      <c r="BQ100">
        <v>94</v>
      </c>
      <c r="BR100" s="26" t="e">
        <f t="shared" si="131"/>
        <v>#N/A</v>
      </c>
      <c r="BS100" s="26" t="e">
        <f t="shared" si="132"/>
        <v>#N/A</v>
      </c>
      <c r="BU100">
        <v>94</v>
      </c>
      <c r="BV100" s="26" t="e">
        <f t="shared" si="95"/>
        <v>#N/A</v>
      </c>
      <c r="BW100" s="26" t="e">
        <f t="shared" si="96"/>
        <v>#N/A</v>
      </c>
      <c r="BY100">
        <v>94</v>
      </c>
      <c r="BZ100" s="26" t="e">
        <f t="shared" si="133"/>
        <v>#N/A</v>
      </c>
      <c r="CA100" s="26" t="e">
        <f t="shared" si="134"/>
        <v>#N/A</v>
      </c>
      <c r="CC100">
        <v>94</v>
      </c>
      <c r="CD100" s="26" t="e">
        <f t="shared" si="135"/>
        <v>#N/A</v>
      </c>
      <c r="CE100" s="26" t="e">
        <f t="shared" si="136"/>
        <v>#N/A</v>
      </c>
      <c r="CG100">
        <v>94</v>
      </c>
      <c r="CH100" s="24" t="e">
        <f t="shared" si="97"/>
        <v>#N/A</v>
      </c>
      <c r="CI100" s="24" t="e">
        <f t="shared" si="98"/>
        <v>#N/A</v>
      </c>
      <c r="CJ100" s="27">
        <f t="shared" si="99"/>
        <v>0</v>
      </c>
      <c r="CK100" s="27">
        <f t="shared" si="100"/>
        <v>0</v>
      </c>
      <c r="CL100" s="26">
        <f t="shared" si="101"/>
        <v>0</v>
      </c>
      <c r="CM100" s="26">
        <f t="shared" si="102"/>
        <v>0</v>
      </c>
      <c r="CN100" s="27">
        <f t="shared" si="103"/>
        <v>0</v>
      </c>
      <c r="CO100" s="27">
        <f t="shared" si="104"/>
        <v>0</v>
      </c>
      <c r="CP100" s="27">
        <f t="shared" si="105"/>
        <v>0</v>
      </c>
      <c r="CQ100" s="27">
        <f t="shared" si="106"/>
        <v>0</v>
      </c>
      <c r="CR100" s="24">
        <f t="shared" si="107"/>
        <v>0</v>
      </c>
      <c r="CS100" s="24">
        <f t="shared" si="108"/>
        <v>0</v>
      </c>
      <c r="CT100">
        <v>0</v>
      </c>
      <c r="CU100" s="24">
        <f t="shared" si="141"/>
        <v>0</v>
      </c>
      <c r="CV100" s="27">
        <f t="shared" si="109"/>
        <v>0</v>
      </c>
      <c r="CW100" s="27">
        <f t="shared" si="110"/>
        <v>0</v>
      </c>
      <c r="CX100" s="27">
        <f t="shared" si="111"/>
        <v>0</v>
      </c>
      <c r="CY100" s="27">
        <f t="shared" si="112"/>
        <v>0</v>
      </c>
      <c r="CZ100" s="24">
        <f t="shared" si="113"/>
        <v>0</v>
      </c>
      <c r="DA100" s="24">
        <f t="shared" si="114"/>
        <v>0</v>
      </c>
      <c r="DB100" s="27">
        <f t="shared" si="115"/>
        <v>0</v>
      </c>
      <c r="DC100" s="27">
        <f t="shared" si="116"/>
        <v>0</v>
      </c>
      <c r="DD100" s="27">
        <f t="shared" si="117"/>
        <v>0</v>
      </c>
      <c r="DE100" s="27">
        <f t="shared" si="118"/>
        <v>0</v>
      </c>
      <c r="DF100" s="24">
        <f t="shared" si="119"/>
        <v>0</v>
      </c>
      <c r="DG100" s="24">
        <f t="shared" si="120"/>
        <v>0</v>
      </c>
      <c r="DH100" s="24">
        <f t="shared" si="121"/>
        <v>0</v>
      </c>
      <c r="DI100" s="24">
        <f t="shared" si="122"/>
        <v>0</v>
      </c>
      <c r="DJ100" s="26">
        <f t="shared" si="142"/>
        <v>0</v>
      </c>
      <c r="DK100" s="26">
        <f t="shared" si="143"/>
        <v>0</v>
      </c>
      <c r="DP100" s="27"/>
      <c r="DQ100" s="27"/>
      <c r="DR100" s="27">
        <f t="shared" si="123"/>
        <v>0</v>
      </c>
      <c r="DS100" s="27">
        <f t="shared" si="124"/>
        <v>0</v>
      </c>
      <c r="DT100" s="27">
        <f t="shared" si="125"/>
        <v>0</v>
      </c>
      <c r="DU100" s="27">
        <f t="shared" si="126"/>
        <v>0</v>
      </c>
      <c r="DV100" s="27">
        <f t="shared" si="137"/>
        <v>0</v>
      </c>
      <c r="DW100" s="27">
        <f t="shared" si="138"/>
        <v>0</v>
      </c>
      <c r="DX100" s="27">
        <f t="shared" si="127"/>
        <v>0</v>
      </c>
      <c r="DY100" s="27">
        <f t="shared" si="128"/>
        <v>0</v>
      </c>
      <c r="DZ100" s="27">
        <f t="shared" si="129"/>
        <v>0</v>
      </c>
      <c r="EA100" s="27">
        <f t="shared" si="130"/>
        <v>0</v>
      </c>
      <c r="EB100" s="27">
        <f t="shared" si="139"/>
        <v>0</v>
      </c>
      <c r="EC100" s="27">
        <f t="shared" si="140"/>
        <v>0</v>
      </c>
    </row>
    <row r="101" spans="3:133" x14ac:dyDescent="0.35">
      <c r="C101" s="31">
        <f t="shared" si="93"/>
        <v>97</v>
      </c>
      <c r="D101" s="32">
        <v>116009.81</v>
      </c>
      <c r="E101" s="32">
        <v>123837.46</v>
      </c>
      <c r="F101" s="72"/>
      <c r="G101" s="31">
        <f t="shared" si="94"/>
        <v>97</v>
      </c>
      <c r="H101" s="32">
        <v>207160.38</v>
      </c>
      <c r="I101" s="32">
        <v>221138.32</v>
      </c>
      <c r="BQ101">
        <v>95</v>
      </c>
      <c r="BR101" s="26" t="e">
        <f t="shared" si="131"/>
        <v>#N/A</v>
      </c>
      <c r="BS101" s="26" t="e">
        <f t="shared" si="132"/>
        <v>#N/A</v>
      </c>
      <c r="BU101">
        <v>95</v>
      </c>
      <c r="BV101" s="26" t="e">
        <f t="shared" si="95"/>
        <v>#N/A</v>
      </c>
      <c r="BW101" s="26" t="e">
        <f t="shared" si="96"/>
        <v>#N/A</v>
      </c>
      <c r="BY101">
        <v>95</v>
      </c>
      <c r="BZ101" s="26" t="e">
        <f t="shared" si="133"/>
        <v>#N/A</v>
      </c>
      <c r="CA101" s="26" t="e">
        <f t="shared" si="134"/>
        <v>#N/A</v>
      </c>
      <c r="CC101">
        <v>95</v>
      </c>
      <c r="CD101" s="26" t="e">
        <f t="shared" si="135"/>
        <v>#N/A</v>
      </c>
      <c r="CE101" s="26" t="e">
        <f t="shared" si="136"/>
        <v>#N/A</v>
      </c>
      <c r="CG101">
        <v>95</v>
      </c>
      <c r="CH101" s="24" t="e">
        <f t="shared" si="97"/>
        <v>#N/A</v>
      </c>
      <c r="CI101" s="24" t="e">
        <f t="shared" si="98"/>
        <v>#N/A</v>
      </c>
      <c r="CJ101" s="27">
        <f t="shared" si="99"/>
        <v>0</v>
      </c>
      <c r="CK101" s="27">
        <f t="shared" si="100"/>
        <v>0</v>
      </c>
      <c r="CL101" s="26">
        <f t="shared" si="101"/>
        <v>0</v>
      </c>
      <c r="CM101" s="26">
        <f t="shared" si="102"/>
        <v>0</v>
      </c>
      <c r="CN101" s="27">
        <f t="shared" si="103"/>
        <v>0</v>
      </c>
      <c r="CO101" s="27">
        <f t="shared" si="104"/>
        <v>0</v>
      </c>
      <c r="CP101" s="27">
        <f t="shared" si="105"/>
        <v>0</v>
      </c>
      <c r="CQ101" s="27">
        <f t="shared" si="106"/>
        <v>0</v>
      </c>
      <c r="CR101" s="24">
        <f t="shared" si="107"/>
        <v>0</v>
      </c>
      <c r="CS101" s="24">
        <f t="shared" si="108"/>
        <v>0</v>
      </c>
      <c r="CT101">
        <v>0</v>
      </c>
      <c r="CU101" s="24">
        <f t="shared" si="141"/>
        <v>0</v>
      </c>
      <c r="CV101" s="27">
        <f t="shared" si="109"/>
        <v>0</v>
      </c>
      <c r="CW101" s="27">
        <f t="shared" si="110"/>
        <v>0</v>
      </c>
      <c r="CX101" s="27">
        <f t="shared" si="111"/>
        <v>0</v>
      </c>
      <c r="CY101" s="27">
        <f t="shared" si="112"/>
        <v>0</v>
      </c>
      <c r="CZ101" s="24">
        <f t="shared" si="113"/>
        <v>0</v>
      </c>
      <c r="DA101" s="24">
        <f t="shared" si="114"/>
        <v>0</v>
      </c>
      <c r="DB101" s="27">
        <f t="shared" si="115"/>
        <v>0</v>
      </c>
      <c r="DC101" s="27">
        <f t="shared" si="116"/>
        <v>0</v>
      </c>
      <c r="DD101" s="27">
        <f t="shared" si="117"/>
        <v>0</v>
      </c>
      <c r="DE101" s="27">
        <f t="shared" si="118"/>
        <v>0</v>
      </c>
      <c r="DF101" s="24">
        <f t="shared" si="119"/>
        <v>0</v>
      </c>
      <c r="DG101" s="24">
        <f t="shared" si="120"/>
        <v>0</v>
      </c>
      <c r="DH101" s="24">
        <f t="shared" si="121"/>
        <v>0</v>
      </c>
      <c r="DI101" s="24">
        <f t="shared" si="122"/>
        <v>0</v>
      </c>
      <c r="DJ101" s="26">
        <f t="shared" si="142"/>
        <v>0</v>
      </c>
      <c r="DK101" s="26">
        <f t="shared" si="143"/>
        <v>0</v>
      </c>
      <c r="DP101" s="27"/>
      <c r="DQ101" s="27"/>
      <c r="DR101" s="27">
        <f t="shared" si="123"/>
        <v>0</v>
      </c>
      <c r="DS101" s="27">
        <f t="shared" si="124"/>
        <v>0</v>
      </c>
      <c r="DT101" s="27">
        <f t="shared" si="125"/>
        <v>0</v>
      </c>
      <c r="DU101" s="27">
        <f t="shared" si="126"/>
        <v>0</v>
      </c>
      <c r="DV101" s="27">
        <f t="shared" si="137"/>
        <v>0</v>
      </c>
      <c r="DW101" s="27">
        <f t="shared" si="138"/>
        <v>0</v>
      </c>
      <c r="DX101" s="27">
        <f t="shared" si="127"/>
        <v>0</v>
      </c>
      <c r="DY101" s="27">
        <f t="shared" si="128"/>
        <v>0</v>
      </c>
      <c r="DZ101" s="27">
        <f t="shared" si="129"/>
        <v>0</v>
      </c>
      <c r="EA101" s="27">
        <f t="shared" si="130"/>
        <v>0</v>
      </c>
      <c r="EB101" s="27">
        <f t="shared" si="139"/>
        <v>0</v>
      </c>
      <c r="EC101" s="27">
        <f t="shared" si="140"/>
        <v>0</v>
      </c>
    </row>
    <row r="102" spans="3:133" x14ac:dyDescent="0.35">
      <c r="C102" s="31">
        <f t="shared" si="93"/>
        <v>98</v>
      </c>
      <c r="D102" s="32">
        <v>116939.91</v>
      </c>
      <c r="E102" s="32">
        <v>124830.32</v>
      </c>
      <c r="F102" s="72"/>
      <c r="G102" s="31">
        <f t="shared" si="94"/>
        <v>98</v>
      </c>
      <c r="H102" s="32">
        <v>208821.27</v>
      </c>
      <c r="I102" s="32">
        <v>222911.29</v>
      </c>
      <c r="BQ102">
        <v>96</v>
      </c>
      <c r="BR102" s="26" t="e">
        <f t="shared" si="131"/>
        <v>#N/A</v>
      </c>
      <c r="BS102" s="26" t="e">
        <f t="shared" si="132"/>
        <v>#N/A</v>
      </c>
      <c r="BU102">
        <v>96</v>
      </c>
      <c r="BV102" s="26" t="e">
        <f t="shared" si="95"/>
        <v>#N/A</v>
      </c>
      <c r="BW102" s="26" t="e">
        <f t="shared" si="96"/>
        <v>#N/A</v>
      </c>
      <c r="BY102">
        <v>96</v>
      </c>
      <c r="BZ102" s="26" t="e">
        <f t="shared" si="133"/>
        <v>#N/A</v>
      </c>
      <c r="CA102" s="26" t="e">
        <f t="shared" si="134"/>
        <v>#N/A</v>
      </c>
      <c r="CC102">
        <v>96</v>
      </c>
      <c r="CD102" s="26" t="e">
        <f t="shared" si="135"/>
        <v>#N/A</v>
      </c>
      <c r="CE102" s="26" t="e">
        <f t="shared" si="136"/>
        <v>#N/A</v>
      </c>
      <c r="CG102">
        <v>96</v>
      </c>
      <c r="CH102" s="24" t="e">
        <f t="shared" ref="CH102:CH106" si="144">ROUND((H100*$BN$4*$BN$5*$BN$6*$BN$7*$BN$8*$BN$9),4)</f>
        <v>#N/A</v>
      </c>
      <c r="CI102" s="24" t="e">
        <f t="shared" ref="CI102:CI106" si="145">ROUND((I100*$BN$4*$BN$5*$BN$6*$BN$7*$BN$8*$BN$9),4)</f>
        <v>#N/A</v>
      </c>
      <c r="CJ102" s="27">
        <f t="shared" si="99"/>
        <v>0</v>
      </c>
      <c r="CK102" s="27">
        <f t="shared" si="100"/>
        <v>0</v>
      </c>
      <c r="CL102" s="26">
        <f t="shared" ref="CL102:CL106" si="146">ROUND(IF($CM$1=1,((D100*$BN$4*$BN$5*$BN$7*$BN$8*$BN$9)/(1-$L$7))*$AJ$3,0),4)</f>
        <v>0</v>
      </c>
      <c r="CM102" s="26">
        <f t="shared" ref="CM102:CM106" si="147">ROUND(IF($CM$1=1,((E100*$BN$4*$BN$5*$BN$7*$BN$8*$BN$9)/(1-$L$7))*$AJ$3,0),4)</f>
        <v>0</v>
      </c>
      <c r="CN102" s="27">
        <f t="shared" ref="CN102:CN106" si="148">ROUND(IF($CO$1=1,((D100*$BN$4*$BN$5*$BN$6*$BN$8*$BN$9)/(1-$L$7))*$AJ$11,0),4)</f>
        <v>0</v>
      </c>
      <c r="CO102" s="27">
        <f t="shared" ref="CO102:CO106" si="149">ROUND(IF($CO$1=1,((E100*$BN$4*$BN$5*$BN$6*$BN$8*$BN$9)/(1-$L$7))*$AJ$11,0),4)</f>
        <v>0</v>
      </c>
      <c r="CP102" s="27">
        <f t="shared" si="105"/>
        <v>0</v>
      </c>
      <c r="CQ102" s="27">
        <f t="shared" si="106"/>
        <v>0</v>
      </c>
      <c r="CR102" s="24">
        <f t="shared" ref="CR102:CR106" si="150">ROUND(IF($CS$1=1,((D100*$CS$2*$BN$4*$BN$5)/(1-$L$7)),0),4)</f>
        <v>0</v>
      </c>
      <c r="CS102" s="24">
        <f t="shared" ref="CS102:CS106" si="151">ROUND(IF($CS$1=1,((E100*$CS$2*$BN$4*$BN$5)/(1-$L$7)),0),4)</f>
        <v>0</v>
      </c>
      <c r="CT102">
        <v>0</v>
      </c>
      <c r="CU102" s="24">
        <f t="shared" si="141"/>
        <v>0</v>
      </c>
      <c r="CV102" s="27">
        <f t="shared" ref="CV102:CV106" si="152">ROUND(IF($CW$1=1,(D100*$BN$5*$BN$6*$BN$7*$BN$8*$BN$9*$CW$2)/(1-$L$7),0),4)</f>
        <v>0</v>
      </c>
      <c r="CW102" s="27">
        <f t="shared" ref="CW102:CW106" si="153">ROUND(IF($CW$1=1,(E100*$BN$5*$BN$6*$BN$7*$BN$8*$BN$9*$CW$2)/(1-$L$7),0),4)</f>
        <v>0</v>
      </c>
      <c r="CX102" s="27">
        <f t="shared" ref="CX102:CX106" si="154">ROUND(IF($CY$1=1,(D100*$BN$4*$BN$5*$BI$3)/(1-$L$7),0),4)</f>
        <v>0</v>
      </c>
      <c r="CY102" s="27">
        <f t="shared" ref="CY102:CY106" si="155">ROUND(IF($CY$1=1,(E100*$BN$4*$BN$5*$BI$3)/(1-$L$7),0),4)</f>
        <v>0</v>
      </c>
      <c r="CZ102" s="24">
        <f t="shared" ref="CZ102:CZ106" si="156">ROUND(IF($DA$1=1,(D100*$AW$3)/(1-$L$7),0),4)</f>
        <v>0</v>
      </c>
      <c r="DA102" s="24">
        <f t="shared" ref="DA102:DA106" si="157">ROUND(IF($DA$1=1,(E100*$AW$3)/(1-$L$7),0),4)</f>
        <v>0</v>
      </c>
      <c r="DB102" s="27">
        <f t="shared" si="115"/>
        <v>0</v>
      </c>
      <c r="DC102" s="27">
        <f t="shared" si="116"/>
        <v>0</v>
      </c>
      <c r="DD102" s="27">
        <f t="shared" ref="DD102:DD106" si="158">ROUND(IF($DE$1=1,(D100*$BN$4*$BN$5*$BN$7*$BN$8*$BN$9*$DE$2)/(1-$L$7),0),4)</f>
        <v>0</v>
      </c>
      <c r="DE102" s="27">
        <f t="shared" ref="DE102:DE106" si="159">ROUND(IF($DE$1=1,(E100*$BN$4*$BN$5*$BN$7*$BN$8*$BN$9*$DE$2)/(1-$L$7),0),4)</f>
        <v>0</v>
      </c>
      <c r="DF102" s="24">
        <f t="shared" ref="DF102:DF106" si="160">ROUND(IF($DG$1=1,((D100*$BN$4*$BN$5*$BN$6*$BN$9)/(1-$L$7))*$BC$7,0),4)</f>
        <v>0</v>
      </c>
      <c r="DG102" s="24">
        <f t="shared" ref="DG102:DG106" si="161">ROUND(IF($DG$1=1,((E100*$BN$4*$BN$5*$BN$6*$BN$9)/(1-$L$7))*$BC$7,0),4)</f>
        <v>0</v>
      </c>
      <c r="DH102" s="24">
        <f t="shared" ref="DH102:DH106" si="162">ROUND(IF($DI$1=1,(D100*$BC$3)/(1-$L$7),0),4)</f>
        <v>0</v>
      </c>
      <c r="DI102" s="24">
        <f t="shared" ref="DI102:DI106" si="163">ROUND(IF($DI$1=1,(E100*$BC$3)/(1-$L$7),0),4)</f>
        <v>0</v>
      </c>
      <c r="DJ102" s="26">
        <f t="shared" si="142"/>
        <v>0</v>
      </c>
      <c r="DK102" s="26">
        <f t="shared" si="143"/>
        <v>0</v>
      </c>
      <c r="DP102" s="27"/>
      <c r="DQ102" s="27"/>
      <c r="DR102" s="27">
        <f t="shared" si="123"/>
        <v>0</v>
      </c>
      <c r="DS102" s="27">
        <f t="shared" si="124"/>
        <v>0</v>
      </c>
      <c r="DT102" s="27">
        <f t="shared" si="125"/>
        <v>0</v>
      </c>
      <c r="DU102" s="27">
        <f t="shared" si="126"/>
        <v>0</v>
      </c>
      <c r="DV102" s="27">
        <f t="shared" si="137"/>
        <v>0</v>
      </c>
      <c r="DW102" s="27">
        <f t="shared" si="138"/>
        <v>0</v>
      </c>
      <c r="DX102" s="27">
        <f t="shared" ref="DX102:DX106" si="164">ROUND(IF($DY$1=1,(D100*$BN$5*$BN$7*$BN$8*$BN$9*$DY$2)/(1-$L$7),0),4)</f>
        <v>0</v>
      </c>
      <c r="DY102" s="27">
        <f t="shared" ref="DY102:DY106" si="165">ROUND(IF($DY$1=1,(E100*$BN$5*$BN$7*$BN$8*$BN$9*$DY$2)/(1-$L$7),0),4)</f>
        <v>0</v>
      </c>
      <c r="DZ102" s="27">
        <f t="shared" si="129"/>
        <v>0</v>
      </c>
      <c r="EA102" s="27">
        <f t="shared" si="130"/>
        <v>0</v>
      </c>
      <c r="EB102" s="27">
        <f t="shared" si="139"/>
        <v>0</v>
      </c>
      <c r="EC102" s="27">
        <f t="shared" si="140"/>
        <v>0</v>
      </c>
    </row>
    <row r="103" spans="3:133" x14ac:dyDescent="0.35">
      <c r="C103" s="31">
        <f t="shared" si="93"/>
        <v>99</v>
      </c>
      <c r="D103" s="32">
        <v>117877.48</v>
      </c>
      <c r="E103" s="32">
        <v>125831.15</v>
      </c>
      <c r="F103" s="72"/>
      <c r="G103" s="31">
        <f t="shared" si="94"/>
        <v>99</v>
      </c>
      <c r="H103" s="32">
        <v>210495.5</v>
      </c>
      <c r="I103" s="32">
        <v>224698.48</v>
      </c>
      <c r="BQ103">
        <v>97</v>
      </c>
      <c r="BR103" s="26" t="e">
        <f t="shared" si="131"/>
        <v>#N/A</v>
      </c>
      <c r="BS103" s="26" t="e">
        <f t="shared" si="132"/>
        <v>#N/A</v>
      </c>
      <c r="BU103">
        <v>97</v>
      </c>
      <c r="BV103" s="26" t="e">
        <f t="shared" si="95"/>
        <v>#N/A</v>
      </c>
      <c r="BW103" s="26" t="e">
        <f t="shared" si="96"/>
        <v>#N/A</v>
      </c>
      <c r="BY103">
        <v>97</v>
      </c>
      <c r="BZ103" s="26" t="e">
        <f t="shared" si="133"/>
        <v>#N/A</v>
      </c>
      <c r="CA103" s="26" t="e">
        <f t="shared" si="134"/>
        <v>#N/A</v>
      </c>
      <c r="CC103">
        <v>97</v>
      </c>
      <c r="CD103" s="26" t="e">
        <f t="shared" si="135"/>
        <v>#N/A</v>
      </c>
      <c r="CE103" s="26" t="e">
        <f t="shared" si="136"/>
        <v>#N/A</v>
      </c>
      <c r="CG103">
        <v>97</v>
      </c>
      <c r="CH103" s="24" t="e">
        <f t="shared" si="144"/>
        <v>#N/A</v>
      </c>
      <c r="CI103" s="24" t="e">
        <f t="shared" si="145"/>
        <v>#N/A</v>
      </c>
      <c r="CJ103" s="27">
        <f t="shared" si="99"/>
        <v>0</v>
      </c>
      <c r="CK103" s="27">
        <f t="shared" si="100"/>
        <v>0</v>
      </c>
      <c r="CL103" s="26">
        <f t="shared" si="146"/>
        <v>0</v>
      </c>
      <c r="CM103" s="26">
        <f t="shared" si="147"/>
        <v>0</v>
      </c>
      <c r="CN103" s="27">
        <f t="shared" si="148"/>
        <v>0</v>
      </c>
      <c r="CO103" s="27">
        <f t="shared" si="149"/>
        <v>0</v>
      </c>
      <c r="CP103" s="27">
        <f t="shared" si="105"/>
        <v>0</v>
      </c>
      <c r="CQ103" s="27">
        <f t="shared" si="106"/>
        <v>0</v>
      </c>
      <c r="CR103" s="24">
        <f t="shared" si="150"/>
        <v>0</v>
      </c>
      <c r="CS103" s="24">
        <f t="shared" si="151"/>
        <v>0</v>
      </c>
      <c r="CT103">
        <v>0</v>
      </c>
      <c r="CU103" s="24">
        <f t="shared" si="141"/>
        <v>0</v>
      </c>
      <c r="CV103" s="27">
        <f t="shared" si="152"/>
        <v>0</v>
      </c>
      <c r="CW103" s="27">
        <f t="shared" si="153"/>
        <v>0</v>
      </c>
      <c r="CX103" s="27">
        <f t="shared" si="154"/>
        <v>0</v>
      </c>
      <c r="CY103" s="27">
        <f t="shared" si="155"/>
        <v>0</v>
      </c>
      <c r="CZ103" s="24">
        <f t="shared" si="156"/>
        <v>0</v>
      </c>
      <c r="DA103" s="24">
        <f t="shared" si="157"/>
        <v>0</v>
      </c>
      <c r="DB103" s="27">
        <f t="shared" si="115"/>
        <v>0</v>
      </c>
      <c r="DC103" s="27">
        <f t="shared" si="116"/>
        <v>0</v>
      </c>
      <c r="DD103" s="27">
        <f t="shared" si="158"/>
        <v>0</v>
      </c>
      <c r="DE103" s="27">
        <f t="shared" si="159"/>
        <v>0</v>
      </c>
      <c r="DF103" s="24">
        <f t="shared" si="160"/>
        <v>0</v>
      </c>
      <c r="DG103" s="24">
        <f t="shared" si="161"/>
        <v>0</v>
      </c>
      <c r="DH103" s="24">
        <f t="shared" si="162"/>
        <v>0</v>
      </c>
      <c r="DI103" s="24">
        <f t="shared" si="163"/>
        <v>0</v>
      </c>
      <c r="DJ103" s="26">
        <f t="shared" si="142"/>
        <v>0</v>
      </c>
      <c r="DK103" s="26">
        <f t="shared" si="143"/>
        <v>0</v>
      </c>
      <c r="DP103" s="27"/>
      <c r="DQ103" s="27"/>
      <c r="DR103" s="27">
        <f t="shared" si="123"/>
        <v>0</v>
      </c>
      <c r="DS103" s="27">
        <f t="shared" si="124"/>
        <v>0</v>
      </c>
      <c r="DT103" s="27">
        <f t="shared" si="125"/>
        <v>0</v>
      </c>
      <c r="DU103" s="27">
        <f t="shared" si="126"/>
        <v>0</v>
      </c>
      <c r="DV103" s="27">
        <f t="shared" si="137"/>
        <v>0</v>
      </c>
      <c r="DW103" s="27">
        <f t="shared" si="138"/>
        <v>0</v>
      </c>
      <c r="DX103" s="27">
        <f t="shared" si="164"/>
        <v>0</v>
      </c>
      <c r="DY103" s="27">
        <f t="shared" si="165"/>
        <v>0</v>
      </c>
      <c r="DZ103" s="27">
        <f t="shared" si="129"/>
        <v>0</v>
      </c>
      <c r="EA103" s="27">
        <f t="shared" si="130"/>
        <v>0</v>
      </c>
      <c r="EB103" s="27">
        <f t="shared" si="139"/>
        <v>0</v>
      </c>
      <c r="EC103" s="27">
        <f t="shared" si="140"/>
        <v>0</v>
      </c>
    </row>
    <row r="104" spans="3:133" x14ac:dyDescent="0.35">
      <c r="C104" s="31">
        <f t="shared" si="93"/>
        <v>100</v>
      </c>
      <c r="D104" s="32">
        <v>118822.55</v>
      </c>
      <c r="E104" s="32">
        <v>126839.99</v>
      </c>
      <c r="F104" s="72"/>
      <c r="G104" s="31">
        <f t="shared" si="94"/>
        <v>100</v>
      </c>
      <c r="H104" s="32">
        <v>212183.13</v>
      </c>
      <c r="I104" s="32">
        <v>226499.98</v>
      </c>
      <c r="BQ104">
        <v>98</v>
      </c>
      <c r="BR104" s="26" t="e">
        <f t="shared" si="131"/>
        <v>#N/A</v>
      </c>
      <c r="BS104" s="26" t="e">
        <f t="shared" si="132"/>
        <v>#N/A</v>
      </c>
      <c r="BU104">
        <v>98</v>
      </c>
      <c r="BV104" s="26" t="e">
        <f t="shared" si="95"/>
        <v>#N/A</v>
      </c>
      <c r="BW104" s="26" t="e">
        <f t="shared" si="96"/>
        <v>#N/A</v>
      </c>
      <c r="BY104">
        <v>98</v>
      </c>
      <c r="BZ104" s="26" t="e">
        <f t="shared" si="133"/>
        <v>#N/A</v>
      </c>
      <c r="CA104" s="26" t="e">
        <f t="shared" si="134"/>
        <v>#N/A</v>
      </c>
      <c r="CC104">
        <v>98</v>
      </c>
      <c r="CD104" s="26" t="e">
        <f t="shared" si="135"/>
        <v>#N/A</v>
      </c>
      <c r="CE104" s="26" t="e">
        <f t="shared" si="136"/>
        <v>#N/A</v>
      </c>
      <c r="CG104">
        <v>98</v>
      </c>
      <c r="CH104" s="24" t="e">
        <f t="shared" si="144"/>
        <v>#N/A</v>
      </c>
      <c r="CI104" s="24" t="e">
        <f t="shared" si="145"/>
        <v>#N/A</v>
      </c>
      <c r="CJ104" s="27">
        <f t="shared" si="99"/>
        <v>0</v>
      </c>
      <c r="CK104" s="27">
        <f t="shared" si="100"/>
        <v>0</v>
      </c>
      <c r="CL104" s="26">
        <f t="shared" si="146"/>
        <v>0</v>
      </c>
      <c r="CM104" s="26">
        <f t="shared" si="147"/>
        <v>0</v>
      </c>
      <c r="CN104" s="27">
        <f t="shared" si="148"/>
        <v>0</v>
      </c>
      <c r="CO104" s="27">
        <f t="shared" si="149"/>
        <v>0</v>
      </c>
      <c r="CP104" s="27">
        <f t="shared" si="105"/>
        <v>0</v>
      </c>
      <c r="CQ104" s="27">
        <f t="shared" si="106"/>
        <v>0</v>
      </c>
      <c r="CR104" s="24">
        <f t="shared" si="150"/>
        <v>0</v>
      </c>
      <c r="CS104" s="24">
        <f t="shared" si="151"/>
        <v>0</v>
      </c>
      <c r="CT104">
        <v>0</v>
      </c>
      <c r="CU104" s="24">
        <f t="shared" si="141"/>
        <v>0</v>
      </c>
      <c r="CV104" s="27">
        <f t="shared" si="152"/>
        <v>0</v>
      </c>
      <c r="CW104" s="27">
        <f t="shared" si="153"/>
        <v>0</v>
      </c>
      <c r="CX104" s="27">
        <f t="shared" si="154"/>
        <v>0</v>
      </c>
      <c r="CY104" s="27">
        <f t="shared" si="155"/>
        <v>0</v>
      </c>
      <c r="CZ104" s="24">
        <f t="shared" si="156"/>
        <v>0</v>
      </c>
      <c r="DA104" s="24">
        <f t="shared" si="157"/>
        <v>0</v>
      </c>
      <c r="DB104" s="27">
        <f t="shared" si="115"/>
        <v>0</v>
      </c>
      <c r="DC104" s="27">
        <f t="shared" si="116"/>
        <v>0</v>
      </c>
      <c r="DD104" s="27">
        <f t="shared" si="158"/>
        <v>0</v>
      </c>
      <c r="DE104" s="27">
        <f t="shared" si="159"/>
        <v>0</v>
      </c>
      <c r="DF104" s="24">
        <f t="shared" si="160"/>
        <v>0</v>
      </c>
      <c r="DG104" s="24">
        <f t="shared" si="161"/>
        <v>0</v>
      </c>
      <c r="DH104" s="24">
        <f t="shared" si="162"/>
        <v>0</v>
      </c>
      <c r="DI104" s="24">
        <f t="shared" si="163"/>
        <v>0</v>
      </c>
      <c r="DJ104" s="26">
        <f t="shared" si="142"/>
        <v>0</v>
      </c>
      <c r="DK104" s="26">
        <f t="shared" si="143"/>
        <v>0</v>
      </c>
      <c r="DP104" s="27"/>
      <c r="DQ104" s="27"/>
      <c r="DR104" s="27">
        <f t="shared" si="123"/>
        <v>0</v>
      </c>
      <c r="DS104" s="27">
        <f t="shared" si="124"/>
        <v>0</v>
      </c>
      <c r="DT104" s="27">
        <f t="shared" si="125"/>
        <v>0</v>
      </c>
      <c r="DU104" s="27">
        <f t="shared" si="126"/>
        <v>0</v>
      </c>
      <c r="DV104" s="27">
        <f t="shared" si="137"/>
        <v>0</v>
      </c>
      <c r="DW104" s="27">
        <f t="shared" si="138"/>
        <v>0</v>
      </c>
      <c r="DX104" s="27">
        <f t="shared" si="164"/>
        <v>0</v>
      </c>
      <c r="DY104" s="27">
        <f t="shared" si="165"/>
        <v>0</v>
      </c>
      <c r="DZ104" s="27">
        <f t="shared" si="129"/>
        <v>0</v>
      </c>
      <c r="EA104" s="27">
        <f t="shared" si="130"/>
        <v>0</v>
      </c>
      <c r="EB104" s="27">
        <f t="shared" si="139"/>
        <v>0</v>
      </c>
      <c r="EC104" s="27">
        <f t="shared" si="140"/>
        <v>0</v>
      </c>
    </row>
    <row r="105" spans="3:133" x14ac:dyDescent="0.35">
      <c r="BQ105">
        <v>99</v>
      </c>
      <c r="BR105" s="26" t="e">
        <f t="shared" si="131"/>
        <v>#N/A</v>
      </c>
      <c r="BS105" s="26" t="e">
        <f t="shared" si="132"/>
        <v>#N/A</v>
      </c>
      <c r="BU105">
        <v>99</v>
      </c>
      <c r="BV105" s="26" t="e">
        <f t="shared" si="95"/>
        <v>#N/A</v>
      </c>
      <c r="BW105" s="26" t="e">
        <f t="shared" si="96"/>
        <v>#N/A</v>
      </c>
      <c r="BY105">
        <v>99</v>
      </c>
      <c r="BZ105" s="26" t="e">
        <f t="shared" si="133"/>
        <v>#N/A</v>
      </c>
      <c r="CA105" s="26" t="e">
        <f t="shared" si="134"/>
        <v>#N/A</v>
      </c>
      <c r="CC105">
        <v>99</v>
      </c>
      <c r="CD105" s="26" t="e">
        <f t="shared" si="135"/>
        <v>#N/A</v>
      </c>
      <c r="CE105" s="26" t="e">
        <f t="shared" si="136"/>
        <v>#N/A</v>
      </c>
      <c r="CG105">
        <v>99</v>
      </c>
      <c r="CH105" s="24" t="e">
        <f t="shared" si="144"/>
        <v>#N/A</v>
      </c>
      <c r="CI105" s="24" t="e">
        <f t="shared" si="145"/>
        <v>#N/A</v>
      </c>
      <c r="CJ105" s="27">
        <f t="shared" si="99"/>
        <v>0</v>
      </c>
      <c r="CK105" s="27">
        <f t="shared" si="100"/>
        <v>0</v>
      </c>
      <c r="CL105" s="26">
        <f t="shared" si="146"/>
        <v>0</v>
      </c>
      <c r="CM105" s="26">
        <f t="shared" si="147"/>
        <v>0</v>
      </c>
      <c r="CN105" s="27">
        <f t="shared" si="148"/>
        <v>0</v>
      </c>
      <c r="CO105" s="27">
        <f t="shared" si="149"/>
        <v>0</v>
      </c>
      <c r="CP105" s="27">
        <f t="shared" si="105"/>
        <v>0</v>
      </c>
      <c r="CQ105" s="27">
        <f t="shared" si="106"/>
        <v>0</v>
      </c>
      <c r="CR105" s="24">
        <f t="shared" si="150"/>
        <v>0</v>
      </c>
      <c r="CS105" s="24">
        <f t="shared" si="151"/>
        <v>0</v>
      </c>
      <c r="CT105">
        <v>0</v>
      </c>
      <c r="CU105" s="24">
        <f t="shared" si="141"/>
        <v>0</v>
      </c>
      <c r="CV105" s="27">
        <f t="shared" si="152"/>
        <v>0</v>
      </c>
      <c r="CW105" s="27">
        <f t="shared" si="153"/>
        <v>0</v>
      </c>
      <c r="CX105" s="27">
        <f t="shared" si="154"/>
        <v>0</v>
      </c>
      <c r="CY105" s="27">
        <f t="shared" si="155"/>
        <v>0</v>
      </c>
      <c r="CZ105" s="24">
        <f t="shared" si="156"/>
        <v>0</v>
      </c>
      <c r="DA105" s="24">
        <f t="shared" si="157"/>
        <v>0</v>
      </c>
      <c r="DB105" s="27">
        <f t="shared" si="115"/>
        <v>0</v>
      </c>
      <c r="DC105" s="27">
        <f t="shared" si="116"/>
        <v>0</v>
      </c>
      <c r="DD105" s="27">
        <f t="shared" si="158"/>
        <v>0</v>
      </c>
      <c r="DE105" s="27">
        <f t="shared" si="159"/>
        <v>0</v>
      </c>
      <c r="DF105" s="24">
        <f t="shared" si="160"/>
        <v>0</v>
      </c>
      <c r="DG105" s="24">
        <f t="shared" si="161"/>
        <v>0</v>
      </c>
      <c r="DH105" s="24">
        <f t="shared" si="162"/>
        <v>0</v>
      </c>
      <c r="DI105" s="24">
        <f t="shared" si="163"/>
        <v>0</v>
      </c>
      <c r="DJ105" s="26">
        <f t="shared" si="142"/>
        <v>0</v>
      </c>
      <c r="DK105" s="26">
        <f t="shared" si="143"/>
        <v>0</v>
      </c>
      <c r="DP105" s="27"/>
      <c r="DQ105" s="27"/>
      <c r="DR105" s="27">
        <f t="shared" si="123"/>
        <v>0</v>
      </c>
      <c r="DS105" s="27">
        <f t="shared" si="124"/>
        <v>0</v>
      </c>
      <c r="DT105" s="27">
        <f t="shared" si="125"/>
        <v>0</v>
      </c>
      <c r="DU105" s="27">
        <f t="shared" si="126"/>
        <v>0</v>
      </c>
      <c r="DV105" s="27">
        <f t="shared" si="137"/>
        <v>0</v>
      </c>
      <c r="DW105" s="27">
        <f t="shared" si="138"/>
        <v>0</v>
      </c>
      <c r="DX105" s="27">
        <f t="shared" si="164"/>
        <v>0</v>
      </c>
      <c r="DY105" s="27">
        <f t="shared" si="165"/>
        <v>0</v>
      </c>
      <c r="DZ105" s="27">
        <f t="shared" si="129"/>
        <v>0</v>
      </c>
      <c r="EA105" s="27">
        <f t="shared" si="130"/>
        <v>0</v>
      </c>
      <c r="EB105" s="27">
        <f t="shared" si="139"/>
        <v>0</v>
      </c>
      <c r="EC105" s="27">
        <f t="shared" si="140"/>
        <v>0</v>
      </c>
    </row>
    <row r="106" spans="3:133" x14ac:dyDescent="0.35">
      <c r="BQ106">
        <v>100</v>
      </c>
      <c r="BR106" s="26" t="e">
        <f t="shared" si="131"/>
        <v>#N/A</v>
      </c>
      <c r="BS106" s="26" t="e">
        <f t="shared" si="132"/>
        <v>#N/A</v>
      </c>
      <c r="BU106">
        <v>100</v>
      </c>
      <c r="BV106" s="26" t="e">
        <f t="shared" si="95"/>
        <v>#N/A</v>
      </c>
      <c r="BW106" s="26" t="e">
        <f t="shared" si="96"/>
        <v>#N/A</v>
      </c>
      <c r="BY106">
        <v>100</v>
      </c>
      <c r="BZ106" s="26" t="e">
        <f t="shared" si="133"/>
        <v>#N/A</v>
      </c>
      <c r="CA106" s="26" t="e">
        <f t="shared" si="134"/>
        <v>#N/A</v>
      </c>
      <c r="CC106">
        <v>100</v>
      </c>
      <c r="CD106" s="26" t="e">
        <f t="shared" si="135"/>
        <v>#N/A</v>
      </c>
      <c r="CE106" s="26" t="e">
        <f t="shared" si="136"/>
        <v>#N/A</v>
      </c>
      <c r="CG106">
        <v>100</v>
      </c>
      <c r="CH106" s="24" t="e">
        <f t="shared" si="144"/>
        <v>#N/A</v>
      </c>
      <c r="CI106" s="24" t="e">
        <f t="shared" si="145"/>
        <v>#N/A</v>
      </c>
      <c r="CJ106" s="27">
        <f t="shared" si="99"/>
        <v>0</v>
      </c>
      <c r="CK106" s="27">
        <f t="shared" si="100"/>
        <v>0</v>
      </c>
      <c r="CL106" s="26">
        <f t="shared" si="146"/>
        <v>0</v>
      </c>
      <c r="CM106" s="26">
        <f t="shared" si="147"/>
        <v>0</v>
      </c>
      <c r="CN106" s="27">
        <f t="shared" si="148"/>
        <v>0</v>
      </c>
      <c r="CO106" s="27">
        <f t="shared" si="149"/>
        <v>0</v>
      </c>
      <c r="CP106" s="27">
        <f t="shared" si="105"/>
        <v>0</v>
      </c>
      <c r="CQ106" s="27">
        <f t="shared" si="106"/>
        <v>0</v>
      </c>
      <c r="CR106" s="24">
        <f t="shared" si="150"/>
        <v>0</v>
      </c>
      <c r="CS106" s="24">
        <f t="shared" si="151"/>
        <v>0</v>
      </c>
      <c r="CT106">
        <v>0</v>
      </c>
      <c r="CU106" s="24">
        <f t="shared" si="141"/>
        <v>0</v>
      </c>
      <c r="CV106" s="27">
        <f t="shared" si="152"/>
        <v>0</v>
      </c>
      <c r="CW106" s="27">
        <f t="shared" si="153"/>
        <v>0</v>
      </c>
      <c r="CX106" s="27">
        <f t="shared" si="154"/>
        <v>0</v>
      </c>
      <c r="CY106" s="27">
        <f t="shared" si="155"/>
        <v>0</v>
      </c>
      <c r="CZ106" s="24">
        <f t="shared" si="156"/>
        <v>0</v>
      </c>
      <c r="DA106" s="24">
        <f t="shared" si="157"/>
        <v>0</v>
      </c>
      <c r="DB106" s="27">
        <f t="shared" si="115"/>
        <v>0</v>
      </c>
      <c r="DC106" s="27">
        <f t="shared" si="116"/>
        <v>0</v>
      </c>
      <c r="DD106" s="27">
        <f t="shared" si="158"/>
        <v>0</v>
      </c>
      <c r="DE106" s="27">
        <f t="shared" si="159"/>
        <v>0</v>
      </c>
      <c r="DF106" s="24">
        <f t="shared" si="160"/>
        <v>0</v>
      </c>
      <c r="DG106" s="24">
        <f t="shared" si="161"/>
        <v>0</v>
      </c>
      <c r="DH106" s="24">
        <f t="shared" si="162"/>
        <v>0</v>
      </c>
      <c r="DI106" s="24">
        <f t="shared" si="163"/>
        <v>0</v>
      </c>
      <c r="DJ106" s="26">
        <f t="shared" si="142"/>
        <v>0</v>
      </c>
      <c r="DK106" s="26">
        <f t="shared" si="143"/>
        <v>0</v>
      </c>
      <c r="DP106" s="27"/>
      <c r="DQ106" s="27"/>
      <c r="DR106" s="27">
        <f t="shared" si="123"/>
        <v>0</v>
      </c>
      <c r="DS106" s="27">
        <f t="shared" si="124"/>
        <v>0</v>
      </c>
      <c r="DT106" s="27">
        <f t="shared" si="125"/>
        <v>0</v>
      </c>
      <c r="DU106" s="27">
        <f t="shared" si="126"/>
        <v>0</v>
      </c>
      <c r="DV106" s="27">
        <f t="shared" si="137"/>
        <v>0</v>
      </c>
      <c r="DW106" s="27">
        <f t="shared" si="138"/>
        <v>0</v>
      </c>
      <c r="DX106" s="27">
        <f t="shared" si="164"/>
        <v>0</v>
      </c>
      <c r="DY106" s="27">
        <f t="shared" si="165"/>
        <v>0</v>
      </c>
      <c r="DZ106" s="27">
        <f t="shared" si="129"/>
        <v>0</v>
      </c>
      <c r="EA106" s="27">
        <f t="shared" si="130"/>
        <v>0</v>
      </c>
      <c r="EB106" s="27">
        <f t="shared" si="139"/>
        <v>0</v>
      </c>
      <c r="EC106" s="27">
        <f t="shared" si="140"/>
        <v>0</v>
      </c>
    </row>
  </sheetData>
  <sortState ref="AY42:BA74">
    <sortCondition ref="AY42"/>
  </sortState>
  <mergeCells count="77">
    <mergeCell ref="AU40:AV40"/>
    <mergeCell ref="DR3:DS3"/>
    <mergeCell ref="DR4:DS4"/>
    <mergeCell ref="CX3:CY3"/>
    <mergeCell ref="CJ3:CK3"/>
    <mergeCell ref="CL4:CM4"/>
    <mergeCell ref="CP4:CQ4"/>
    <mergeCell ref="CN4:CO4"/>
    <mergeCell ref="CT4:CU4"/>
    <mergeCell ref="CV4:CW4"/>
    <mergeCell ref="CZ4:DA4"/>
    <mergeCell ref="CZ3:DA3"/>
    <mergeCell ref="DB3:DC3"/>
    <mergeCell ref="A1:A80"/>
    <mergeCell ref="AH1:AH80"/>
    <mergeCell ref="BJ1:BJ80"/>
    <mergeCell ref="BL11:BM11"/>
    <mergeCell ref="CG3:CG5"/>
    <mergeCell ref="C2:E2"/>
    <mergeCell ref="K2:L2"/>
    <mergeCell ref="N2:O2"/>
    <mergeCell ref="Q2:R2"/>
    <mergeCell ref="AA19:AB19"/>
    <mergeCell ref="AD2:AF2"/>
    <mergeCell ref="T2:U2"/>
    <mergeCell ref="W2:Y2"/>
    <mergeCell ref="AA9:AB9"/>
    <mergeCell ref="AY40:BA40"/>
    <mergeCell ref="AQ40:AS40"/>
    <mergeCell ref="G2:I2"/>
    <mergeCell ref="CJ4:CK4"/>
    <mergeCell ref="CH3:CI3"/>
    <mergeCell ref="CH4:CI4"/>
    <mergeCell ref="BR3:BS3"/>
    <mergeCell ref="BR4:BS4"/>
    <mergeCell ref="AA2:AB2"/>
    <mergeCell ref="AN2:AO2"/>
    <mergeCell ref="AQ2:AS2"/>
    <mergeCell ref="AY2:BA2"/>
    <mergeCell ref="BE2:BG2"/>
    <mergeCell ref="BV4:BW4"/>
    <mergeCell ref="BZ3:CA3"/>
    <mergeCell ref="BZ4:CA4"/>
    <mergeCell ref="CD3:CE3"/>
    <mergeCell ref="CD4:CE4"/>
    <mergeCell ref="T11:U11"/>
    <mergeCell ref="DV4:DW4"/>
    <mergeCell ref="DV3:DW3"/>
    <mergeCell ref="EB3:EC3"/>
    <mergeCell ref="EB4:EC4"/>
    <mergeCell ref="DJ4:DK4"/>
    <mergeCell ref="DZ3:EA3"/>
    <mergeCell ref="DZ4:EA4"/>
    <mergeCell ref="DT4:DU4"/>
    <mergeCell ref="DX3:DY3"/>
    <mergeCell ref="DX4:DY4"/>
    <mergeCell ref="BV3:BW3"/>
    <mergeCell ref="DF3:DG3"/>
    <mergeCell ref="DJ3:DK3"/>
    <mergeCell ref="DD3:DE3"/>
    <mergeCell ref="CR4:CS4"/>
    <mergeCell ref="AU52:AV52"/>
    <mergeCell ref="AJ13:AK13"/>
    <mergeCell ref="DH3:DI3"/>
    <mergeCell ref="CR3:CS3"/>
    <mergeCell ref="CL3:CM3"/>
    <mergeCell ref="CT3:CU3"/>
    <mergeCell ref="CV3:CW3"/>
    <mergeCell ref="CP3:CQ3"/>
    <mergeCell ref="CN3:CO3"/>
    <mergeCell ref="CX4:CY4"/>
    <mergeCell ref="DB4:DC4"/>
    <mergeCell ref="DD4:DE4"/>
    <mergeCell ref="DH4:DI4"/>
    <mergeCell ref="DF4:DG4"/>
    <mergeCell ref="AU13:AW13"/>
    <mergeCell ref="AU28:AV28"/>
  </mergeCell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N36"/>
  <sheetViews>
    <sheetView workbookViewId="0">
      <selection activeCell="L7" sqref="L7"/>
    </sheetView>
  </sheetViews>
  <sheetFormatPr baseColWidth="10" defaultRowHeight="14.5" x14ac:dyDescent="0.35"/>
  <cols>
    <col min="1" max="1" width="28.7265625" customWidth="1"/>
    <col min="4" max="4" width="27.54296875" customWidth="1"/>
    <col min="5" max="5" width="23.453125" customWidth="1"/>
    <col min="6" max="6" width="4.26953125" customWidth="1"/>
    <col min="11" max="11" width="4" customWidth="1"/>
    <col min="12" max="14" width="11" customWidth="1"/>
  </cols>
  <sheetData>
    <row r="1" spans="1:14" ht="15" thickBot="1" x14ac:dyDescent="0.4"/>
    <row r="2" spans="1:14" ht="15" thickBot="1" x14ac:dyDescent="0.4">
      <c r="L2" s="413" t="s">
        <v>166</v>
      </c>
      <c r="M2" s="414"/>
      <c r="N2" s="415"/>
    </row>
    <row r="3" spans="1:14" ht="52" x14ac:dyDescent="0.35">
      <c r="A3" s="61" t="s">
        <v>167</v>
      </c>
      <c r="B3" s="62">
        <v>3</v>
      </c>
      <c r="C3" s="62">
        <v>2</v>
      </c>
      <c r="D3" s="61" t="s">
        <v>168</v>
      </c>
      <c r="E3" s="61" t="s">
        <v>168</v>
      </c>
      <c r="G3" s="61" t="s">
        <v>46</v>
      </c>
      <c r="H3" s="61" t="s">
        <v>169</v>
      </c>
      <c r="I3" s="61" t="s">
        <v>170</v>
      </c>
      <c r="J3" s="61" t="s">
        <v>171</v>
      </c>
      <c r="L3" s="61" t="s">
        <v>172</v>
      </c>
      <c r="M3" s="61" t="s">
        <v>173</v>
      </c>
      <c r="N3" s="61" t="s">
        <v>174</v>
      </c>
    </row>
    <row r="4" spans="1:14" x14ac:dyDescent="0.35">
      <c r="A4" s="63">
        <v>1</v>
      </c>
      <c r="B4" s="64">
        <v>0</v>
      </c>
      <c r="C4" s="65">
        <v>0</v>
      </c>
      <c r="D4" s="66"/>
      <c r="E4" s="66"/>
      <c r="G4" s="67">
        <v>1500</v>
      </c>
      <c r="H4" s="68">
        <v>3</v>
      </c>
      <c r="I4" s="68">
        <v>30</v>
      </c>
      <c r="J4" s="66">
        <f>IF(H4=3,VLOOKUP(I4,$A$4:$E$35,4,0)+(5.2*$D$36),VLOOKUP(I4,$A$4:$E$35,5,0)+(5.2*$D$36))</f>
        <v>0.13057982540551771</v>
      </c>
      <c r="L4" s="66">
        <f>+J4*G4</f>
        <v>195.86973810827658</v>
      </c>
      <c r="M4" s="66">
        <v>7351.9605968785472</v>
      </c>
      <c r="N4" s="66">
        <f>+L4/M4</f>
        <v>2.6641837306831843E-2</v>
      </c>
    </row>
    <row r="5" spans="1:14" x14ac:dyDescent="0.35">
      <c r="A5" s="63">
        <v>2</v>
      </c>
      <c r="B5" s="64">
        <v>0</v>
      </c>
      <c r="C5" s="65">
        <v>0.29826350445778216</v>
      </c>
      <c r="D5" s="66"/>
      <c r="E5" s="66"/>
    </row>
    <row r="6" spans="1:14" x14ac:dyDescent="0.35">
      <c r="A6" s="63">
        <v>3</v>
      </c>
      <c r="B6" s="64">
        <v>0</v>
      </c>
      <c r="C6" s="65">
        <v>0.36836431443389078</v>
      </c>
      <c r="D6" s="66"/>
      <c r="E6" s="66">
        <v>0.36840000000000001</v>
      </c>
    </row>
    <row r="7" spans="1:14" x14ac:dyDescent="0.35">
      <c r="A7" s="63">
        <v>4</v>
      </c>
      <c r="B7" s="64">
        <v>8.493094807994872E-2</v>
      </c>
      <c r="C7" s="65">
        <v>0.38319445253773088</v>
      </c>
      <c r="D7" s="66">
        <v>8.493094807994872E-2</v>
      </c>
      <c r="E7" s="66">
        <f>+C7</f>
        <v>0.38319445253773088</v>
      </c>
    </row>
    <row r="8" spans="1:14" x14ac:dyDescent="0.35">
      <c r="A8" s="63">
        <v>5</v>
      </c>
      <c r="B8" s="64">
        <v>9.0058854379115441E-2</v>
      </c>
      <c r="C8" s="65">
        <v>0.38832235883689764</v>
      </c>
      <c r="D8" s="66">
        <v>9.0058854379115441E-2</v>
      </c>
      <c r="E8" s="66">
        <f t="shared" ref="E8:E24" si="0">+C8</f>
        <v>0.38832235883689764</v>
      </c>
    </row>
    <row r="9" spans="1:14" x14ac:dyDescent="0.35">
      <c r="A9" s="63">
        <v>6</v>
      </c>
      <c r="B9" s="64">
        <v>9.4283549909678924E-2</v>
      </c>
      <c r="C9" s="65">
        <v>0.39254705436746112</v>
      </c>
      <c r="D9" s="66">
        <v>9.4283549909678924E-2</v>
      </c>
      <c r="E9" s="66">
        <f t="shared" si="0"/>
        <v>0.39254705436746112</v>
      </c>
    </row>
    <row r="10" spans="1:14" x14ac:dyDescent="0.35">
      <c r="A10" s="63">
        <v>7</v>
      </c>
      <c r="B10" s="64">
        <v>9.9877629508769883E-2</v>
      </c>
      <c r="C10" s="65">
        <v>0.39814113396655204</v>
      </c>
      <c r="D10" s="66">
        <v>9.9877629508769883E-2</v>
      </c>
      <c r="E10" s="66">
        <f t="shared" si="0"/>
        <v>0.39814113396655204</v>
      </c>
    </row>
    <row r="11" spans="1:14" x14ac:dyDescent="0.35">
      <c r="A11" s="63">
        <v>8</v>
      </c>
      <c r="B11" s="64">
        <v>9.9935901171260416E-2</v>
      </c>
      <c r="C11" s="65">
        <v>0.3981994056290426</v>
      </c>
      <c r="D11" s="66">
        <v>9.9935901171260416E-2</v>
      </c>
      <c r="E11" s="66">
        <f t="shared" si="0"/>
        <v>0.3981994056290426</v>
      </c>
    </row>
    <row r="12" spans="1:14" x14ac:dyDescent="0.35">
      <c r="A12" s="63">
        <v>9</v>
      </c>
      <c r="B12" s="64">
        <v>0.10261639764582484</v>
      </c>
      <c r="C12" s="65">
        <v>0.40087990210360702</v>
      </c>
      <c r="D12" s="66">
        <v>0.10261639764582484</v>
      </c>
      <c r="E12" s="66">
        <f t="shared" si="0"/>
        <v>0.40087990210360702</v>
      </c>
    </row>
    <row r="13" spans="1:14" x14ac:dyDescent="0.35">
      <c r="A13" s="63">
        <v>10</v>
      </c>
      <c r="B13" s="64">
        <v>0.10290775595827749</v>
      </c>
      <c r="C13" s="65">
        <v>0.40117126041605966</v>
      </c>
      <c r="D13" s="66">
        <v>0.10290775595827749</v>
      </c>
      <c r="E13" s="66">
        <f t="shared" si="0"/>
        <v>0.40117126041605966</v>
      </c>
    </row>
    <row r="14" spans="1:14" x14ac:dyDescent="0.35">
      <c r="A14" s="63">
        <v>11</v>
      </c>
      <c r="B14" s="64">
        <v>0.10325738593322067</v>
      </c>
      <c r="C14" s="65">
        <v>0.40152089039100286</v>
      </c>
      <c r="D14" s="66">
        <v>0.10325738593322067</v>
      </c>
      <c r="E14" s="66">
        <f t="shared" si="0"/>
        <v>0.40152089039100286</v>
      </c>
    </row>
    <row r="15" spans="1:14" x14ac:dyDescent="0.35">
      <c r="A15" s="63">
        <v>12</v>
      </c>
      <c r="B15" s="64">
        <v>0.10334479342695647</v>
      </c>
      <c r="C15" s="65">
        <v>0.40160829788473867</v>
      </c>
      <c r="D15" s="66">
        <v>0.10334479342695647</v>
      </c>
      <c r="E15" s="66">
        <f t="shared" si="0"/>
        <v>0.40160829788473867</v>
      </c>
    </row>
    <row r="16" spans="1:14" x14ac:dyDescent="0.35">
      <c r="A16" s="63">
        <v>13</v>
      </c>
      <c r="B16" s="64">
        <v>0.10384010255812598</v>
      </c>
      <c r="C16" s="65">
        <v>0.40210360701590814</v>
      </c>
      <c r="D16" s="66">
        <v>0.10384010255812598</v>
      </c>
      <c r="E16" s="66">
        <f t="shared" si="0"/>
        <v>0.40210360701590814</v>
      </c>
    </row>
    <row r="17" spans="1:5" x14ac:dyDescent="0.35">
      <c r="A17" s="63">
        <v>14</v>
      </c>
      <c r="B17" s="64">
        <v>0.10401491754559758</v>
      </c>
      <c r="C17" s="65">
        <v>0.40227842200337977</v>
      </c>
      <c r="D17" s="66">
        <v>0.10401491754559758</v>
      </c>
      <c r="E17" s="66">
        <f t="shared" si="0"/>
        <v>0.40227842200337977</v>
      </c>
    </row>
    <row r="18" spans="1:5" x14ac:dyDescent="0.35">
      <c r="A18" s="63">
        <v>15</v>
      </c>
      <c r="B18" s="64">
        <v>0.10404405337684285</v>
      </c>
      <c r="C18" s="65">
        <v>0.40230755783462502</v>
      </c>
      <c r="D18" s="66">
        <v>0.10404405337684285</v>
      </c>
      <c r="E18" s="66">
        <f t="shared" si="0"/>
        <v>0.40230755783462502</v>
      </c>
    </row>
    <row r="19" spans="1:5" x14ac:dyDescent="0.35">
      <c r="A19" s="63">
        <v>16</v>
      </c>
      <c r="B19" s="64">
        <v>0.10407318920808811</v>
      </c>
      <c r="C19" s="65">
        <v>0.40233669366587027</v>
      </c>
      <c r="D19" s="66">
        <v>0.10407318920808811</v>
      </c>
      <c r="E19" s="66">
        <f t="shared" si="0"/>
        <v>0.40233669366587027</v>
      </c>
    </row>
    <row r="20" spans="1:5" x14ac:dyDescent="0.35">
      <c r="A20" s="63">
        <v>17</v>
      </c>
      <c r="B20" s="64">
        <v>0.10413146087057863</v>
      </c>
      <c r="C20" s="65">
        <v>0.40239496532836083</v>
      </c>
      <c r="D20" s="66">
        <v>0.10413146087057863</v>
      </c>
      <c r="E20" s="66">
        <f t="shared" si="0"/>
        <v>0.40239496532836083</v>
      </c>
    </row>
    <row r="21" spans="1:5" x14ac:dyDescent="0.35">
      <c r="A21" s="63">
        <v>18</v>
      </c>
      <c r="B21" s="64">
        <v>0.10430627585805023</v>
      </c>
      <c r="C21" s="65">
        <v>0.4025697803158324</v>
      </c>
      <c r="D21" s="66">
        <v>0.10430627585805023</v>
      </c>
      <c r="E21" s="66">
        <f t="shared" si="0"/>
        <v>0.4025697803158324</v>
      </c>
    </row>
    <row r="22" spans="1:5" x14ac:dyDescent="0.35">
      <c r="A22" s="63">
        <v>19</v>
      </c>
      <c r="B22" s="64">
        <v>0.10512207913291766</v>
      </c>
      <c r="C22" s="65">
        <v>0.40338558359069987</v>
      </c>
      <c r="D22" s="66">
        <v>0.10512207913291766</v>
      </c>
      <c r="E22" s="66">
        <f t="shared" si="0"/>
        <v>0.40338558359069987</v>
      </c>
    </row>
    <row r="23" spans="1:5" x14ac:dyDescent="0.35">
      <c r="A23" s="63">
        <v>20</v>
      </c>
      <c r="B23" s="64" t="e">
        <v>#N/A</v>
      </c>
      <c r="C23" s="65" t="e">
        <v>#N/A</v>
      </c>
      <c r="D23" s="69">
        <f>+D22+((A23-A22)/(A24-A22)*(D24-D22))</f>
        <v>0.10513664704854028</v>
      </c>
      <c r="E23" s="69">
        <f>+E22+((A23-A22)/(A24-A22)*(E24-E22))</f>
        <v>0.40340015150632247</v>
      </c>
    </row>
    <row r="24" spans="1:5" x14ac:dyDescent="0.35">
      <c r="A24" s="63">
        <v>21</v>
      </c>
      <c r="B24" s="64">
        <v>0.10515121496416292</v>
      </c>
      <c r="C24" s="65">
        <v>0.40341471942194512</v>
      </c>
      <c r="D24" s="43">
        <v>0.10515121496416292</v>
      </c>
      <c r="E24" s="66">
        <f t="shared" si="0"/>
        <v>0.40341471942194512</v>
      </c>
    </row>
    <row r="25" spans="1:5" x14ac:dyDescent="0.35">
      <c r="A25" s="63">
        <v>22</v>
      </c>
      <c r="B25" s="64" t="e">
        <v>#N/A</v>
      </c>
      <c r="C25" s="65" t="e">
        <v>#N/A</v>
      </c>
      <c r="D25" s="69">
        <f>+D24+((A25-A24)/(A27-A24)*(D27-D24))</f>
        <v>0.10516092690791135</v>
      </c>
      <c r="E25" s="69">
        <f>+E24+((A25-A24)/(A27-A24)*(E27-E24))</f>
        <v>0.40342443136569356</v>
      </c>
    </row>
    <row r="26" spans="1:5" x14ac:dyDescent="0.35">
      <c r="A26" s="63">
        <v>23</v>
      </c>
      <c r="B26" s="64" t="e">
        <v>#N/A</v>
      </c>
      <c r="C26" s="65" t="e">
        <v>#N/A</v>
      </c>
      <c r="D26" s="69">
        <f>+D25+((A26-A25)/(A27-A25)*(D27-D25))</f>
        <v>0.10517063885165977</v>
      </c>
      <c r="E26" s="69">
        <f>+E25+((A26-A25)/(A27-A25)*(E27-E25))</f>
        <v>0.40343414330944194</v>
      </c>
    </row>
    <row r="27" spans="1:5" x14ac:dyDescent="0.35">
      <c r="A27" s="63">
        <v>24</v>
      </c>
      <c r="B27" s="64">
        <v>0.10518035079540819</v>
      </c>
      <c r="C27" s="65">
        <v>0.40344385525319038</v>
      </c>
      <c r="D27" s="43">
        <v>0.10518035079540819</v>
      </c>
      <c r="E27" s="66">
        <f t="shared" ref="E27" si="1">+C27</f>
        <v>0.40344385525319038</v>
      </c>
    </row>
    <row r="28" spans="1:5" x14ac:dyDescent="0.35">
      <c r="A28" s="63">
        <v>25</v>
      </c>
      <c r="B28" s="64" t="e">
        <v>#N/A</v>
      </c>
      <c r="C28" s="65" t="e">
        <v>#N/A</v>
      </c>
      <c r="D28" s="69">
        <f>+D27+((A28-A27)/(A31-A27)*(D31-D27))</f>
        <v>0.10520220266884214</v>
      </c>
      <c r="E28" s="69">
        <f>+E27+((A28-A27)/(A31-A27)*(E31-E27))</f>
        <v>0.40346570712662433</v>
      </c>
    </row>
    <row r="29" spans="1:5" x14ac:dyDescent="0.35">
      <c r="A29" s="63">
        <v>26</v>
      </c>
      <c r="B29" s="64" t="e">
        <v>#N/A</v>
      </c>
      <c r="C29" s="65" t="e">
        <v>#N/A</v>
      </c>
      <c r="D29" s="69">
        <f>+D28+((A29-A28)/(A31-A28)*(D31-D28))</f>
        <v>0.1052240545422761</v>
      </c>
      <c r="E29" s="69">
        <f>+E28+((A29-A28)/(A31-A28)*(E31-E28))</f>
        <v>0.40348755900005828</v>
      </c>
    </row>
    <row r="30" spans="1:5" x14ac:dyDescent="0.35">
      <c r="A30" s="63">
        <v>27</v>
      </c>
      <c r="B30" s="64" t="e">
        <v>#N/A</v>
      </c>
      <c r="C30" s="65" t="e">
        <v>#N/A</v>
      </c>
      <c r="D30" s="69">
        <f>+D29+((A30-A29)/(A31-A29)*(D31-D29))</f>
        <v>0.10524590641571005</v>
      </c>
      <c r="E30" s="69">
        <f>+E29+((A30-A29)/(A31-A29)*(E31-E29))</f>
        <v>0.40350941087349224</v>
      </c>
    </row>
    <row r="31" spans="1:5" x14ac:dyDescent="0.35">
      <c r="A31" s="70">
        <v>28</v>
      </c>
      <c r="B31" s="64">
        <v>0.10526775828914399</v>
      </c>
      <c r="C31" s="65">
        <v>0.40353126274692619</v>
      </c>
      <c r="D31" s="43">
        <v>0.10526775828914399</v>
      </c>
      <c r="E31" s="66">
        <f t="shared" ref="E31" si="2">+C31</f>
        <v>0.40353126274692619</v>
      </c>
    </row>
    <row r="32" spans="1:5" x14ac:dyDescent="0.35">
      <c r="A32" s="70">
        <v>29</v>
      </c>
      <c r="B32" s="64" t="e">
        <v>#N/A</v>
      </c>
      <c r="C32" s="65" t="e">
        <v>#N/A</v>
      </c>
      <c r="D32" s="69">
        <f>+D31+((A32-A31)/(A35-A31)*(D35-D31))</f>
        <v>0.1052750422469553</v>
      </c>
      <c r="E32" s="69">
        <f>+E31+((A32-A31)/(A35-A31)*(E35-E31))</f>
        <v>0.40353854670473749</v>
      </c>
    </row>
    <row r="33" spans="1:5" x14ac:dyDescent="0.35">
      <c r="A33" s="70">
        <v>30</v>
      </c>
      <c r="B33" s="64" t="e">
        <v>#N/A</v>
      </c>
      <c r="C33" s="65" t="e">
        <v>#N/A</v>
      </c>
      <c r="D33" s="69">
        <f>+D32+((A33-A32)/(A35-A32)*(D35-D32))</f>
        <v>0.10528232620476662</v>
      </c>
      <c r="E33" s="69">
        <f>+E32+((A33-A32)/(A35-A32)*(E35-E32))</f>
        <v>0.40354583066254879</v>
      </c>
    </row>
    <row r="34" spans="1:5" x14ac:dyDescent="0.35">
      <c r="A34" s="70">
        <v>31</v>
      </c>
      <c r="B34" s="64" t="e">
        <v>#N/A</v>
      </c>
      <c r="C34" s="65" t="e">
        <v>#N/A</v>
      </c>
      <c r="D34" s="69">
        <f>+D33+((A34-A33)/(A35-A33)*(D35-D33))</f>
        <v>0.10528961016257793</v>
      </c>
      <c r="E34" s="69">
        <f>+E33+((A34-A33)/(A35-A33)*(E35-E33))</f>
        <v>0.40355311462036014</v>
      </c>
    </row>
    <row r="35" spans="1:5" x14ac:dyDescent="0.35">
      <c r="A35" s="70">
        <v>32</v>
      </c>
      <c r="B35" s="64">
        <v>0.10529689412038926</v>
      </c>
      <c r="C35" s="65">
        <v>0.40356039857817144</v>
      </c>
      <c r="D35" s="43">
        <v>0.10529689412038926</v>
      </c>
      <c r="E35" s="43">
        <f t="shared" ref="E35" si="3">+C35</f>
        <v>0.40356039857817144</v>
      </c>
    </row>
    <row r="36" spans="1:5" x14ac:dyDescent="0.35">
      <c r="D36">
        <f>+STDEV(D7:D35)</f>
        <v>4.8649036924521358E-3</v>
      </c>
      <c r="E36">
        <f>+STDEV(E7:E35)</f>
        <v>4.8649036924521384E-3</v>
      </c>
    </row>
  </sheetData>
  <mergeCells count="1">
    <mergeCell ref="L2:N2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">
    <pageSetUpPr autoPageBreaks="0"/>
  </sheetPr>
  <dimension ref="A1:AF131"/>
  <sheetViews>
    <sheetView showGridLines="0" showRowColHeaders="0" tabSelected="1" zoomScale="90" zoomScaleNormal="90" workbookViewId="0">
      <selection activeCell="M6" sqref="M6"/>
    </sheetView>
  </sheetViews>
  <sheetFormatPr baseColWidth="10" defaultColWidth="0" defaultRowHeight="14.5" zeroHeight="1" x14ac:dyDescent="0.35"/>
  <cols>
    <col min="1" max="1" width="1.7265625" style="9" customWidth="1"/>
    <col min="2" max="2" width="4.54296875" style="9" customWidth="1"/>
    <col min="3" max="3" width="15.26953125" style="10" bestFit="1" customWidth="1"/>
    <col min="4" max="4" width="5.7265625" style="9" customWidth="1"/>
    <col min="5" max="5" width="43.453125" style="9" customWidth="1"/>
    <col min="6" max="6" width="2" style="9" customWidth="1"/>
    <col min="7" max="7" width="15.54296875" style="9" customWidth="1"/>
    <col min="8" max="8" width="13.7265625" style="9" customWidth="1"/>
    <col min="9" max="9" width="2.54296875" style="9" customWidth="1"/>
    <col min="10" max="10" width="16.26953125" style="16" bestFit="1" customWidth="1"/>
    <col min="11" max="11" width="2.81640625" style="9" customWidth="1"/>
    <col min="12" max="12" width="21" style="9" customWidth="1"/>
    <col min="13" max="13" width="15.26953125" style="10" customWidth="1"/>
    <col min="14" max="14" width="4.81640625" style="10" customWidth="1"/>
    <col min="15" max="15" width="4.54296875" style="10" customWidth="1"/>
    <col min="16" max="16" width="2.7265625" style="10" customWidth="1"/>
    <col min="17" max="17" width="17.81640625" style="10" hidden="1" customWidth="1"/>
    <col min="18" max="18" width="16.7265625" style="10" hidden="1" customWidth="1"/>
    <col min="19" max="19" width="14.81640625" style="10" hidden="1" customWidth="1"/>
    <col min="20" max="23" width="16" style="10" hidden="1" customWidth="1"/>
    <col min="24" max="24" width="17.26953125" style="10" hidden="1" customWidth="1"/>
    <col min="25" max="26" width="13.7265625" style="10" hidden="1" customWidth="1"/>
    <col min="27" max="27" width="6.7265625" style="9" hidden="1" customWidth="1"/>
    <col min="28" max="16384" width="3.7265625" style="9" hidden="1"/>
  </cols>
  <sheetData>
    <row r="1" spans="1:32" x14ac:dyDescent="0.35">
      <c r="A1" s="225">
        <v>1</v>
      </c>
      <c r="AA1" s="226"/>
    </row>
    <row r="2" spans="1:32" ht="23.5" x14ac:dyDescent="0.55000000000000004">
      <c r="B2" s="425"/>
      <c r="C2" s="425"/>
      <c r="D2" s="425"/>
      <c r="E2" s="425"/>
      <c r="F2" s="425"/>
      <c r="G2" s="425"/>
      <c r="H2" s="425"/>
      <c r="I2" s="425"/>
      <c r="J2" s="425"/>
      <c r="K2" s="425"/>
      <c r="L2" s="425"/>
      <c r="M2" s="425"/>
      <c r="N2" s="425"/>
      <c r="O2" s="11"/>
      <c r="P2" s="11"/>
      <c r="R2" s="11"/>
      <c r="S2" s="11"/>
      <c r="T2" s="11"/>
      <c r="U2" s="11"/>
      <c r="V2" s="11"/>
      <c r="W2" s="11"/>
      <c r="X2" s="11"/>
      <c r="Y2" s="11"/>
      <c r="Z2" s="11"/>
      <c r="AA2" s="227"/>
    </row>
    <row r="3" spans="1:32" ht="23.5" x14ac:dyDescent="0.55000000000000004">
      <c r="B3" s="425"/>
      <c r="C3" s="425"/>
      <c r="D3" s="425"/>
      <c r="E3" s="425"/>
      <c r="F3" s="425"/>
      <c r="G3" s="425"/>
      <c r="H3" s="425"/>
      <c r="I3" s="425"/>
      <c r="J3" s="425"/>
      <c r="K3" s="425"/>
      <c r="L3" s="425"/>
      <c r="M3" s="425"/>
      <c r="N3" s="425"/>
      <c r="O3" s="11"/>
      <c r="P3" s="11"/>
      <c r="Q3" s="9"/>
      <c r="R3" s="11"/>
      <c r="S3" s="11"/>
      <c r="T3" s="11"/>
      <c r="U3" s="11"/>
      <c r="V3" s="11"/>
      <c r="W3" s="11"/>
      <c r="X3" s="11"/>
      <c r="Y3" s="11"/>
      <c r="Z3" s="11"/>
      <c r="AA3" s="227"/>
    </row>
    <row r="4" spans="1:32" ht="24" thickBot="1" x14ac:dyDescent="0.6">
      <c r="B4" s="228"/>
      <c r="C4" s="228"/>
      <c r="D4" s="228"/>
      <c r="E4" s="228"/>
      <c r="F4" s="228"/>
      <c r="G4" s="228"/>
      <c r="H4" s="228"/>
      <c r="I4" s="228"/>
      <c r="J4" s="335"/>
      <c r="K4" s="228"/>
      <c r="L4" s="228"/>
      <c r="M4" s="228"/>
      <c r="N4" s="228"/>
      <c r="O4" s="11"/>
      <c r="P4" s="11"/>
      <c r="Q4" s="229"/>
      <c r="R4" s="11"/>
      <c r="S4" s="11"/>
      <c r="T4" s="11"/>
      <c r="U4" s="11"/>
      <c r="V4" s="11"/>
      <c r="W4" s="11"/>
      <c r="X4" s="11"/>
      <c r="Y4" s="11"/>
      <c r="Z4" s="11"/>
      <c r="AA4" s="227"/>
    </row>
    <row r="5" spans="1:32" ht="24.5" thickTop="1" thickBot="1" x14ac:dyDescent="0.6">
      <c r="B5" s="228"/>
      <c r="C5" s="228"/>
      <c r="D5" s="228"/>
      <c r="E5" s="228"/>
      <c r="F5" s="228"/>
      <c r="G5" s="228"/>
      <c r="H5" s="228"/>
      <c r="I5" s="228"/>
      <c r="J5" s="335"/>
      <c r="K5" s="228"/>
      <c r="L5" s="230" t="s">
        <v>88</v>
      </c>
      <c r="M5" s="224">
        <f ca="1">TODAY()</f>
        <v>44713</v>
      </c>
      <c r="N5" s="228"/>
      <c r="O5" s="11"/>
      <c r="P5" s="11"/>
      <c r="Q5" s="229" t="s">
        <v>85</v>
      </c>
      <c r="R5" s="11"/>
      <c r="S5" s="11"/>
      <c r="T5" s="11"/>
      <c r="U5" s="11"/>
      <c r="V5" s="11"/>
      <c r="W5" s="11"/>
      <c r="X5" s="11"/>
      <c r="Y5" s="11"/>
      <c r="Z5" s="11"/>
      <c r="AA5" s="227"/>
    </row>
    <row r="6" spans="1:32" ht="24.5" thickTop="1" thickBot="1" x14ac:dyDescent="0.6">
      <c r="B6" s="228"/>
      <c r="C6" s="228"/>
      <c r="D6" s="228"/>
      <c r="E6" s="231"/>
      <c r="F6" s="228"/>
      <c r="G6" s="228"/>
      <c r="H6" s="228"/>
      <c r="I6" s="228"/>
      <c r="J6" s="335"/>
      <c r="K6" s="228"/>
      <c r="L6" s="230" t="s">
        <v>89</v>
      </c>
      <c r="M6" s="358"/>
      <c r="N6" s="228"/>
      <c r="O6" s="11"/>
      <c r="P6" s="11"/>
      <c r="Q6" s="229" t="s">
        <v>86</v>
      </c>
      <c r="R6" s="11"/>
      <c r="S6" s="11"/>
      <c r="T6" s="11"/>
      <c r="U6" s="11"/>
      <c r="V6" s="11"/>
      <c r="W6" s="11"/>
      <c r="X6" s="11"/>
      <c r="Y6" s="11"/>
      <c r="Z6" s="11"/>
      <c r="AA6" s="227"/>
    </row>
    <row r="7" spans="1:32" ht="19" thickTop="1" x14ac:dyDescent="0.45">
      <c r="B7" s="13"/>
      <c r="C7" s="14"/>
      <c r="D7" s="13"/>
      <c r="E7" s="13"/>
      <c r="F7" s="13"/>
      <c r="G7" s="13"/>
      <c r="H7" s="13"/>
      <c r="I7" s="13"/>
      <c r="J7" s="17"/>
      <c r="K7" s="13"/>
      <c r="L7" s="13"/>
      <c r="M7" s="14"/>
      <c r="N7" s="14"/>
      <c r="Q7" s="229" t="s">
        <v>87</v>
      </c>
      <c r="AA7" s="226"/>
      <c r="AF7" s="232"/>
    </row>
    <row r="8" spans="1:32" ht="21" x14ac:dyDescent="0.35">
      <c r="B8" s="426" t="s">
        <v>72</v>
      </c>
      <c r="C8" s="426"/>
      <c r="D8" s="426"/>
      <c r="E8" s="426"/>
      <c r="F8" s="427"/>
      <c r="G8" s="427"/>
      <c r="H8" s="427"/>
      <c r="I8" s="427"/>
      <c r="J8" s="427"/>
      <c r="K8" s="427"/>
      <c r="L8" s="427"/>
      <c r="M8" s="427"/>
      <c r="N8" s="233"/>
      <c r="O8" s="234"/>
      <c r="P8" s="234"/>
      <c r="Q8" s="234"/>
      <c r="R8" s="234"/>
      <c r="S8" s="234"/>
      <c r="T8" s="234"/>
      <c r="U8" s="234"/>
      <c r="V8" s="234"/>
      <c r="W8" s="234"/>
      <c r="X8" s="234"/>
      <c r="Y8" s="234"/>
      <c r="Z8" s="234"/>
      <c r="AA8" s="226"/>
    </row>
    <row r="9" spans="1:32" ht="15" customHeight="1" x14ac:dyDescent="0.4">
      <c r="B9" s="15"/>
      <c r="C9" s="235"/>
      <c r="D9" s="317" t="s">
        <v>74</v>
      </c>
      <c r="E9" s="422" t="s">
        <v>64</v>
      </c>
      <c r="F9" s="423"/>
      <c r="G9" s="423"/>
      <c r="H9" s="423"/>
      <c r="I9" s="423"/>
      <c r="J9" s="424"/>
      <c r="K9" s="236"/>
      <c r="M9" s="9"/>
      <c r="N9" s="235"/>
      <c r="O9" s="237"/>
      <c r="P9" s="237"/>
      <c r="Q9" s="237"/>
      <c r="R9" s="237"/>
      <c r="S9" s="237"/>
      <c r="T9" s="237"/>
      <c r="U9" s="237"/>
      <c r="V9" s="237"/>
      <c r="W9" s="237"/>
      <c r="X9" s="237"/>
      <c r="Y9" s="237"/>
      <c r="Z9" s="237"/>
      <c r="AA9" s="226"/>
    </row>
    <row r="10" spans="1:32" ht="30.75" customHeight="1" x14ac:dyDescent="0.35">
      <c r="B10" s="15"/>
      <c r="C10" s="235"/>
      <c r="D10" s="235"/>
      <c r="E10" s="235" t="s">
        <v>64</v>
      </c>
      <c r="F10" s="235"/>
      <c r="G10" s="235"/>
      <c r="H10" s="235"/>
      <c r="I10" s="235"/>
      <c r="J10" s="18"/>
      <c r="K10" s="235"/>
      <c r="M10" s="9"/>
      <c r="N10" s="238"/>
      <c r="O10" s="239"/>
      <c r="P10" s="239"/>
      <c r="Q10" s="239"/>
      <c r="R10" s="239"/>
      <c r="S10" s="239"/>
      <c r="T10" s="239"/>
      <c r="U10" s="239"/>
      <c r="V10" s="239"/>
      <c r="W10" s="239"/>
      <c r="X10" s="239"/>
      <c r="Y10" s="239"/>
      <c r="Z10" s="239"/>
      <c r="AA10" s="240"/>
    </row>
    <row r="11" spans="1:32" s="10" customFormat="1" ht="21" x14ac:dyDescent="0.35">
      <c r="B11" s="426" t="s">
        <v>192</v>
      </c>
      <c r="C11" s="426"/>
      <c r="D11" s="426"/>
      <c r="E11" s="426"/>
      <c r="F11" s="427"/>
      <c r="G11" s="427"/>
      <c r="H11" s="427"/>
      <c r="I11" s="427"/>
      <c r="J11" s="427"/>
      <c r="K11" s="427"/>
      <c r="L11" s="427"/>
      <c r="M11" s="427"/>
      <c r="N11" s="233"/>
      <c r="Q11" s="336"/>
      <c r="AA11" s="241"/>
    </row>
    <row r="12" spans="1:32" ht="17" x14ac:dyDescent="0.4">
      <c r="A12" s="242"/>
      <c r="B12" s="235"/>
      <c r="C12" s="243"/>
      <c r="D12" s="317" t="s">
        <v>75</v>
      </c>
      <c r="E12" s="422" t="s">
        <v>64</v>
      </c>
      <c r="F12" s="423"/>
      <c r="G12" s="423"/>
      <c r="H12" s="423"/>
      <c r="I12" s="423"/>
      <c r="J12" s="424"/>
      <c r="K12" s="244"/>
      <c r="L12" s="428"/>
      <c r="M12" s="363"/>
      <c r="N12" s="225"/>
      <c r="Q12" s="364">
        <v>1</v>
      </c>
      <c r="AA12" s="241"/>
    </row>
    <row r="13" spans="1:32" ht="17" x14ac:dyDescent="0.4">
      <c r="A13" s="242"/>
      <c r="B13" s="235"/>
      <c r="C13" s="243"/>
      <c r="D13" s="317" t="s">
        <v>76</v>
      </c>
      <c r="E13" s="213" t="s">
        <v>64</v>
      </c>
      <c r="F13" s="235"/>
      <c r="G13" s="235"/>
      <c r="H13" s="10"/>
      <c r="I13" s="10"/>
      <c r="J13" s="336"/>
      <c r="K13" s="10"/>
      <c r="L13" s="429"/>
      <c r="M13" s="245"/>
      <c r="N13" s="225"/>
      <c r="AA13" s="241"/>
    </row>
    <row r="14" spans="1:32" x14ac:dyDescent="0.35">
      <c r="A14" s="242"/>
      <c r="B14" s="235"/>
      <c r="C14" s="243"/>
      <c r="D14" s="246"/>
      <c r="E14" s="247"/>
      <c r="F14" s="247"/>
      <c r="G14" s="247"/>
      <c r="H14" s="10"/>
      <c r="I14" s="10"/>
      <c r="J14" s="336"/>
      <c r="K14" s="10"/>
      <c r="L14" s="430"/>
      <c r="M14" s="245"/>
      <c r="N14" s="245"/>
      <c r="AA14" s="241"/>
    </row>
    <row r="15" spans="1:32" ht="15" thickBot="1" x14ac:dyDescent="0.4">
      <c r="A15" s="242"/>
      <c r="B15" s="235"/>
      <c r="C15" s="243"/>
      <c r="D15" s="243"/>
      <c r="E15" s="235"/>
      <c r="F15" s="235"/>
      <c r="G15" s="235"/>
      <c r="H15" s="248"/>
      <c r="I15" s="248"/>
      <c r="J15" s="337"/>
      <c r="K15" s="235"/>
      <c r="L15" s="235"/>
      <c r="M15" s="235"/>
      <c r="N15" s="235"/>
      <c r="U15" s="416" t="s">
        <v>292</v>
      </c>
      <c r="V15" s="417"/>
      <c r="W15" s="417"/>
      <c r="X15" s="418"/>
      <c r="AA15" s="241"/>
    </row>
    <row r="16" spans="1:32" ht="40.5" customHeight="1" thickTop="1" thickBot="1" x14ac:dyDescent="0.4">
      <c r="A16" s="242"/>
      <c r="B16" s="235"/>
      <c r="C16" s="249" t="s">
        <v>77</v>
      </c>
      <c r="D16" s="250"/>
      <c r="E16" s="249" t="s">
        <v>246</v>
      </c>
      <c r="F16" s="251"/>
      <c r="G16" s="251"/>
      <c r="H16" s="249" t="s">
        <v>9</v>
      </c>
      <c r="I16" s="252"/>
      <c r="J16" s="338" t="s">
        <v>245</v>
      </c>
      <c r="K16" s="253"/>
      <c r="L16" s="254" t="s">
        <v>235</v>
      </c>
      <c r="M16" s="255"/>
      <c r="Q16" s="256" t="s">
        <v>78</v>
      </c>
      <c r="R16" s="256" t="s">
        <v>79</v>
      </c>
      <c r="S16" s="257" t="s">
        <v>13</v>
      </c>
      <c r="T16" s="257" t="s">
        <v>80</v>
      </c>
      <c r="U16" s="348" t="s">
        <v>78</v>
      </c>
      <c r="V16" s="256" t="s">
        <v>79</v>
      </c>
      <c r="W16" s="256" t="s">
        <v>13</v>
      </c>
      <c r="X16" s="349" t="s">
        <v>80</v>
      </c>
      <c r="AA16" s="241"/>
    </row>
    <row r="17" spans="1:27" ht="15" thickTop="1" x14ac:dyDescent="0.35">
      <c r="A17" s="242"/>
      <c r="B17" s="235"/>
      <c r="C17" s="250"/>
      <c r="D17" s="250"/>
      <c r="E17" s="250"/>
      <c r="F17" s="235"/>
      <c r="G17" s="235"/>
      <c r="H17" s="248"/>
      <c r="I17" s="248"/>
      <c r="J17" s="337"/>
      <c r="K17" s="250"/>
      <c r="L17" s="258"/>
      <c r="M17" s="259"/>
      <c r="Q17" s="235"/>
      <c r="R17" s="235"/>
      <c r="U17" s="350"/>
      <c r="X17" s="351"/>
      <c r="AA17" s="241"/>
    </row>
    <row r="18" spans="1:27" ht="16.5" thickBot="1" x14ac:dyDescent="0.4">
      <c r="A18" s="242" t="b">
        <v>1</v>
      </c>
      <c r="B18" s="235"/>
      <c r="C18" s="260" t="s">
        <v>90</v>
      </c>
      <c r="D18" s="261"/>
      <c r="E18" s="217"/>
      <c r="F18" s="18"/>
      <c r="G18" s="18"/>
      <c r="H18" s="219"/>
      <c r="I18" s="262"/>
      <c r="J18" s="220"/>
      <c r="L18" s="357" t="s">
        <v>239</v>
      </c>
      <c r="Q18" s="263">
        <f>IF(AND(H18&lt;&gt;"",J18&lt;&gt;""),VLOOKUP(H18,Tarifa!$CG$6:$CI$110,IF(J18="Hombre",2,3),0),0)</f>
        <v>0</v>
      </c>
      <c r="R18" s="263">
        <f>IF(AND(H18&lt;&gt;"",J18&lt;&gt;""),VLOOKUP(H18,Tarifa!$BU$6:$BW$110,IF(J18="Hombre",2,3),0),0)</f>
        <v>0</v>
      </c>
      <c r="S18" s="263">
        <f>Q18+R18</f>
        <v>0</v>
      </c>
      <c r="T18" s="264">
        <f>SUM(S18:S33)</f>
        <v>0</v>
      </c>
      <c r="U18" s="352">
        <f>IF($J$59=TRUE,IF(AND(H18&lt;&gt;"",J18&lt;&gt;""),VLOOKUP(H18,Tarifa!$BY$6:$CA$106,IF(J18="Hombre",2,3),0),0),0)</f>
        <v>0</v>
      </c>
      <c r="V18" s="264">
        <f>IF($J$59=TRUE,IF(AND(H18&lt;&gt;"",J18&lt;&gt;""),VLOOKUP(H18,Tarifa!$CC$6:$CE$106,IF(J18="Hombre",2,3),0),0),0)</f>
        <v>0</v>
      </c>
      <c r="W18" s="263">
        <f>U18+V18</f>
        <v>0</v>
      </c>
      <c r="X18" s="353">
        <f>SUM(W18:W33)</f>
        <v>0</v>
      </c>
      <c r="Y18" s="264"/>
      <c r="AA18" s="241"/>
    </row>
    <row r="19" spans="1:27" ht="10.5" customHeight="1" x14ac:dyDescent="0.35">
      <c r="A19" s="242"/>
      <c r="B19" s="235"/>
      <c r="C19" s="260"/>
      <c r="D19" s="250"/>
      <c r="E19" s="265"/>
      <c r="F19" s="18"/>
      <c r="G19" s="18"/>
      <c r="H19" s="266"/>
      <c r="I19" s="262"/>
      <c r="J19" s="266"/>
      <c r="L19" s="212"/>
      <c r="Q19" s="263"/>
      <c r="R19" s="263"/>
      <c r="S19" s="263"/>
      <c r="U19" s="350"/>
      <c r="X19" s="351"/>
      <c r="AA19" s="241"/>
    </row>
    <row r="20" spans="1:27" ht="16.5" thickBot="1" x14ac:dyDescent="0.5">
      <c r="A20" s="242" t="b">
        <v>1</v>
      </c>
      <c r="B20" s="235" t="s">
        <v>94</v>
      </c>
      <c r="C20" s="267" t="s">
        <v>236</v>
      </c>
      <c r="D20" s="261"/>
      <c r="E20" s="218"/>
      <c r="F20" s="18"/>
      <c r="G20" s="18"/>
      <c r="H20" s="219"/>
      <c r="I20" s="262"/>
      <c r="J20" s="220"/>
      <c r="L20" s="357" t="s">
        <v>239</v>
      </c>
      <c r="Q20" s="263">
        <f>IF(AND(H20&lt;&gt;"",J20&lt;&gt;""),VLOOKUP(H20,Tarifa!$CG$6:$CI$110,IF(J20="Hombre",2,3),0),0)</f>
        <v>0</v>
      </c>
      <c r="R20" s="263">
        <f>IF(AND(H20&lt;&gt;"",J20&lt;&gt;""),VLOOKUP(H20,Tarifa!$BU$6:$BW$110,IF(J20="Hombre",2,3),0),0)</f>
        <v>0</v>
      </c>
      <c r="S20" s="263">
        <f>Q20+R20</f>
        <v>0</v>
      </c>
      <c r="U20" s="352">
        <f>IF($J$59=TRUE,IF(AND(H20&lt;&gt;"",J20&lt;&gt;""),VLOOKUP(H20,Tarifa!$BY$6:$CA$106,IF(J20="Hombre",2,3),0),0),0)</f>
        <v>0</v>
      </c>
      <c r="V20" s="264">
        <f>IF($J$59=TRUE,IF(AND(H20&lt;&gt;"",J20&lt;&gt;""),VLOOKUP(H20,Tarifa!$CC$6:$CE$106,IF(J20="Hombre",2,3),0),0),0)</f>
        <v>0</v>
      </c>
      <c r="W20" s="263">
        <f>U20+V20</f>
        <v>0</v>
      </c>
      <c r="X20" s="351"/>
      <c r="AA20" s="241"/>
    </row>
    <row r="21" spans="1:27" ht="10.5" customHeight="1" x14ac:dyDescent="0.45">
      <c r="A21" s="242"/>
      <c r="B21" s="235"/>
      <c r="C21" s="267"/>
      <c r="D21" s="243"/>
      <c r="E21" s="268"/>
      <c r="F21" s="18"/>
      <c r="G21" s="18"/>
      <c r="H21" s="269"/>
      <c r="I21" s="266"/>
      <c r="J21" s="269"/>
      <c r="L21" s="212"/>
      <c r="Q21" s="263"/>
      <c r="R21" s="263"/>
      <c r="S21" s="263"/>
      <c r="U21" s="350"/>
      <c r="X21" s="351"/>
      <c r="AA21" s="241"/>
    </row>
    <row r="22" spans="1:27" ht="16.5" thickBot="1" x14ac:dyDescent="0.5">
      <c r="A22" s="242" t="b">
        <v>0</v>
      </c>
      <c r="B22" s="235"/>
      <c r="C22" s="267" t="s">
        <v>91</v>
      </c>
      <c r="D22" s="261"/>
      <c r="E22" s="218"/>
      <c r="F22" s="18"/>
      <c r="G22" s="18"/>
      <c r="H22" s="219"/>
      <c r="I22" s="266"/>
      <c r="J22" s="220"/>
      <c r="L22" s="357" t="s">
        <v>239</v>
      </c>
      <c r="Q22" s="263">
        <f>IF(AND(H22&lt;&gt;"",J22&lt;&gt;""),VLOOKUP(H22,Tarifa!$CG$6:$CI$110,IF(J22="Hombre",2,3),0),0)</f>
        <v>0</v>
      </c>
      <c r="R22" s="263">
        <f>IF(AND(H22&lt;&gt;"",J22&lt;&gt;""),VLOOKUP(H22,Tarifa!$BU$6:$BW$110,IF(J22="Hombre",2,3),0),0)</f>
        <v>0</v>
      </c>
      <c r="S22" s="263">
        <f>Q22+R22</f>
        <v>0</v>
      </c>
      <c r="U22" s="352">
        <f>IF($J$59=TRUE,IF(AND(H22&lt;&gt;"",J22&lt;&gt;""),VLOOKUP(H22,Tarifa!$BY$6:$CA$106,IF(J22="Hombre",2,3),0),0),0)</f>
        <v>0</v>
      </c>
      <c r="V22" s="264">
        <f>IF($J$59=TRUE,IF(AND(H22&lt;&gt;"",J22&lt;&gt;""),VLOOKUP(H22,Tarifa!$CC$6:$CE$106,IF(J22="Hombre",2,3),0),0),0)</f>
        <v>0</v>
      </c>
      <c r="W22" s="263">
        <f>U22+V22</f>
        <v>0</v>
      </c>
      <c r="X22" s="351"/>
      <c r="AA22" s="241"/>
    </row>
    <row r="23" spans="1:27" ht="16" x14ac:dyDescent="0.45">
      <c r="A23" s="242"/>
      <c r="B23" s="235"/>
      <c r="C23" s="267"/>
      <c r="D23" s="243"/>
      <c r="E23" s="268"/>
      <c r="F23" s="18"/>
      <c r="G23" s="18"/>
      <c r="H23" s="266"/>
      <c r="I23" s="266"/>
      <c r="J23" s="266"/>
      <c r="L23" s="212"/>
      <c r="Q23" s="263"/>
      <c r="R23" s="263"/>
      <c r="S23" s="263"/>
      <c r="U23" s="350"/>
      <c r="X23" s="351"/>
      <c r="AA23" s="241"/>
    </row>
    <row r="24" spans="1:27" ht="16.5" thickBot="1" x14ac:dyDescent="0.5">
      <c r="A24" s="242" t="b">
        <v>0</v>
      </c>
      <c r="B24" s="235"/>
      <c r="C24" s="267" t="s">
        <v>92</v>
      </c>
      <c r="D24" s="261"/>
      <c r="E24" s="218"/>
      <c r="F24" s="18"/>
      <c r="G24" s="18"/>
      <c r="H24" s="219"/>
      <c r="I24" s="266"/>
      <c r="J24" s="220"/>
      <c r="L24" s="357" t="s">
        <v>239</v>
      </c>
      <c r="Q24" s="263">
        <f>IF(AND(H24&lt;&gt;"",J24&lt;&gt;""),VLOOKUP(H24,Tarifa!$CG$6:$CI$110,IF(J24="Hombre",2,3),0),0)</f>
        <v>0</v>
      </c>
      <c r="R24" s="263">
        <f>IF(AND(H24&lt;&gt;"",J24&lt;&gt;""),VLOOKUP(H24,Tarifa!$BU$6:$BW$110,IF(J24="Hombre",2,3),0),0)</f>
        <v>0</v>
      </c>
      <c r="S24" s="263">
        <f>Q24+R24</f>
        <v>0</v>
      </c>
      <c r="U24" s="352">
        <f>IF($J$59=TRUE,IF(AND(H24&lt;&gt;"",J24&lt;&gt;""),VLOOKUP(H24,Tarifa!$BY$6:$CA$106,IF(J24="Hombre",2,3),0),0),0)</f>
        <v>0</v>
      </c>
      <c r="V24" s="264">
        <f>IF($J$59=TRUE,IF(AND(H24&lt;&gt;"",J24&lt;&gt;""),VLOOKUP(H24,Tarifa!$CC$6:$CE$106,IF(J24="Hombre",2,3),0),0),0)</f>
        <v>0</v>
      </c>
      <c r="W24" s="263">
        <f>U24+V24</f>
        <v>0</v>
      </c>
      <c r="X24" s="351"/>
      <c r="AA24" s="241"/>
    </row>
    <row r="25" spans="1:27" ht="16" x14ac:dyDescent="0.45">
      <c r="A25" s="242"/>
      <c r="B25" s="235"/>
      <c r="C25" s="267"/>
      <c r="D25" s="243"/>
      <c r="E25" s="268"/>
      <c r="F25" s="18"/>
      <c r="G25" s="18"/>
      <c r="H25" s="266"/>
      <c r="I25" s="266"/>
      <c r="J25" s="266"/>
      <c r="L25" s="316"/>
      <c r="Q25" s="263"/>
      <c r="R25" s="263"/>
      <c r="S25" s="263"/>
      <c r="U25" s="350"/>
      <c r="X25" s="351"/>
      <c r="AA25" s="241"/>
    </row>
    <row r="26" spans="1:27" ht="16.5" thickBot="1" x14ac:dyDescent="0.5">
      <c r="A26" s="242" t="b">
        <v>0</v>
      </c>
      <c r="B26" s="235"/>
      <c r="C26" s="267" t="s">
        <v>93</v>
      </c>
      <c r="D26" s="261"/>
      <c r="E26" s="218"/>
      <c r="F26" s="18"/>
      <c r="G26" s="18"/>
      <c r="H26" s="219"/>
      <c r="I26" s="266"/>
      <c r="J26" s="220"/>
      <c r="L26" s="357" t="s">
        <v>239</v>
      </c>
      <c r="Q26" s="263">
        <f>IF(AND(H26&lt;&gt;"",J26&lt;&gt;""),VLOOKUP(H26,Tarifa!$CG$6:$CI$110,IF(J26="Hombre",2,3),0),0)</f>
        <v>0</v>
      </c>
      <c r="R26" s="263">
        <f>IF(AND(H26&lt;&gt;"",J26&lt;&gt;""),VLOOKUP(H26,Tarifa!$BU$6:$BW$110,IF(J26="Hombre",2,3),0),0)</f>
        <v>0</v>
      </c>
      <c r="S26" s="263">
        <f>Q26+R26</f>
        <v>0</v>
      </c>
      <c r="U26" s="352">
        <f>IF($J$59=TRUE,IF(AND(H26&lt;&gt;"",J26&lt;&gt;""),VLOOKUP(H26,Tarifa!$BY$6:$CA$106,IF(J26="Hombre",2,3),0),0),0)</f>
        <v>0</v>
      </c>
      <c r="V26" s="264">
        <f>IF($J$59=TRUE,IF(AND(H26&lt;&gt;"",J26&lt;&gt;""),VLOOKUP(H26,Tarifa!$CC$6:$CE$106,IF(J26="Hombre",2,3),0),0),0)</f>
        <v>0</v>
      </c>
      <c r="W26" s="263">
        <f>U26+V26</f>
        <v>0</v>
      </c>
      <c r="X26" s="351"/>
      <c r="AA26" s="241"/>
    </row>
    <row r="27" spans="1:27" ht="16" x14ac:dyDescent="0.45">
      <c r="A27" s="242"/>
      <c r="B27" s="235"/>
      <c r="C27" s="267"/>
      <c r="D27" s="243"/>
      <c r="E27" s="268"/>
      <c r="F27" s="18"/>
      <c r="G27" s="18"/>
      <c r="H27" s="266"/>
      <c r="I27" s="266"/>
      <c r="J27" s="266"/>
      <c r="L27" s="212"/>
      <c r="Q27" s="263"/>
      <c r="R27" s="263"/>
      <c r="S27" s="263"/>
      <c r="U27" s="350"/>
      <c r="X27" s="351"/>
      <c r="AA27" s="241"/>
    </row>
    <row r="28" spans="1:27" ht="16.5" thickBot="1" x14ac:dyDescent="0.5">
      <c r="A28" s="242" t="b">
        <v>0</v>
      </c>
      <c r="B28" s="235"/>
      <c r="C28" s="267" t="s">
        <v>95</v>
      </c>
      <c r="D28" s="261"/>
      <c r="E28" s="218"/>
      <c r="F28" s="18"/>
      <c r="G28" s="18"/>
      <c r="H28" s="219"/>
      <c r="I28" s="266"/>
      <c r="J28" s="220"/>
      <c r="L28" s="357" t="s">
        <v>239</v>
      </c>
      <c r="N28" s="270"/>
      <c r="Q28" s="263">
        <f>IF(AND(H28&lt;&gt;"",J28&lt;&gt;""),VLOOKUP(H28,Tarifa!$CG$6:$CI$110,IF(J28="Hombre",2,3),0),0)</f>
        <v>0</v>
      </c>
      <c r="R28" s="263">
        <f>IF(AND(H28&lt;&gt;"",J28&lt;&gt;""),VLOOKUP(H28,Tarifa!$BU$6:$BW$110,IF(J28="Hombre",2,3),0),0)</f>
        <v>0</v>
      </c>
      <c r="S28" s="263">
        <f>Q28+R28</f>
        <v>0</v>
      </c>
      <c r="U28" s="352">
        <f>IF($J$59=TRUE,IF(AND(H28&lt;&gt;"",J28&lt;&gt;""),VLOOKUP(H28,Tarifa!$BY$6:$CA$106,IF(J28="Hombre",2,3),0),0),0)</f>
        <v>0</v>
      </c>
      <c r="V28" s="264">
        <f>IF($J$59=TRUE,IF(AND(H28&lt;&gt;"",J28&lt;&gt;""),VLOOKUP(H28,Tarifa!$CC$6:$CE$106,IF(J28="Hombre",2,3),0),0),0)</f>
        <v>0</v>
      </c>
      <c r="W28" s="263">
        <f>U28+V28</f>
        <v>0</v>
      </c>
      <c r="X28" s="351"/>
      <c r="AA28" s="241"/>
    </row>
    <row r="29" spans="1:27" ht="16" x14ac:dyDescent="0.45">
      <c r="A29" s="242"/>
      <c r="B29" s="235"/>
      <c r="C29" s="267"/>
      <c r="D29" s="261"/>
      <c r="E29" s="332"/>
      <c r="F29" s="18"/>
      <c r="G29" s="18"/>
      <c r="H29" s="333"/>
      <c r="I29" s="266"/>
      <c r="J29" s="334"/>
      <c r="L29" s="212"/>
      <c r="N29" s="270"/>
      <c r="Q29" s="263"/>
      <c r="R29" s="263"/>
      <c r="S29" s="263"/>
      <c r="U29" s="350"/>
      <c r="X29" s="351"/>
      <c r="AA29" s="241"/>
    </row>
    <row r="30" spans="1:27" ht="16.5" thickBot="1" x14ac:dyDescent="0.5">
      <c r="A30" s="242"/>
      <c r="B30" s="235"/>
      <c r="C30" s="267" t="s">
        <v>290</v>
      </c>
      <c r="D30" s="261"/>
      <c r="E30" s="218"/>
      <c r="F30" s="18"/>
      <c r="G30" s="18"/>
      <c r="H30" s="219"/>
      <c r="I30" s="266"/>
      <c r="J30" s="220"/>
      <c r="L30" s="357" t="s">
        <v>239</v>
      </c>
      <c r="N30" s="270"/>
      <c r="Q30" s="263">
        <f>IF(AND(H30&lt;&gt;"",J30&lt;&gt;""),VLOOKUP(H30,Tarifa!$CG$6:$CI$110,IF(J30="Hombre",2,3),0),0)</f>
        <v>0</v>
      </c>
      <c r="R30" s="263">
        <f>IF(AND(H30&lt;&gt;"",J30&lt;&gt;""),VLOOKUP(H30,Tarifa!$BU$6:$BW$110,IF(J30="Hombre",2,3),0),0)</f>
        <v>0</v>
      </c>
      <c r="S30" s="263">
        <f>Q30+R30</f>
        <v>0</v>
      </c>
      <c r="U30" s="352">
        <f>IF($J$59=TRUE,IF(AND(H30&lt;&gt;"",J30&lt;&gt;""),VLOOKUP(H30,Tarifa!$BY$6:$CA$106,IF(J30="Hombre",2,3),0),0),0)</f>
        <v>0</v>
      </c>
      <c r="V30" s="264">
        <f>IF($J$59=TRUE,IF(AND(H30&lt;&gt;"",J30&lt;&gt;""),VLOOKUP(H30,Tarifa!$CC$6:$CE$106,IF(J30="Hombre",2,3),0),0),0)</f>
        <v>0</v>
      </c>
      <c r="W30" s="263">
        <f>U30+V30</f>
        <v>0</v>
      </c>
      <c r="X30" s="351"/>
      <c r="AA30" s="241"/>
    </row>
    <row r="31" spans="1:27" ht="16" x14ac:dyDescent="0.45">
      <c r="A31" s="242"/>
      <c r="B31" s="235"/>
      <c r="C31" s="267"/>
      <c r="D31" s="261"/>
      <c r="E31" s="332"/>
      <c r="F31" s="18"/>
      <c r="G31" s="18"/>
      <c r="H31" s="333"/>
      <c r="I31" s="266"/>
      <c r="J31" s="334"/>
      <c r="L31" s="212"/>
      <c r="N31" s="270"/>
      <c r="Q31" s="263"/>
      <c r="R31" s="263"/>
      <c r="S31" s="263"/>
      <c r="U31" s="350"/>
      <c r="W31" s="264"/>
      <c r="X31" s="351"/>
      <c r="AA31" s="241"/>
    </row>
    <row r="32" spans="1:27" ht="16.5" thickBot="1" x14ac:dyDescent="0.5">
      <c r="A32" s="242"/>
      <c r="B32" s="235"/>
      <c r="C32" s="267" t="s">
        <v>291</v>
      </c>
      <c r="D32" s="261"/>
      <c r="E32" s="218"/>
      <c r="F32" s="18"/>
      <c r="G32" s="18"/>
      <c r="H32" s="219"/>
      <c r="I32" s="266"/>
      <c r="J32" s="220"/>
      <c r="L32" s="357" t="s">
        <v>239</v>
      </c>
      <c r="N32" s="270"/>
      <c r="Q32" s="263">
        <f>IF(AND(H32&lt;&gt;"",J32&lt;&gt;""),VLOOKUP(H32,Tarifa!$CG$6:$CI$110,IF(J32="Hombre",2,3),0),0)</f>
        <v>0</v>
      </c>
      <c r="R32" s="263">
        <f>IF(AND(H32&lt;&gt;"",J32&lt;&gt;""),VLOOKUP(H32,Tarifa!$BU$6:$BW$110,IF(J32="Hombre",2,3),0),0)</f>
        <v>0</v>
      </c>
      <c r="S32" s="263">
        <f>Q32+R32</f>
        <v>0</v>
      </c>
      <c r="U32" s="352">
        <f>IF($J$59=TRUE,IF(AND(H32&lt;&gt;"",J32&lt;&gt;""),VLOOKUP(H32,Tarifa!$BY$6:$CA$106,IF(J32="Hombre",2,3),0),0),0)</f>
        <v>0</v>
      </c>
      <c r="V32" s="264">
        <f>IF($J$59=TRUE,IF(AND(H32&lt;&gt;"",J32&lt;&gt;""),VLOOKUP(H32,Tarifa!$CC$6:$CE$106,IF(J32="Hombre",2,3),0),0),0)</f>
        <v>0</v>
      </c>
      <c r="W32" s="263">
        <f>U32+V32</f>
        <v>0</v>
      </c>
      <c r="X32" s="351"/>
      <c r="AA32" s="241"/>
    </row>
    <row r="33" spans="1:27" x14ac:dyDescent="0.35">
      <c r="A33" s="225"/>
      <c r="B33" s="235"/>
      <c r="C33" s="243"/>
      <c r="D33" s="243"/>
      <c r="E33" s="235"/>
      <c r="F33" s="235"/>
      <c r="G33" s="235"/>
      <c r="H33" s="235"/>
      <c r="I33" s="235"/>
      <c r="J33" s="18"/>
      <c r="K33" s="235"/>
      <c r="L33" s="235"/>
      <c r="Q33" s="271"/>
      <c r="R33" s="272"/>
      <c r="S33" s="272"/>
      <c r="U33" s="97"/>
      <c r="V33" s="98"/>
      <c r="W33" s="98"/>
      <c r="X33" s="354"/>
      <c r="AA33" s="226"/>
    </row>
    <row r="34" spans="1:27" x14ac:dyDescent="0.35">
      <c r="A34" s="225"/>
      <c r="C34" s="14"/>
      <c r="F34" s="273"/>
      <c r="G34" s="273"/>
      <c r="Y34" s="242" t="b">
        <v>0</v>
      </c>
      <c r="AA34" s="226"/>
    </row>
    <row r="35" spans="1:27" ht="15.75" customHeight="1" x14ac:dyDescent="0.35">
      <c r="A35" s="10"/>
      <c r="B35" s="10"/>
      <c r="C35" s="419"/>
      <c r="D35" s="419"/>
      <c r="E35" s="419"/>
      <c r="F35" s="10"/>
      <c r="G35" s="10"/>
      <c r="H35" s="10"/>
      <c r="I35" s="10"/>
      <c r="J35" s="336"/>
      <c r="K35" s="10"/>
      <c r="L35" s="10"/>
      <c r="Y35" s="242" t="b">
        <v>0</v>
      </c>
      <c r="AA35" s="226"/>
    </row>
    <row r="36" spans="1:27" x14ac:dyDescent="0.35">
      <c r="A36" s="10"/>
      <c r="B36" s="10"/>
      <c r="D36" s="274"/>
      <c r="E36" s="274"/>
      <c r="F36" s="10"/>
      <c r="G36" s="10"/>
      <c r="H36" s="10"/>
      <c r="I36" s="10"/>
      <c r="J36" s="336"/>
      <c r="K36" s="10"/>
      <c r="L36" s="10"/>
      <c r="Y36" s="242" t="b">
        <v>0</v>
      </c>
      <c r="AA36" s="226"/>
    </row>
    <row r="37" spans="1:27" ht="15" customHeight="1" x14ac:dyDescent="0.35">
      <c r="A37" s="10"/>
      <c r="B37" s="10"/>
      <c r="C37" s="421" t="s">
        <v>4</v>
      </c>
      <c r="D37" s="421"/>
      <c r="E37" s="214"/>
      <c r="F37" s="10"/>
      <c r="G37" s="10"/>
      <c r="H37" s="10"/>
      <c r="I37" s="10"/>
      <c r="J37" s="336"/>
      <c r="K37" s="10"/>
      <c r="L37" s="10"/>
      <c r="Y37" s="242" t="b">
        <v>0</v>
      </c>
      <c r="AA37" s="226"/>
    </row>
    <row r="38" spans="1:27" ht="17" x14ac:dyDescent="0.35">
      <c r="A38" s="10"/>
      <c r="B38" s="10"/>
      <c r="C38" s="421" t="s">
        <v>5</v>
      </c>
      <c r="D38" s="421"/>
      <c r="E38" s="214"/>
      <c r="F38" s="10"/>
      <c r="G38" s="10"/>
      <c r="H38" s="10"/>
      <c r="I38" s="10"/>
      <c r="J38" s="336"/>
      <c r="K38" s="10"/>
      <c r="L38" s="10"/>
      <c r="Y38" s="242" t="b">
        <v>1</v>
      </c>
      <c r="AA38" s="226"/>
    </row>
    <row r="39" spans="1:27" ht="17" x14ac:dyDescent="0.35">
      <c r="A39" s="10"/>
      <c r="B39" s="10"/>
      <c r="C39" s="421" t="s">
        <v>6</v>
      </c>
      <c r="D39" s="421"/>
      <c r="E39" s="215"/>
      <c r="F39" s="10"/>
      <c r="G39" s="10"/>
      <c r="H39" s="10"/>
      <c r="I39" s="10"/>
      <c r="J39" s="336"/>
      <c r="K39" s="10"/>
      <c r="L39" s="10"/>
      <c r="Y39" s="242"/>
      <c r="AA39" s="226"/>
    </row>
    <row r="40" spans="1:27" ht="17" x14ac:dyDescent="0.35">
      <c r="A40" s="10"/>
      <c r="B40" s="10"/>
      <c r="C40" s="421" t="s">
        <v>7</v>
      </c>
      <c r="D40" s="421"/>
      <c r="E40" s="215"/>
      <c r="F40" s="10"/>
      <c r="G40" s="10"/>
      <c r="H40" s="10"/>
      <c r="I40" s="10"/>
      <c r="J40" s="336"/>
      <c r="K40" s="10"/>
      <c r="L40" s="10"/>
      <c r="Y40" s="242"/>
      <c r="AA40" s="226"/>
    </row>
    <row r="41" spans="1:27" ht="17" x14ac:dyDescent="0.35">
      <c r="C41" s="421" t="s">
        <v>8</v>
      </c>
      <c r="D41" s="421"/>
      <c r="E41" s="216"/>
      <c r="F41" s="10"/>
      <c r="G41" s="10"/>
      <c r="Y41" s="242" t="b">
        <v>0</v>
      </c>
      <c r="AA41" s="226"/>
    </row>
    <row r="42" spans="1:27" x14ac:dyDescent="0.35">
      <c r="C42" s="9"/>
      <c r="Y42" s="242"/>
      <c r="AA42" s="226"/>
    </row>
    <row r="43" spans="1:27" x14ac:dyDescent="0.35">
      <c r="C43" s="419"/>
      <c r="D43" s="419"/>
      <c r="E43" s="419"/>
      <c r="L43" s="275"/>
      <c r="Y43" s="242"/>
      <c r="AA43" s="226"/>
    </row>
    <row r="44" spans="1:27" ht="18.5" x14ac:dyDescent="0.45">
      <c r="F44" s="276"/>
      <c r="G44" s="276"/>
      <c r="H44" s="10"/>
      <c r="Y44" s="242"/>
      <c r="AA44" s="226"/>
    </row>
    <row r="45" spans="1:27" ht="19.5" customHeight="1" x14ac:dyDescent="0.35">
      <c r="C45" s="277"/>
      <c r="D45" s="278"/>
      <c r="E45" s="278"/>
      <c r="F45" s="278"/>
      <c r="G45" s="278"/>
      <c r="H45" s="277"/>
      <c r="I45" s="222"/>
      <c r="J45" s="355" t="b">
        <v>0</v>
      </c>
      <c r="K45" s="12" t="s">
        <v>180</v>
      </c>
      <c r="L45" s="225"/>
      <c r="Y45" s="242"/>
      <c r="AA45" s="226"/>
    </row>
    <row r="46" spans="1:27" ht="19.5" customHeight="1" x14ac:dyDescent="0.35">
      <c r="C46" s="277"/>
      <c r="D46" s="277"/>
      <c r="E46" s="277"/>
      <c r="F46" s="277"/>
      <c r="G46" s="277"/>
      <c r="H46" s="277"/>
      <c r="I46" s="222"/>
      <c r="J46" s="355" t="b">
        <v>0</v>
      </c>
      <c r="K46" s="12" t="s">
        <v>50</v>
      </c>
      <c r="L46" s="225"/>
      <c r="AA46" s="226"/>
    </row>
    <row r="47" spans="1:27" ht="19.5" customHeight="1" x14ac:dyDescent="0.35">
      <c r="C47" s="277"/>
      <c r="D47" s="277"/>
      <c r="E47" s="277"/>
      <c r="F47" s="277"/>
      <c r="G47" s="277"/>
      <c r="H47" s="279"/>
      <c r="I47" s="222"/>
      <c r="J47" s="355" t="b">
        <v>0</v>
      </c>
      <c r="K47" s="361" t="s">
        <v>181</v>
      </c>
      <c r="L47" s="225"/>
      <c r="AA47" s="226"/>
    </row>
    <row r="48" spans="1:27" ht="19.5" customHeight="1" x14ac:dyDescent="0.35">
      <c r="C48" s="277"/>
      <c r="D48" s="277"/>
      <c r="E48" s="277"/>
      <c r="F48" s="277"/>
      <c r="G48" s="277"/>
      <c r="H48" s="277"/>
      <c r="I48" s="222"/>
      <c r="J48" s="355" t="b">
        <v>0</v>
      </c>
      <c r="K48" s="361" t="s">
        <v>182</v>
      </c>
      <c r="L48" s="225"/>
      <c r="M48" s="273"/>
      <c r="AA48" s="226"/>
    </row>
    <row r="49" spans="2:27" ht="19.5" customHeight="1" x14ac:dyDescent="0.35">
      <c r="C49" s="277"/>
      <c r="D49" s="277"/>
      <c r="E49" s="277"/>
      <c r="F49" s="280"/>
      <c r="G49" s="280"/>
      <c r="H49" s="277"/>
      <c r="I49" s="222"/>
      <c r="J49" s="355" t="b">
        <v>0</v>
      </c>
      <c r="K49" s="361" t="s">
        <v>51</v>
      </c>
      <c r="L49" s="225"/>
      <c r="AA49" s="226"/>
    </row>
    <row r="50" spans="2:27" ht="19.5" customHeight="1" x14ac:dyDescent="0.35">
      <c r="C50" s="277"/>
      <c r="D50" s="277"/>
      <c r="E50" s="277" t="s">
        <v>244</v>
      </c>
      <c r="F50" s="277"/>
      <c r="G50" s="281"/>
      <c r="H50" s="211"/>
      <c r="I50" s="222"/>
      <c r="J50" s="355" t="b">
        <v>0</v>
      </c>
      <c r="K50" s="362" t="str">
        <f>CONCATENATE("Maternidad Plus (No aplica para hombres) - ",TEXT(H50,"0,000"))</f>
        <v>Maternidad Plus (No aplica para hombres) - 0,000</v>
      </c>
      <c r="L50" s="225"/>
      <c r="AA50" s="226"/>
    </row>
    <row r="51" spans="2:27" ht="19.5" customHeight="1" x14ac:dyDescent="0.35">
      <c r="C51" s="277"/>
      <c r="D51" s="277"/>
      <c r="E51" s="277"/>
      <c r="F51" s="277"/>
      <c r="G51" s="277"/>
      <c r="H51" s="277"/>
      <c r="I51" s="222"/>
      <c r="J51" s="355" t="b">
        <v>0</v>
      </c>
      <c r="K51" s="361" t="s">
        <v>188</v>
      </c>
      <c r="L51" s="225"/>
      <c r="N51" s="9"/>
      <c r="AA51" s="226"/>
    </row>
    <row r="52" spans="2:27" ht="19.5" customHeight="1" x14ac:dyDescent="0.35">
      <c r="C52" s="277"/>
      <c r="D52" s="277"/>
      <c r="E52" s="277"/>
      <c r="F52" s="277"/>
      <c r="G52" s="277"/>
      <c r="H52" s="277"/>
      <c r="I52" s="222"/>
      <c r="J52" s="356" t="b">
        <v>0</v>
      </c>
      <c r="K52" s="361" t="s">
        <v>185</v>
      </c>
      <c r="L52" s="225"/>
      <c r="M52" s="282"/>
      <c r="N52" s="9"/>
      <c r="AA52" s="226"/>
    </row>
    <row r="53" spans="2:27" ht="19.5" customHeight="1" x14ac:dyDescent="0.35">
      <c r="C53" s="277"/>
      <c r="D53" s="277"/>
      <c r="E53" s="277"/>
      <c r="F53" s="277"/>
      <c r="G53" s="277"/>
      <c r="H53" s="277"/>
      <c r="I53" s="222"/>
      <c r="J53" s="355" t="b">
        <v>0</v>
      </c>
      <c r="K53" s="361" t="s">
        <v>184</v>
      </c>
      <c r="L53" s="225"/>
      <c r="AA53" s="226"/>
    </row>
    <row r="54" spans="2:27" ht="19.5" customHeight="1" x14ac:dyDescent="0.35">
      <c r="C54" s="277"/>
      <c r="D54" s="277"/>
      <c r="E54" s="277"/>
      <c r="F54" s="277"/>
      <c r="G54" s="277"/>
      <c r="H54" s="277"/>
      <c r="I54" s="222"/>
      <c r="J54" s="356" t="b">
        <v>0</v>
      </c>
      <c r="K54" s="361" t="s">
        <v>186</v>
      </c>
      <c r="L54" s="225"/>
      <c r="M54" s="283"/>
      <c r="N54" s="282"/>
      <c r="AA54" s="226"/>
    </row>
    <row r="55" spans="2:27" ht="19.5" customHeight="1" x14ac:dyDescent="0.35">
      <c r="C55" s="277"/>
      <c r="D55" s="277"/>
      <c r="E55" s="277"/>
      <c r="F55" s="277"/>
      <c r="G55" s="277"/>
      <c r="H55" s="277"/>
      <c r="I55" s="223"/>
      <c r="J55" s="355" t="b">
        <v>0</v>
      </c>
      <c r="K55" s="361" t="s">
        <v>187</v>
      </c>
      <c r="L55" s="225"/>
      <c r="M55" s="284"/>
      <c r="N55" s="282"/>
      <c r="AA55" s="226"/>
    </row>
    <row r="56" spans="2:27" ht="19.5" customHeight="1" x14ac:dyDescent="0.35">
      <c r="C56" s="277"/>
      <c r="D56" s="277"/>
      <c r="E56" s="277"/>
      <c r="F56" s="277"/>
      <c r="G56" s="277"/>
      <c r="H56" s="277"/>
      <c r="I56" s="223"/>
      <c r="J56" s="355" t="b">
        <v>0</v>
      </c>
      <c r="K56" s="361" t="s">
        <v>183</v>
      </c>
      <c r="L56" s="225"/>
      <c r="M56" s="283"/>
      <c r="N56" s="282"/>
      <c r="AA56" s="226"/>
    </row>
    <row r="57" spans="2:27" ht="19.5" customHeight="1" x14ac:dyDescent="0.35">
      <c r="C57" s="277"/>
      <c r="D57" s="277"/>
      <c r="E57" s="277"/>
      <c r="F57" s="277"/>
      <c r="G57" s="277"/>
      <c r="H57" s="277"/>
      <c r="I57" s="223"/>
      <c r="J57" s="355" t="b">
        <v>0</v>
      </c>
      <c r="K57" s="361" t="s">
        <v>190</v>
      </c>
      <c r="L57" s="225"/>
      <c r="M57" s="284"/>
      <c r="N57" s="9"/>
      <c r="AA57" s="226"/>
    </row>
    <row r="58" spans="2:27" ht="19.5" customHeight="1" x14ac:dyDescent="0.35">
      <c r="C58" s="277"/>
      <c r="D58" s="277"/>
      <c r="E58" s="277"/>
      <c r="F58" s="277"/>
      <c r="G58" s="277"/>
      <c r="H58" s="277"/>
      <c r="I58" s="223"/>
      <c r="J58" s="355" t="b">
        <v>0</v>
      </c>
      <c r="K58" s="361" t="s">
        <v>189</v>
      </c>
      <c r="L58" s="225"/>
      <c r="M58" s="284"/>
      <c r="N58" s="9"/>
      <c r="AA58" s="226"/>
    </row>
    <row r="59" spans="2:27" ht="19.5" customHeight="1" x14ac:dyDescent="0.35">
      <c r="C59" s="277"/>
      <c r="D59" s="277"/>
      <c r="E59" s="277"/>
      <c r="F59" s="277"/>
      <c r="G59" s="277"/>
      <c r="H59" s="211"/>
      <c r="I59" s="223"/>
      <c r="J59" s="355" t="b">
        <v>0</v>
      </c>
      <c r="K59" s="362" t="str">
        <f>CONCATENATE("Xtensuz Bx+ - ",TEXT(H59,"0,000"))</f>
        <v>Xtensuz Bx+ - 0,000</v>
      </c>
      <c r="L59" s="225"/>
      <c r="M59" s="284"/>
      <c r="N59" s="9"/>
      <c r="AA59" s="226"/>
    </row>
    <row r="60" spans="2:27" ht="5.25" customHeight="1" x14ac:dyDescent="0.35">
      <c r="C60" s="277"/>
      <c r="D60" s="277"/>
      <c r="E60" s="277"/>
      <c r="F60" s="277"/>
      <c r="G60" s="277"/>
      <c r="H60" s="277"/>
      <c r="I60" s="223"/>
      <c r="J60" s="12"/>
      <c r="K60" s="12"/>
      <c r="L60" s="225"/>
      <c r="M60" s="283"/>
      <c r="N60" s="282"/>
      <c r="AA60" s="226"/>
    </row>
    <row r="61" spans="2:27" ht="19.5" customHeight="1" x14ac:dyDescent="0.35">
      <c r="B61" s="285"/>
      <c r="C61" s="286"/>
      <c r="D61" s="286"/>
      <c r="E61" s="286"/>
      <c r="F61" s="286"/>
      <c r="G61" s="286"/>
      <c r="H61" s="286"/>
      <c r="I61" s="287"/>
      <c r="J61" s="339"/>
      <c r="K61" s="16"/>
      <c r="L61" s="16"/>
      <c r="M61" s="284"/>
      <c r="N61" s="282"/>
      <c r="AA61" s="226"/>
    </row>
    <row r="62" spans="2:27" x14ac:dyDescent="0.35">
      <c r="C62" s="288"/>
      <c r="D62" s="288"/>
      <c r="E62" s="288"/>
      <c r="F62" s="288"/>
      <c r="G62" s="288"/>
      <c r="H62" s="288"/>
      <c r="I62" s="289"/>
      <c r="J62" s="340"/>
      <c r="M62" s="283"/>
      <c r="N62" s="282"/>
      <c r="AA62" s="226"/>
    </row>
    <row r="63" spans="2:27" x14ac:dyDescent="0.35">
      <c r="C63" s="420" t="s">
        <v>96</v>
      </c>
      <c r="D63" s="420"/>
      <c r="E63" s="221"/>
      <c r="F63" s="288"/>
      <c r="G63" s="288"/>
      <c r="H63" s="288"/>
      <c r="I63" s="289"/>
      <c r="J63" s="341"/>
      <c r="M63" s="291"/>
      <c r="N63" s="282"/>
      <c r="AA63" s="226"/>
    </row>
    <row r="64" spans="2:27" x14ac:dyDescent="0.35">
      <c r="C64" s="289"/>
      <c r="D64" s="289"/>
      <c r="E64" s="289"/>
      <c r="F64" s="289"/>
      <c r="G64" s="289"/>
      <c r="H64" s="289"/>
      <c r="I64" s="292"/>
      <c r="J64" s="340"/>
      <c r="M64" s="283"/>
      <c r="N64" s="282"/>
      <c r="AA64" s="226"/>
    </row>
    <row r="65" spans="2:27" x14ac:dyDescent="0.35">
      <c r="D65" s="293"/>
      <c r="E65" s="289"/>
      <c r="F65" s="289"/>
      <c r="G65" s="289"/>
      <c r="H65" s="294"/>
      <c r="I65" s="295"/>
      <c r="J65" s="342"/>
      <c r="K65" s="289"/>
      <c r="L65" s="290"/>
      <c r="M65" s="291"/>
      <c r="N65" s="282"/>
      <c r="AA65" s="226"/>
    </row>
    <row r="66" spans="2:27" x14ac:dyDescent="0.35">
      <c r="B66" s="296" t="s">
        <v>307</v>
      </c>
      <c r="C66" s="296"/>
      <c r="D66" s="296"/>
      <c r="E66" s="296"/>
      <c r="F66" s="296"/>
      <c r="G66" s="297"/>
      <c r="H66" s="296"/>
      <c r="I66" s="296"/>
      <c r="J66" s="343"/>
      <c r="K66" s="296"/>
      <c r="L66" s="296"/>
      <c r="M66" s="296"/>
      <c r="N66" s="296"/>
      <c r="O66" s="296"/>
      <c r="AA66" s="226"/>
    </row>
    <row r="67" spans="2:27" ht="16.5" hidden="1" x14ac:dyDescent="0.35">
      <c r="C67" s="298"/>
      <c r="E67" s="299"/>
      <c r="F67" s="299"/>
      <c r="G67" s="299"/>
      <c r="H67" s="299"/>
      <c r="I67" s="299"/>
      <c r="J67" s="344"/>
      <c r="K67" s="300"/>
      <c r="L67" s="301"/>
      <c r="AA67" s="226"/>
    </row>
    <row r="68" spans="2:27" hidden="1" x14ac:dyDescent="0.35">
      <c r="D68" s="289"/>
      <c r="E68" s="289"/>
      <c r="F68" s="289"/>
      <c r="G68" s="289"/>
      <c r="H68" s="289"/>
      <c r="I68" s="289"/>
      <c r="J68" s="345"/>
      <c r="K68" s="289"/>
      <c r="L68" s="301"/>
      <c r="AA68" s="226"/>
    </row>
    <row r="69" spans="2:27" hidden="1" x14ac:dyDescent="0.35">
      <c r="C69" s="303"/>
      <c r="E69" s="304"/>
      <c r="F69" s="302"/>
      <c r="G69" s="302"/>
      <c r="H69" s="305"/>
      <c r="I69" s="302"/>
      <c r="J69" s="345"/>
      <c r="K69" s="306"/>
      <c r="L69" s="307"/>
      <c r="AA69" s="226"/>
    </row>
    <row r="70" spans="2:27" hidden="1" x14ac:dyDescent="0.35">
      <c r="D70" s="302"/>
      <c r="E70" s="302"/>
      <c r="F70" s="302"/>
      <c r="G70" s="302"/>
      <c r="H70" s="302"/>
      <c r="I70" s="302"/>
      <c r="J70" s="345"/>
      <c r="K70" s="302"/>
      <c r="AA70" s="226"/>
    </row>
    <row r="71" spans="2:27" hidden="1" x14ac:dyDescent="0.35">
      <c r="C71" s="303"/>
      <c r="E71" s="304"/>
      <c r="F71" s="302"/>
      <c r="G71" s="302"/>
      <c r="H71" s="302"/>
      <c r="I71" s="302"/>
      <c r="J71" s="345"/>
      <c r="K71" s="306"/>
      <c r="L71" s="308"/>
      <c r="AA71" s="226"/>
    </row>
    <row r="72" spans="2:27" hidden="1" x14ac:dyDescent="0.35">
      <c r="D72" s="302"/>
      <c r="E72" s="302"/>
      <c r="F72" s="302"/>
      <c r="G72" s="302"/>
      <c r="H72" s="302"/>
      <c r="I72" s="302"/>
      <c r="J72" s="345"/>
      <c r="K72" s="302"/>
      <c r="AA72" s="226"/>
    </row>
    <row r="73" spans="2:27" hidden="1" x14ac:dyDescent="0.35">
      <c r="C73" s="303"/>
      <c r="E73" s="304"/>
      <c r="F73" s="302"/>
      <c r="G73" s="302"/>
      <c r="H73" s="302"/>
      <c r="I73" s="302"/>
      <c r="J73" s="345"/>
      <c r="K73" s="306"/>
      <c r="AA73" s="226"/>
    </row>
    <row r="74" spans="2:27" hidden="1" x14ac:dyDescent="0.35">
      <c r="C74" s="303"/>
      <c r="E74" s="304"/>
      <c r="F74" s="302"/>
      <c r="G74" s="302"/>
      <c r="H74" s="302"/>
      <c r="I74" s="302"/>
      <c r="J74" s="345"/>
      <c r="K74" s="306"/>
      <c r="AA74" s="226"/>
    </row>
    <row r="75" spans="2:27" hidden="1" x14ac:dyDescent="0.35">
      <c r="C75" s="303"/>
      <c r="E75" s="304"/>
      <c r="F75" s="302"/>
      <c r="G75" s="302"/>
      <c r="H75" s="302"/>
      <c r="I75" s="302"/>
      <c r="J75" s="345"/>
      <c r="K75" s="306"/>
      <c r="AA75" s="226"/>
    </row>
    <row r="76" spans="2:27" hidden="1" x14ac:dyDescent="0.35">
      <c r="C76" s="303"/>
      <c r="E76" s="304"/>
      <c r="F76" s="302"/>
      <c r="G76" s="302"/>
      <c r="H76" s="302"/>
      <c r="I76" s="302"/>
      <c r="J76" s="345"/>
      <c r="K76" s="306"/>
      <c r="AA76" s="226"/>
    </row>
    <row r="77" spans="2:27" hidden="1" x14ac:dyDescent="0.35">
      <c r="C77" s="303"/>
      <c r="E77" s="304"/>
      <c r="F77" s="302"/>
      <c r="G77" s="302"/>
      <c r="H77" s="302"/>
      <c r="I77" s="302"/>
      <c r="J77" s="345"/>
      <c r="K77" s="306"/>
      <c r="AA77" s="226"/>
    </row>
    <row r="78" spans="2:27" hidden="1" x14ac:dyDescent="0.35">
      <c r="C78" s="303"/>
      <c r="E78" s="304"/>
      <c r="F78" s="302"/>
      <c r="G78" s="302"/>
      <c r="H78" s="302"/>
      <c r="I78" s="302"/>
      <c r="J78" s="345"/>
      <c r="K78" s="306"/>
      <c r="AA78" s="226"/>
    </row>
    <row r="79" spans="2:27" hidden="1" x14ac:dyDescent="0.35">
      <c r="C79" s="303"/>
      <c r="E79" s="304"/>
      <c r="F79" s="302"/>
      <c r="G79" s="302"/>
      <c r="H79" s="302"/>
      <c r="I79" s="302"/>
      <c r="J79" s="345"/>
      <c r="K79" s="306"/>
      <c r="AA79" s="226"/>
    </row>
    <row r="80" spans="2:27" hidden="1" x14ac:dyDescent="0.35">
      <c r="C80" s="303"/>
      <c r="E80" s="304"/>
      <c r="F80" s="302"/>
      <c r="G80" s="302"/>
      <c r="H80" s="302"/>
      <c r="I80" s="302"/>
      <c r="J80" s="345"/>
      <c r="K80" s="306"/>
      <c r="AA80" s="226"/>
    </row>
    <row r="81" spans="3:27" hidden="1" x14ac:dyDescent="0.35">
      <c r="D81" s="302"/>
      <c r="E81" s="302"/>
      <c r="F81" s="302"/>
      <c r="G81" s="302"/>
      <c r="H81" s="302"/>
      <c r="I81" s="302"/>
      <c r="J81" s="345"/>
      <c r="K81" s="302"/>
      <c r="AA81" s="226"/>
    </row>
    <row r="82" spans="3:27" hidden="1" x14ac:dyDescent="0.35">
      <c r="C82" s="303"/>
      <c r="E82" s="304"/>
      <c r="F82" s="302"/>
      <c r="G82" s="302"/>
      <c r="H82" s="302"/>
      <c r="I82" s="302"/>
      <c r="J82" s="345"/>
      <c r="K82" s="306"/>
      <c r="AA82" s="226"/>
    </row>
    <row r="83" spans="3:27" hidden="1" x14ac:dyDescent="0.35">
      <c r="D83" s="302"/>
      <c r="E83" s="302"/>
      <c r="F83" s="302"/>
      <c r="G83" s="302"/>
      <c r="H83" s="302"/>
      <c r="I83" s="302"/>
      <c r="J83" s="345"/>
      <c r="K83" s="302"/>
      <c r="AA83" s="226"/>
    </row>
    <row r="84" spans="3:27" hidden="1" x14ac:dyDescent="0.35">
      <c r="C84" s="303"/>
      <c r="E84" s="304"/>
      <c r="F84" s="302"/>
      <c r="G84" s="302"/>
      <c r="H84" s="302"/>
      <c r="I84" s="302"/>
      <c r="J84" s="345"/>
      <c r="K84" s="306"/>
      <c r="AA84" s="226"/>
    </row>
    <row r="85" spans="3:27" hidden="1" x14ac:dyDescent="0.35">
      <c r="D85" s="302"/>
      <c r="E85" s="302"/>
      <c r="F85" s="302"/>
      <c r="G85" s="302"/>
      <c r="H85" s="302"/>
      <c r="I85" s="302"/>
      <c r="J85" s="345"/>
      <c r="K85" s="302"/>
      <c r="AA85" s="226"/>
    </row>
    <row r="86" spans="3:27" hidden="1" x14ac:dyDescent="0.35">
      <c r="C86" s="303"/>
      <c r="E86" s="304"/>
      <c r="F86" s="302"/>
      <c r="G86" s="302"/>
      <c r="H86" s="302"/>
      <c r="I86" s="302"/>
      <c r="J86" s="345"/>
      <c r="K86" s="306"/>
      <c r="AA86" s="226"/>
    </row>
    <row r="87" spans="3:27" hidden="1" x14ac:dyDescent="0.35">
      <c r="D87" s="309"/>
      <c r="E87" s="309"/>
      <c r="F87" s="309"/>
      <c r="G87" s="309"/>
      <c r="H87" s="309"/>
      <c r="I87" s="309"/>
      <c r="J87" s="346"/>
      <c r="K87" s="309"/>
      <c r="AA87" s="226"/>
    </row>
    <row r="88" spans="3:27" ht="15.5" hidden="1" x14ac:dyDescent="0.35">
      <c r="F88" s="310"/>
      <c r="G88" s="310"/>
      <c r="I88" s="311"/>
      <c r="J88" s="347"/>
      <c r="K88" s="312"/>
      <c r="AA88" s="226"/>
    </row>
    <row r="89" spans="3:27" ht="15.5" hidden="1" x14ac:dyDescent="0.35">
      <c r="F89" s="310"/>
      <c r="G89" s="310"/>
      <c r="I89" s="311"/>
      <c r="J89" s="347"/>
      <c r="K89" s="312"/>
      <c r="AA89" s="226"/>
    </row>
    <row r="90" spans="3:27" ht="15.5" hidden="1" x14ac:dyDescent="0.35">
      <c r="C90" s="313"/>
      <c r="F90" s="311"/>
      <c r="G90" s="311"/>
      <c r="I90" s="311"/>
      <c r="J90" s="347"/>
      <c r="K90" s="314"/>
      <c r="AA90" s="226"/>
    </row>
    <row r="91" spans="3:27" ht="15.5" hidden="1" x14ac:dyDescent="0.35">
      <c r="F91" s="310"/>
      <c r="G91" s="310"/>
      <c r="I91" s="311"/>
      <c r="J91" s="347"/>
      <c r="K91" s="312"/>
      <c r="AA91" s="226"/>
    </row>
    <row r="92" spans="3:27" hidden="1" x14ac:dyDescent="0.35">
      <c r="AA92" s="226"/>
    </row>
    <row r="93" spans="3:27" hidden="1" x14ac:dyDescent="0.35">
      <c r="AA93" s="226"/>
    </row>
    <row r="94" spans="3:27" hidden="1" x14ac:dyDescent="0.35">
      <c r="AA94" s="226"/>
    </row>
    <row r="95" spans="3:27" hidden="1" x14ac:dyDescent="0.35">
      <c r="AA95" s="226"/>
    </row>
    <row r="96" spans="3:27" hidden="1" x14ac:dyDescent="0.35">
      <c r="AA96" s="226"/>
    </row>
    <row r="97" spans="6:27" hidden="1" x14ac:dyDescent="0.35">
      <c r="AA97" s="226"/>
    </row>
    <row r="98" spans="6:27" hidden="1" x14ac:dyDescent="0.35">
      <c r="AA98" s="226"/>
    </row>
    <row r="99" spans="6:27" hidden="1" x14ac:dyDescent="0.35">
      <c r="F99" s="315"/>
      <c r="G99" s="315"/>
      <c r="AA99" s="226"/>
    </row>
    <row r="100" spans="6:27" hidden="1" x14ac:dyDescent="0.35">
      <c r="AA100" s="226"/>
    </row>
    <row r="101" spans="6:27" hidden="1" x14ac:dyDescent="0.35">
      <c r="AA101" s="226"/>
    </row>
    <row r="102" spans="6:27" hidden="1" x14ac:dyDescent="0.35">
      <c r="AA102" s="226"/>
    </row>
    <row r="103" spans="6:27" ht="16.5" hidden="1" customHeight="1" x14ac:dyDescent="0.35">
      <c r="AA103" s="226"/>
    </row>
    <row r="104" spans="6:27" hidden="1" x14ac:dyDescent="0.35">
      <c r="AA104" s="226"/>
    </row>
    <row r="105" spans="6:27" hidden="1" x14ac:dyDescent="0.35">
      <c r="AA105" s="226"/>
    </row>
    <row r="106" spans="6:27" hidden="1" x14ac:dyDescent="0.35">
      <c r="AA106" s="226"/>
    </row>
    <row r="107" spans="6:27" hidden="1" x14ac:dyDescent="0.35">
      <c r="AA107" s="226"/>
    </row>
    <row r="108" spans="6:27" hidden="1" x14ac:dyDescent="0.35">
      <c r="AA108" s="226"/>
    </row>
    <row r="109" spans="6:27" hidden="1" x14ac:dyDescent="0.35">
      <c r="AA109" s="226"/>
    </row>
    <row r="110" spans="6:27" hidden="1" x14ac:dyDescent="0.35">
      <c r="AA110" s="226"/>
    </row>
    <row r="111" spans="6:27" hidden="1" x14ac:dyDescent="0.35">
      <c r="AA111" s="226"/>
    </row>
    <row r="112" spans="6:27" hidden="1" x14ac:dyDescent="0.35">
      <c r="AA112" s="226"/>
    </row>
    <row r="113" spans="27:27" hidden="1" x14ac:dyDescent="0.35">
      <c r="AA113" s="226"/>
    </row>
    <row r="114" spans="27:27" hidden="1" x14ac:dyDescent="0.35">
      <c r="AA114" s="226"/>
    </row>
    <row r="115" spans="27:27" hidden="1" x14ac:dyDescent="0.35">
      <c r="AA115" s="226"/>
    </row>
    <row r="116" spans="27:27" hidden="1" x14ac:dyDescent="0.35">
      <c r="AA116" s="226"/>
    </row>
    <row r="117" spans="27:27" hidden="1" x14ac:dyDescent="0.35">
      <c r="AA117" s="226"/>
    </row>
    <row r="118" spans="27:27" hidden="1" x14ac:dyDescent="0.35">
      <c r="AA118" s="226"/>
    </row>
    <row r="119" spans="27:27" hidden="1" x14ac:dyDescent="0.35">
      <c r="AA119" s="226"/>
    </row>
    <row r="120" spans="27:27" hidden="1" x14ac:dyDescent="0.35">
      <c r="AA120" s="226"/>
    </row>
    <row r="121" spans="27:27" hidden="1" x14ac:dyDescent="0.35">
      <c r="AA121" s="226"/>
    </row>
    <row r="122" spans="27:27" hidden="1" x14ac:dyDescent="0.35">
      <c r="AA122" s="226"/>
    </row>
    <row r="123" spans="27:27" hidden="1" x14ac:dyDescent="0.35">
      <c r="AA123" s="226"/>
    </row>
    <row r="124" spans="27:27" hidden="1" x14ac:dyDescent="0.35">
      <c r="AA124" s="226"/>
    </row>
    <row r="125" spans="27:27" hidden="1" x14ac:dyDescent="0.35">
      <c r="AA125" s="226"/>
    </row>
    <row r="126" spans="27:27" hidden="1" x14ac:dyDescent="0.35">
      <c r="AA126" s="226"/>
    </row>
    <row r="127" spans="27:27" hidden="1" x14ac:dyDescent="0.35">
      <c r="AA127" s="226"/>
    </row>
    <row r="128" spans="27:27" hidden="1" x14ac:dyDescent="0.35">
      <c r="AA128" s="226"/>
    </row>
    <row r="129" spans="27:27" hidden="1" x14ac:dyDescent="0.35">
      <c r="AA129" s="226"/>
    </row>
    <row r="130" spans="27:27" hidden="1" x14ac:dyDescent="0.35">
      <c r="AA130" s="226"/>
    </row>
    <row r="131" spans="27:27" hidden="1" x14ac:dyDescent="0.35">
      <c r="AA131" s="226"/>
    </row>
  </sheetData>
  <sheetProtection algorithmName="SHA-512" hashValue="26t3JgZ3VpekivENROM5x/2Pv+3lCcDnYDoH2Rvv7/MJnniYAs+TwYNKSL1mqPlUkG8rQ1g8Bj/wG2rOr8mUHg==" saltValue="EJ+4r0HDMJHc1ATFA1hC0g==" spinCount="100000" sheet="1" objects="1" scenarios="1" selectLockedCells="1"/>
  <dataConsolidate/>
  <mergeCells count="20">
    <mergeCell ref="E9:J9"/>
    <mergeCell ref="E12:J12"/>
    <mergeCell ref="C38:D38"/>
    <mergeCell ref="B2:N2"/>
    <mergeCell ref="B3:N3"/>
    <mergeCell ref="C35:E35"/>
    <mergeCell ref="C37:D37"/>
    <mergeCell ref="B8:E8"/>
    <mergeCell ref="F8:I8"/>
    <mergeCell ref="J8:M8"/>
    <mergeCell ref="B11:E11"/>
    <mergeCell ref="F11:I11"/>
    <mergeCell ref="J11:M11"/>
    <mergeCell ref="L12:L14"/>
    <mergeCell ref="U15:X15"/>
    <mergeCell ref="C43:E43"/>
    <mergeCell ref="C63:D63"/>
    <mergeCell ref="C39:D39"/>
    <mergeCell ref="C40:D40"/>
    <mergeCell ref="C41:D41"/>
  </mergeCells>
  <conditionalFormatting sqref="K69 K71 K73:K80 K82 K84 K86 M60 M56 M54 J63 L65 M64 M62">
    <cfRule type="cellIs" dxfId="8" priority="25" stopIfTrue="1" operator="equal">
      <formula>0</formula>
    </cfRule>
  </conditionalFormatting>
  <conditionalFormatting sqref="H18 H31 H20 H22 H24 H26 H28:H29">
    <cfRule type="expression" dxfId="7" priority="24">
      <formula>$H$12="EDAD"</formula>
    </cfRule>
  </conditionalFormatting>
  <conditionalFormatting sqref="H18 H31 H20 H22 H24 H26 H28:H29">
    <cfRule type="expression" dxfId="6" priority="21">
      <formula>$H$12="FECHA DE NACIMIENTO"</formula>
    </cfRule>
  </conditionalFormatting>
  <conditionalFormatting sqref="H30">
    <cfRule type="expression" dxfId="5" priority="4">
      <formula>$H$12="EDAD"</formula>
    </cfRule>
  </conditionalFormatting>
  <conditionalFormatting sqref="H30">
    <cfRule type="expression" dxfId="4" priority="3">
      <formula>$H$12="FECHA DE NACIMIENTO"</formula>
    </cfRule>
  </conditionalFormatting>
  <conditionalFormatting sqref="H32">
    <cfRule type="expression" dxfId="3" priority="2">
      <formula>$H$12="EDAD"</formula>
    </cfRule>
  </conditionalFormatting>
  <conditionalFormatting sqref="H32">
    <cfRule type="expression" dxfId="2" priority="1">
      <formula>$H$12="FECHA DE NACIMIENTO"</formula>
    </cfRule>
  </conditionalFormatting>
  <dataValidations count="10">
    <dataValidation allowBlank="1" showErrorMessage="1" promptTitle="SUMA ASEGURADA" prompt="Ingrese el monto que desea contratar como Suma Asegurada para esta cobertura" sqref="I64"/>
    <dataValidation allowBlank="1" showInputMessage="1" showErrorMessage="1" sqref="I65:J65"/>
    <dataValidation type="list" allowBlank="1" showInputMessage="1" showErrorMessage="1" sqref="J18 J26 J20 J22 J24 J28:J32">
      <formula1>"Hombre,Mujer"</formula1>
    </dataValidation>
    <dataValidation type="custom" allowBlank="1" showInputMessage="1" showErrorMessage="1" errorTitle="Edad de aceptación." error="La edad máxima de aceptación es 70 años" sqref="H29 H31">
      <formula1>IF(H29&gt;70,FALSE,TRUE)</formula1>
    </dataValidation>
    <dataValidation errorStyle="information" allowBlank="1" showErrorMessage="1" error="Captura el monto" sqref="H47"/>
    <dataValidation type="custom" allowBlank="1" showInputMessage="1" showErrorMessage="1" sqref="J51">
      <formula1>IF(E40&lt;=30000,TRUE,FALSE)</formula1>
    </dataValidation>
    <dataValidation errorStyle="warning" allowBlank="1" showInputMessage="1" showErrorMessage="1" error="EL DEDUCIBLE ES MAYOR_x000a_" sqref="H39"/>
    <dataValidation type="whole" errorStyle="information" allowBlank="1" showInputMessage="1" showErrorMessage="1" error="El deducible debe ser menor" sqref="J39">
      <formula1>1</formula1>
      <formula2>1</formula2>
    </dataValidation>
    <dataValidation type="date" operator="greaterThanOrEqual" showInputMessage="1" showErrorMessage="1" sqref="L22 L18 L24 L20 L26 L28:L32">
      <formula1>1</formula1>
    </dataValidation>
    <dataValidation type="custom" allowBlank="1" showInputMessage="1" showErrorMessage="1" errorTitle="Edad de aceptación. " error="La edad máxima de aceptación para póliza nueva es de 64 años. _x000a_Para póliza de renovación no hay límite de edad." sqref="H18 H20 H22 H24 H26 H28 H30 H32">
      <formula1>IF($Q$12=1,H18&lt;=64,H18&lt;=100)</formula1>
    </dataValidation>
  </dataValidations>
  <printOptions horizontalCentered="1" verticalCentered="1"/>
  <pageMargins left="0" right="0" top="0" bottom="0" header="0" footer="0"/>
  <pageSetup scale="60" orientation="portrait" verticalDpi="200" r:id="rId1"/>
  <ignoredErrors>
    <ignoredError sqref="M5" unlocked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4" name="Group Box 1">
              <controlPr defaultSize="0" autoFill="0" autoPict="0">
                <anchor moveWithCells="1">
                  <from>
                    <xdr:col>11</xdr:col>
                    <xdr:colOff>12700</xdr:colOff>
                    <xdr:row>15</xdr:row>
                    <xdr:rowOff>0</xdr:rowOff>
                  </from>
                  <to>
                    <xdr:col>12</xdr:col>
                    <xdr:colOff>260350</xdr:colOff>
                    <xdr:row>15</xdr:row>
                    <xdr:rowOff>279400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4" r:id="rId5" name="Group Box 2">
              <controlPr defaultSize="0" autoFill="0" autoPict="0">
                <anchor moveWithCells="1">
                  <from>
                    <xdr:col>10</xdr:col>
                    <xdr:colOff>31750</xdr:colOff>
                    <xdr:row>36</xdr:row>
                    <xdr:rowOff>0</xdr:rowOff>
                  </from>
                  <to>
                    <xdr:col>12</xdr:col>
                    <xdr:colOff>88900</xdr:colOff>
                    <xdr:row>37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5" r:id="rId6" name="Group Box 3">
              <controlPr defaultSize="0" autoFill="0" autoPict="0">
                <anchor moveWithCells="1">
                  <from>
                    <xdr:col>10</xdr:col>
                    <xdr:colOff>31750</xdr:colOff>
                    <xdr:row>36</xdr:row>
                    <xdr:rowOff>0</xdr:rowOff>
                  </from>
                  <to>
                    <xdr:col>12</xdr:col>
                    <xdr:colOff>88900</xdr:colOff>
                    <xdr:row>37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6" r:id="rId7" name="Group Box 4">
              <controlPr defaultSize="0" autoFill="0" autoPict="0">
                <anchor moveWithCells="1">
                  <from>
                    <xdr:col>10</xdr:col>
                    <xdr:colOff>31750</xdr:colOff>
                    <xdr:row>36</xdr:row>
                    <xdr:rowOff>0</xdr:rowOff>
                  </from>
                  <to>
                    <xdr:col>12</xdr:col>
                    <xdr:colOff>88900</xdr:colOff>
                    <xdr:row>37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7" r:id="rId8" name="Group Box 5">
              <controlPr defaultSize="0" autoFill="0" autoPict="0">
                <anchor moveWithCells="1">
                  <from>
                    <xdr:col>10</xdr:col>
                    <xdr:colOff>31750</xdr:colOff>
                    <xdr:row>36</xdr:row>
                    <xdr:rowOff>0</xdr:rowOff>
                  </from>
                  <to>
                    <xdr:col>12</xdr:col>
                    <xdr:colOff>88900</xdr:colOff>
                    <xdr:row>37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8" r:id="rId9" name="Group Box 6">
              <controlPr defaultSize="0" autoFill="0" autoPict="0">
                <anchor moveWithCells="1">
                  <from>
                    <xdr:col>10</xdr:col>
                    <xdr:colOff>31750</xdr:colOff>
                    <xdr:row>36</xdr:row>
                    <xdr:rowOff>0</xdr:rowOff>
                  </from>
                  <to>
                    <xdr:col>12</xdr:col>
                    <xdr:colOff>88900</xdr:colOff>
                    <xdr:row>37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5" r:id="rId10" name="Check Box 13">
              <controlPr defaultSize="0" autoFill="0" autoLine="0" autoPict="0" macro="[0]!Maternidad_Plus">
                <anchor moveWithCells="1">
                  <from>
                    <xdr:col>2</xdr:col>
                    <xdr:colOff>0</xdr:colOff>
                    <xdr:row>49</xdr:row>
                    <xdr:rowOff>69850</xdr:rowOff>
                  </from>
                  <to>
                    <xdr:col>4</xdr:col>
                    <xdr:colOff>2222500</xdr:colOff>
                    <xdr:row>49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6" r:id="rId11" name="Check Box 14">
              <controlPr defaultSize="0" autoFill="0" autoLine="0" autoPict="0" macro="[0]!vuelta">
                <anchor moveWithCells="1">
                  <from>
                    <xdr:col>2</xdr:col>
                    <xdr:colOff>0</xdr:colOff>
                    <xdr:row>52</xdr:row>
                    <xdr:rowOff>50800</xdr:rowOff>
                  </from>
                  <to>
                    <xdr:col>5</xdr:col>
                    <xdr:colOff>0</xdr:colOff>
                    <xdr:row>52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7" r:id="rId12" name="Check Box 15">
              <controlPr defaultSize="0" autoFill="0" autoLine="0" autoPict="0" macro="[0]!vuelta">
                <anchor moveWithCells="1">
                  <from>
                    <xdr:col>2</xdr:col>
                    <xdr:colOff>0</xdr:colOff>
                    <xdr:row>50</xdr:row>
                    <xdr:rowOff>50800</xdr:rowOff>
                  </from>
                  <to>
                    <xdr:col>4</xdr:col>
                    <xdr:colOff>2889250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8" r:id="rId13" name="Check Box 16">
              <controlPr defaultSize="0" autoFill="0" autoLine="0" autoPict="0" macro="[0]!Beneficio_VIP">
                <anchor moveWithCells="1">
                  <from>
                    <xdr:col>2</xdr:col>
                    <xdr:colOff>0</xdr:colOff>
                    <xdr:row>51</xdr:row>
                    <xdr:rowOff>57150</xdr:rowOff>
                  </from>
                  <to>
                    <xdr:col>4</xdr:col>
                    <xdr:colOff>2889250</xdr:colOff>
                    <xdr:row>51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9" r:id="rId14" name="Check Box 17">
              <controlPr defaultSize="0" autoFill="0" autoLine="0" autoPict="0" macro="[0]!Cob_Int">
                <anchor moveWithCells="1">
                  <from>
                    <xdr:col>2</xdr:col>
                    <xdr:colOff>0</xdr:colOff>
                    <xdr:row>54</xdr:row>
                    <xdr:rowOff>31750</xdr:rowOff>
                  </from>
                  <to>
                    <xdr:col>5</xdr:col>
                    <xdr:colOff>0</xdr:colOff>
                    <xdr:row>54</xdr:row>
                    <xdr:rowOff>222250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0" r:id="rId15" name="Check Box 18">
              <controlPr defaultSize="0" autoFill="0" autoLine="0" autoPict="0" macro="[0]!EnfGrav_Extr">
                <anchor moveWithCells="1">
                  <from>
                    <xdr:col>2</xdr:col>
                    <xdr:colOff>0</xdr:colOff>
                    <xdr:row>53</xdr:row>
                    <xdr:rowOff>38100</xdr:rowOff>
                  </from>
                  <to>
                    <xdr:col>4</xdr:col>
                    <xdr:colOff>2889250</xdr:colOff>
                    <xdr:row>53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1" r:id="rId16" name="Check Box 19">
              <controlPr defaultSize="0" autoFill="0" autoLine="0" autoPict="0" macro="[0]!Ampl_Servicios">
                <anchor moveWithCells="1">
                  <from>
                    <xdr:col>2</xdr:col>
                    <xdr:colOff>0</xdr:colOff>
                    <xdr:row>55</xdr:row>
                    <xdr:rowOff>31750</xdr:rowOff>
                  </from>
                  <to>
                    <xdr:col>4</xdr:col>
                    <xdr:colOff>2889250</xdr:colOff>
                    <xdr:row>55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2" r:id="rId17" name="Check Box 20">
              <controlPr defaultSize="0" autoFill="0" autoLine="0" autoPict="0" macro="[0]!Pad_Preex">
                <anchor moveWithCells="1">
                  <from>
                    <xdr:col>2</xdr:col>
                    <xdr:colOff>0</xdr:colOff>
                    <xdr:row>47</xdr:row>
                    <xdr:rowOff>95250</xdr:rowOff>
                  </from>
                  <to>
                    <xdr:col>5</xdr:col>
                    <xdr:colOff>0</xdr:colOff>
                    <xdr:row>48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3" r:id="rId18" name="Check Box 21">
              <controlPr defaultSize="0" autoFill="0" autoLine="0" autoPict="0" macro="[0]!vuelta">
                <anchor moveWithCells="1">
                  <from>
                    <xdr:col>2</xdr:col>
                    <xdr:colOff>0</xdr:colOff>
                    <xdr:row>46</xdr:row>
                    <xdr:rowOff>95250</xdr:rowOff>
                  </from>
                  <to>
                    <xdr:col>4</xdr:col>
                    <xdr:colOff>2876550</xdr:colOff>
                    <xdr:row>47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4" r:id="rId19" name="Check Box 22">
              <controlPr defaultSize="0" autoFill="0" autoLine="0" autoPict="0" macro="[0]!Eliminacion_deducible">
                <anchor moveWithCells="1">
                  <from>
                    <xdr:col>2</xdr:col>
                    <xdr:colOff>0</xdr:colOff>
                    <xdr:row>48</xdr:row>
                    <xdr:rowOff>76200</xdr:rowOff>
                  </from>
                  <to>
                    <xdr:col>4</xdr:col>
                    <xdr:colOff>2876550</xdr:colOff>
                    <xdr:row>49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6" r:id="rId20" name="Check Box 24">
              <controlPr defaultSize="0" autoFill="0" autoLine="0" autoPict="0" macro="[0]!Ayuda_Hosp">
                <anchor moveWithCells="1">
                  <from>
                    <xdr:col>2</xdr:col>
                    <xdr:colOff>0</xdr:colOff>
                    <xdr:row>56</xdr:row>
                    <xdr:rowOff>12700</xdr:rowOff>
                  </from>
                  <to>
                    <xdr:col>5</xdr:col>
                    <xdr:colOff>0</xdr:colOff>
                    <xdr:row>56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7" r:id="rId21" name="Check Box 25">
              <controlPr defaultSize="0" autoFill="0" autoLine="0" autoPict="0" macro="[0]!IndemEnf_Grav">
                <anchor moveWithCells="1">
                  <from>
                    <xdr:col>2</xdr:col>
                    <xdr:colOff>0</xdr:colOff>
                    <xdr:row>56</xdr:row>
                    <xdr:rowOff>228600</xdr:rowOff>
                  </from>
                  <to>
                    <xdr:col>5</xdr:col>
                    <xdr:colOff>0</xdr:colOff>
                    <xdr:row>57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8" r:id="rId22" name="Group Box 26">
              <controlPr defaultSize="0" autoFill="0" autoPict="0">
                <anchor moveWithCells="1">
                  <from>
                    <xdr:col>10</xdr:col>
                    <xdr:colOff>31750</xdr:colOff>
                    <xdr:row>32</xdr:row>
                    <xdr:rowOff>0</xdr:rowOff>
                  </from>
                  <to>
                    <xdr:col>12</xdr:col>
                    <xdr:colOff>88900</xdr:colOff>
                    <xdr:row>33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9" r:id="rId23" name="Group Box 27">
              <controlPr defaultSize="0" autoFill="0" autoPict="0">
                <anchor moveWithCells="1">
                  <from>
                    <xdr:col>10</xdr:col>
                    <xdr:colOff>31750</xdr:colOff>
                    <xdr:row>32</xdr:row>
                    <xdr:rowOff>0</xdr:rowOff>
                  </from>
                  <to>
                    <xdr:col>12</xdr:col>
                    <xdr:colOff>88900</xdr:colOff>
                    <xdr:row>33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0" r:id="rId24" name="Group Box 28">
              <controlPr defaultSize="0" autoFill="0" autoPict="0">
                <anchor moveWithCells="1">
                  <from>
                    <xdr:col>10</xdr:col>
                    <xdr:colOff>31750</xdr:colOff>
                    <xdr:row>32</xdr:row>
                    <xdr:rowOff>0</xdr:rowOff>
                  </from>
                  <to>
                    <xdr:col>12</xdr:col>
                    <xdr:colOff>88900</xdr:colOff>
                    <xdr:row>33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1" r:id="rId25" name="Group Box 29">
              <controlPr defaultSize="0" autoFill="0" autoPict="0">
                <anchor moveWithCells="1">
                  <from>
                    <xdr:col>10</xdr:col>
                    <xdr:colOff>31750</xdr:colOff>
                    <xdr:row>32</xdr:row>
                    <xdr:rowOff>0</xdr:rowOff>
                  </from>
                  <to>
                    <xdr:col>12</xdr:col>
                    <xdr:colOff>88900</xdr:colOff>
                    <xdr:row>33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2" r:id="rId26" name="Group Box 30">
              <controlPr defaultSize="0" autoFill="0" autoPict="0">
                <anchor moveWithCells="1">
                  <from>
                    <xdr:col>10</xdr:col>
                    <xdr:colOff>31750</xdr:colOff>
                    <xdr:row>32</xdr:row>
                    <xdr:rowOff>0</xdr:rowOff>
                  </from>
                  <to>
                    <xdr:col>12</xdr:col>
                    <xdr:colOff>88900</xdr:colOff>
                    <xdr:row>33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3" r:id="rId27" name="Group Box 31">
              <controlPr defaultSize="0" autoFill="0" autoPict="0">
                <anchor moveWithCells="1">
                  <from>
                    <xdr:col>10</xdr:col>
                    <xdr:colOff>31750</xdr:colOff>
                    <xdr:row>35</xdr:row>
                    <xdr:rowOff>0</xdr:rowOff>
                  </from>
                  <to>
                    <xdr:col>12</xdr:col>
                    <xdr:colOff>88900</xdr:colOff>
                    <xdr:row>36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4" r:id="rId28" name="Group Box 32">
              <controlPr defaultSize="0" autoFill="0" autoPict="0">
                <anchor moveWithCells="1">
                  <from>
                    <xdr:col>10</xdr:col>
                    <xdr:colOff>31750</xdr:colOff>
                    <xdr:row>35</xdr:row>
                    <xdr:rowOff>0</xdr:rowOff>
                  </from>
                  <to>
                    <xdr:col>12</xdr:col>
                    <xdr:colOff>88900</xdr:colOff>
                    <xdr:row>36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5" r:id="rId29" name="Group Box 33">
              <controlPr defaultSize="0" autoFill="0" autoPict="0">
                <anchor moveWithCells="1">
                  <from>
                    <xdr:col>10</xdr:col>
                    <xdr:colOff>31750</xdr:colOff>
                    <xdr:row>35</xdr:row>
                    <xdr:rowOff>0</xdr:rowOff>
                  </from>
                  <to>
                    <xdr:col>12</xdr:col>
                    <xdr:colOff>88900</xdr:colOff>
                    <xdr:row>36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6" r:id="rId30" name="Group Box 34">
              <controlPr defaultSize="0" autoFill="0" autoPict="0">
                <anchor moveWithCells="1">
                  <from>
                    <xdr:col>10</xdr:col>
                    <xdr:colOff>31750</xdr:colOff>
                    <xdr:row>35</xdr:row>
                    <xdr:rowOff>0</xdr:rowOff>
                  </from>
                  <to>
                    <xdr:col>12</xdr:col>
                    <xdr:colOff>88900</xdr:colOff>
                    <xdr:row>36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7" r:id="rId31" name="Group Box 35">
              <controlPr defaultSize="0" autoFill="0" autoPict="0">
                <anchor moveWithCells="1">
                  <from>
                    <xdr:col>10</xdr:col>
                    <xdr:colOff>31750</xdr:colOff>
                    <xdr:row>35</xdr:row>
                    <xdr:rowOff>0</xdr:rowOff>
                  </from>
                  <to>
                    <xdr:col>12</xdr:col>
                    <xdr:colOff>88900</xdr:colOff>
                    <xdr:row>36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8" r:id="rId32" name="Group Box 36">
              <controlPr defaultSize="0" autoFill="0" autoPict="0">
                <anchor moveWithCells="1">
                  <from>
                    <xdr:col>10</xdr:col>
                    <xdr:colOff>31750</xdr:colOff>
                    <xdr:row>34</xdr:row>
                    <xdr:rowOff>0</xdr:rowOff>
                  </from>
                  <to>
                    <xdr:col>12</xdr:col>
                    <xdr:colOff>88900</xdr:colOff>
                    <xdr:row>35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9" r:id="rId33" name="Group Box 37">
              <controlPr defaultSize="0" autoFill="0" autoPict="0">
                <anchor moveWithCells="1">
                  <from>
                    <xdr:col>10</xdr:col>
                    <xdr:colOff>31750</xdr:colOff>
                    <xdr:row>34</xdr:row>
                    <xdr:rowOff>0</xdr:rowOff>
                  </from>
                  <to>
                    <xdr:col>12</xdr:col>
                    <xdr:colOff>88900</xdr:colOff>
                    <xdr:row>35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50" r:id="rId34" name="Group Box 38">
              <controlPr defaultSize="0" autoFill="0" autoPict="0">
                <anchor moveWithCells="1">
                  <from>
                    <xdr:col>10</xdr:col>
                    <xdr:colOff>31750</xdr:colOff>
                    <xdr:row>34</xdr:row>
                    <xdr:rowOff>0</xdr:rowOff>
                  </from>
                  <to>
                    <xdr:col>12</xdr:col>
                    <xdr:colOff>88900</xdr:colOff>
                    <xdr:row>35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51" r:id="rId35" name="Group Box 39">
              <controlPr defaultSize="0" autoFill="0" autoPict="0">
                <anchor moveWithCells="1">
                  <from>
                    <xdr:col>10</xdr:col>
                    <xdr:colOff>31750</xdr:colOff>
                    <xdr:row>34</xdr:row>
                    <xdr:rowOff>0</xdr:rowOff>
                  </from>
                  <to>
                    <xdr:col>12</xdr:col>
                    <xdr:colOff>88900</xdr:colOff>
                    <xdr:row>35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52" r:id="rId36" name="Group Box 40">
              <controlPr defaultSize="0" autoFill="0" autoPict="0">
                <anchor moveWithCells="1">
                  <from>
                    <xdr:col>10</xdr:col>
                    <xdr:colOff>31750</xdr:colOff>
                    <xdr:row>34</xdr:row>
                    <xdr:rowOff>0</xdr:rowOff>
                  </from>
                  <to>
                    <xdr:col>12</xdr:col>
                    <xdr:colOff>88900</xdr:colOff>
                    <xdr:row>35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53" r:id="rId37" name="Group Box 41">
              <controlPr defaultSize="0" autoFill="0" autoPict="0">
                <anchor moveWithCells="1">
                  <from>
                    <xdr:col>10</xdr:col>
                    <xdr:colOff>31750</xdr:colOff>
                    <xdr:row>33</xdr:row>
                    <xdr:rowOff>0</xdr:rowOff>
                  </from>
                  <to>
                    <xdr:col>12</xdr:col>
                    <xdr:colOff>88900</xdr:colOff>
                    <xdr:row>34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54" r:id="rId38" name="Group Box 42">
              <controlPr defaultSize="0" autoFill="0" autoPict="0">
                <anchor moveWithCells="1">
                  <from>
                    <xdr:col>10</xdr:col>
                    <xdr:colOff>31750</xdr:colOff>
                    <xdr:row>33</xdr:row>
                    <xdr:rowOff>0</xdr:rowOff>
                  </from>
                  <to>
                    <xdr:col>12</xdr:col>
                    <xdr:colOff>88900</xdr:colOff>
                    <xdr:row>34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55" r:id="rId39" name="Group Box 43">
              <controlPr defaultSize="0" autoFill="0" autoPict="0">
                <anchor moveWithCells="1">
                  <from>
                    <xdr:col>10</xdr:col>
                    <xdr:colOff>31750</xdr:colOff>
                    <xdr:row>33</xdr:row>
                    <xdr:rowOff>0</xdr:rowOff>
                  </from>
                  <to>
                    <xdr:col>12</xdr:col>
                    <xdr:colOff>88900</xdr:colOff>
                    <xdr:row>34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56" r:id="rId40" name="Group Box 44">
              <controlPr defaultSize="0" autoFill="0" autoPict="0">
                <anchor moveWithCells="1">
                  <from>
                    <xdr:col>10</xdr:col>
                    <xdr:colOff>31750</xdr:colOff>
                    <xdr:row>33</xdr:row>
                    <xdr:rowOff>0</xdr:rowOff>
                  </from>
                  <to>
                    <xdr:col>12</xdr:col>
                    <xdr:colOff>88900</xdr:colOff>
                    <xdr:row>34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57" r:id="rId41" name="Group Box 45">
              <controlPr defaultSize="0" autoFill="0" autoPict="0">
                <anchor moveWithCells="1">
                  <from>
                    <xdr:col>10</xdr:col>
                    <xdr:colOff>31750</xdr:colOff>
                    <xdr:row>33</xdr:row>
                    <xdr:rowOff>0</xdr:rowOff>
                  </from>
                  <to>
                    <xdr:col>12</xdr:col>
                    <xdr:colOff>88900</xdr:colOff>
                    <xdr:row>34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63" r:id="rId42" name="Check Box 51">
              <controlPr defaultSize="0" autoFill="0" autoLine="0" autoPict="0" macro="[0]!vuelta">
                <anchor moveWithCells="1">
                  <from>
                    <xdr:col>2</xdr:col>
                    <xdr:colOff>0</xdr:colOff>
                    <xdr:row>45</xdr:row>
                    <xdr:rowOff>95250</xdr:rowOff>
                  </from>
                  <to>
                    <xdr:col>5</xdr:col>
                    <xdr:colOff>0</xdr:colOff>
                    <xdr:row>46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72" r:id="rId43" name="Button 60">
              <controlPr defaultSize="0" print="0" autoFill="0" autoPict="0" macro="[0]!Borrar">
                <anchor moveWithCells="1" sizeWithCells="1">
                  <from>
                    <xdr:col>12</xdr:col>
                    <xdr:colOff>19050</xdr:colOff>
                    <xdr:row>62</xdr:row>
                    <xdr:rowOff>38100</xdr:rowOff>
                  </from>
                  <to>
                    <xdr:col>14</xdr:col>
                    <xdr:colOff>0</xdr:colOff>
                    <xdr:row>64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74" r:id="rId44" name="Check Box 62">
              <controlPr defaultSize="0" autoFill="0" autoLine="0" autoPict="0" macro="[0]!reconocimiento_antiguedad">
                <anchor moveWithCells="1">
                  <from>
                    <xdr:col>2</xdr:col>
                    <xdr:colOff>0</xdr:colOff>
                    <xdr:row>44</xdr:row>
                    <xdr:rowOff>88900</xdr:rowOff>
                  </from>
                  <to>
                    <xdr:col>5</xdr:col>
                    <xdr:colOff>0</xdr:colOff>
                    <xdr:row>45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79" r:id="rId45" name="Button 67">
              <controlPr defaultSize="0" print="0" autoFill="0" autoPict="0" macro="[0]!Botón67_Haga_clic_en">
                <anchor moveWithCells="1" sizeWithCells="1">
                  <from>
                    <xdr:col>9</xdr:col>
                    <xdr:colOff>1047750</xdr:colOff>
                    <xdr:row>62</xdr:row>
                    <xdr:rowOff>69850</xdr:rowOff>
                  </from>
                  <to>
                    <xdr:col>11</xdr:col>
                    <xdr:colOff>869950</xdr:colOff>
                    <xdr:row>64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81" r:id="rId46" name="Check Box 69">
              <controlPr defaultSize="0" autoFill="0" autoLine="0" autoPict="0" macro="[0]!Xtensuz" altText="Xtensuz Bx+">
                <anchor moveWithCells="1">
                  <from>
                    <xdr:col>2</xdr:col>
                    <xdr:colOff>0</xdr:colOff>
                    <xdr:row>57</xdr:row>
                    <xdr:rowOff>228600</xdr:rowOff>
                  </from>
                  <to>
                    <xdr:col>5</xdr:col>
                    <xdr:colOff>0</xdr:colOff>
                    <xdr:row>58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82" r:id="rId47" name="Option Button 70">
              <controlPr defaultSize="0" autoFill="0" autoLine="0" autoPict="0" macro="[0]!NuevoRenovación" altText="Póliza Nueva">
                <anchor moveWithCells="1">
                  <from>
                    <xdr:col>11</xdr:col>
                    <xdr:colOff>57150</xdr:colOff>
                    <xdr:row>11</xdr:row>
                    <xdr:rowOff>31750</xdr:rowOff>
                  </from>
                  <to>
                    <xdr:col>11</xdr:col>
                    <xdr:colOff>1155700</xdr:colOff>
                    <xdr:row>12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83" r:id="rId48" name="Option Button 71">
              <controlPr defaultSize="0" autoFill="0" autoLine="0" autoPict="0" macro="[0]!NuevoRenovación" altText="Póliza de Renovación">
                <anchor moveWithCells="1">
                  <from>
                    <xdr:col>11</xdr:col>
                    <xdr:colOff>38100</xdr:colOff>
                    <xdr:row>12</xdr:row>
                    <xdr:rowOff>146050</xdr:rowOff>
                  </from>
                  <to>
                    <xdr:col>11</xdr:col>
                    <xdr:colOff>1143000</xdr:colOff>
                    <xdr:row>13</xdr:row>
                    <xdr:rowOff>133350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9">
        <x14:dataValidation type="list" allowBlank="1" showInputMessage="1" showErrorMessage="1">
          <x14:formula1>
            <xm:f>Tarifa!$T$4:$T$8</xm:f>
          </x14:formula1>
          <xm:sqref>E41</xm:sqref>
        </x14:dataValidation>
        <x14:dataValidation type="list" allowBlank="1" showInputMessage="1" showErrorMessage="1">
          <x14:formula1>
            <xm:f>Tarifa!$AA$11:$AA$16</xm:f>
          </x14:formula1>
          <xm:sqref>E38</xm:sqref>
        </x14:dataValidation>
        <x14:dataValidation type="list" allowBlank="1" showInputMessage="1" showErrorMessage="1">
          <x14:formula1>
            <xm:f>Tarifa!$AA$4:$AA$6</xm:f>
          </x14:formula1>
          <xm:sqref>E37</xm:sqref>
        </x14:dataValidation>
        <x14:dataValidation type="list" allowBlank="1" showInputMessage="1" showErrorMessage="1">
          <x14:formula1>
            <xm:f>Tarifa!$W$4:$W$38</xm:f>
          </x14:formula1>
          <xm:sqref>E13</xm:sqref>
        </x14:dataValidation>
        <x14:dataValidation type="list" allowBlank="1" showInputMessage="1" showErrorMessage="1">
          <x14:formula1>
            <xm:f>IF($J$50=TRUE,Tarifa!$AL$4:$AL$6,"")</xm:f>
          </x14:formula1>
          <xm:sqref>H50</xm:sqref>
        </x14:dataValidation>
        <x14:dataValidation type="list" allowBlank="1" showInputMessage="1" showErrorMessage="1">
          <x14:formula1>
            <xm:f>IF($J$59=TRUE,Tarifa!$AJ$15:$AJ$18,"")</xm:f>
          </x14:formula1>
          <xm:sqref>H59</xm:sqref>
        </x14:dataValidation>
        <x14:dataValidation type="list" allowBlank="1" showInputMessage="1" showErrorMessage="1">
          <x14:formula1>
            <xm:f>Tarifa!$BL$31:$BL$35</xm:f>
          </x14:formula1>
          <xm:sqref>E63</xm:sqref>
        </x14:dataValidation>
        <x14:dataValidation type="list" showInputMessage="1" showErrorMessage="1">
          <x14:formula1>
            <xm:f>IF(AND(OR(H18&gt;= 65,H20&gt;= 65,H22&gt;= 65,H24&gt;= 65,H26&gt;= 65,H28&gt;= 65,H30&gt;=65,H32&gt;=65),$Q$12=1),Tarifa!$Q$6:$Q$14,Tarifa!$Q$4:$Q$14)</xm:f>
          </x14:formula1>
          <xm:sqref>E40</xm:sqref>
        </x14:dataValidation>
        <x14:dataValidation type="list" showInputMessage="1" showErrorMessage="1">
          <x14:formula1>
            <xm:f>IF(AND((OR(H18&gt;= 65,H20&gt;= 65,H22&gt;= 65,H24&gt;= 65,H26&gt;= 65,H28&gt;= 65,H30&gt;=65,H32&gt;=65)),$Q$12=1),Tarifa!N4:N6,Tarifa!N4:N9)</xm:f>
          </x14:formula1>
          <xm:sqref>E39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4">
    <pageSetUpPr fitToPage="1"/>
  </sheetPr>
  <dimension ref="A1:JV171"/>
  <sheetViews>
    <sheetView showGridLines="0" showRowColHeaders="0" topLeftCell="A53" zoomScale="90" zoomScaleNormal="90" zoomScaleSheetLayoutView="90" workbookViewId="0">
      <selection activeCell="M11" sqref="M11:O11"/>
    </sheetView>
  </sheetViews>
  <sheetFormatPr baseColWidth="10" defaultColWidth="0" defaultRowHeight="15" customHeight="1" zeroHeight="1" x14ac:dyDescent="0.35"/>
  <cols>
    <col min="1" max="1" width="3" style="9" customWidth="1"/>
    <col min="2" max="2" width="8.453125" style="10" customWidth="1"/>
    <col min="3" max="3" width="17.26953125" style="10" customWidth="1"/>
    <col min="4" max="4" width="20.453125" style="9" customWidth="1"/>
    <col min="5" max="5" width="3.54296875" style="9" customWidth="1"/>
    <col min="6" max="6" width="2" style="9" customWidth="1"/>
    <col min="7" max="7" width="8" style="9" customWidth="1"/>
    <col min="8" max="8" width="3" style="9" customWidth="1"/>
    <col min="9" max="9" width="8.453125" style="9" customWidth="1"/>
    <col min="10" max="10" width="1.81640625" style="9" customWidth="1"/>
    <col min="11" max="11" width="13.26953125" style="9" customWidth="1"/>
    <col min="12" max="12" width="21.1796875" style="9" customWidth="1"/>
    <col min="13" max="13" width="22.453125" style="9" bestFit="1" customWidth="1"/>
    <col min="14" max="14" width="24.81640625" style="9" bestFit="1" customWidth="1"/>
    <col min="15" max="15" width="16.26953125" style="10" customWidth="1"/>
    <col min="16" max="16" width="3" style="10" customWidth="1"/>
    <col min="17" max="21" width="3" style="10" hidden="1" customWidth="1"/>
    <col min="22" max="30" width="3" hidden="1" customWidth="1"/>
    <col min="31" max="31" width="8.26953125" hidden="1" customWidth="1"/>
    <col min="32" max="32" width="3" hidden="1" customWidth="1"/>
    <col min="33" max="33" width="15.453125" hidden="1" customWidth="1"/>
    <col min="34" max="38" width="3" hidden="1" customWidth="1"/>
    <col min="39" max="39" width="16" hidden="1" customWidth="1"/>
    <col min="40" max="43" width="11.26953125" hidden="1" customWidth="1"/>
    <col min="44" max="46" width="13.54296875" hidden="1" customWidth="1"/>
    <col min="47" max="47" width="3.1796875" hidden="1" customWidth="1"/>
    <col min="48" max="50" width="15.26953125" hidden="1" customWidth="1"/>
    <col min="51" max="51" width="12.81640625" hidden="1" customWidth="1"/>
    <col min="52" max="52" width="15.81640625" hidden="1" customWidth="1"/>
    <col min="53" max="53" width="11.26953125" hidden="1" customWidth="1"/>
    <col min="54" max="54" width="17.26953125" hidden="1" customWidth="1"/>
    <col min="55" max="55" width="14.453125" hidden="1" customWidth="1"/>
    <col min="56" max="56" width="15.81640625" hidden="1" customWidth="1"/>
    <col min="57" max="57" width="13.453125" hidden="1" customWidth="1"/>
    <col min="58" max="58" width="17.54296875" hidden="1" customWidth="1"/>
    <col min="59" max="59" width="15.81640625" hidden="1" customWidth="1"/>
    <col min="60" max="60" width="19.7265625" hidden="1" customWidth="1"/>
    <col min="61" max="282" width="11.453125" hidden="1" customWidth="1"/>
    <col min="283" max="16384" width="11.7265625" hidden="1"/>
  </cols>
  <sheetData>
    <row r="1" spans="1:21" ht="14.5" x14ac:dyDescent="0.35">
      <c r="A1" s="9" t="s">
        <v>71</v>
      </c>
    </row>
    <row r="2" spans="1:21" ht="22.5" customHeight="1" x14ac:dyDescent="0.35">
      <c r="I2" s="431" t="s">
        <v>234</v>
      </c>
      <c r="J2" s="431"/>
      <c r="K2" s="431"/>
      <c r="L2" s="431"/>
      <c r="M2" s="431"/>
      <c r="N2" s="431"/>
      <c r="O2" s="431"/>
    </row>
    <row r="3" spans="1:21" ht="15" customHeight="1" x14ac:dyDescent="0.35">
      <c r="I3" s="160"/>
      <c r="J3" s="160"/>
      <c r="K3" s="160"/>
      <c r="L3" s="160"/>
      <c r="M3" s="160"/>
      <c r="N3" s="160"/>
      <c r="O3" s="160"/>
    </row>
    <row r="4" spans="1:21" ht="15" customHeight="1" x14ac:dyDescent="0.35">
      <c r="I4" s="160"/>
      <c r="J4" s="160"/>
      <c r="K4" s="160"/>
      <c r="L4" s="160"/>
      <c r="M4" s="160"/>
      <c r="N4" s="160"/>
      <c r="O4" s="160"/>
    </row>
    <row r="5" spans="1:21" ht="23.5" x14ac:dyDescent="0.35">
      <c r="I5" s="159"/>
      <c r="J5" s="159"/>
      <c r="K5" s="159"/>
      <c r="L5" s="159"/>
      <c r="M5" s="159"/>
      <c r="N5" s="159"/>
      <c r="O5" s="159"/>
    </row>
    <row r="6" spans="1:21" ht="23.5" x14ac:dyDescent="0.35">
      <c r="I6" s="159"/>
      <c r="J6" s="159"/>
      <c r="K6" s="159"/>
      <c r="L6" s="159"/>
      <c r="M6" s="159"/>
      <c r="N6" s="159"/>
      <c r="O6" s="159"/>
    </row>
    <row r="7" spans="1:21" ht="14.5" x14ac:dyDescent="0.35">
      <c r="M7" s="432" t="s">
        <v>193</v>
      </c>
      <c r="N7" s="432"/>
      <c r="O7" s="74">
        <f ca="1">TODAY()</f>
        <v>44713</v>
      </c>
    </row>
    <row r="8" spans="1:21" ht="14.5" x14ac:dyDescent="0.35">
      <c r="M8" s="432" t="s">
        <v>299</v>
      </c>
      <c r="N8" s="432"/>
      <c r="O8" s="74">
        <f ca="1">O7+30</f>
        <v>44743</v>
      </c>
    </row>
    <row r="9" spans="1:21" ht="14.5" x14ac:dyDescent="0.35">
      <c r="M9" s="432" t="s">
        <v>298</v>
      </c>
      <c r="N9" s="432"/>
      <c r="O9" s="74" t="str">
        <f>IF(Cotizador!Q12=1,"Póliza Nueva","Renovación")</f>
        <v>Póliza Nueva</v>
      </c>
    </row>
    <row r="10" spans="1:21" ht="12.75" customHeight="1" x14ac:dyDescent="0.55000000000000004">
      <c r="B10" s="75"/>
      <c r="C10" s="75"/>
      <c r="D10" s="75"/>
      <c r="E10" s="75"/>
      <c r="F10" s="75"/>
      <c r="G10" s="75"/>
      <c r="H10" s="75"/>
      <c r="I10" s="75"/>
      <c r="J10" s="75"/>
      <c r="K10" s="75"/>
      <c r="L10" s="75"/>
      <c r="M10" s="75"/>
      <c r="N10" s="75"/>
      <c r="O10" s="75"/>
      <c r="P10" s="11"/>
      <c r="Q10" s="11"/>
      <c r="R10" s="11"/>
      <c r="S10" s="11"/>
      <c r="T10" s="11"/>
      <c r="U10" s="11"/>
    </row>
    <row r="11" spans="1:21" ht="16.5" customHeight="1" x14ac:dyDescent="0.55000000000000004">
      <c r="B11" s="433" t="s">
        <v>194</v>
      </c>
      <c r="C11" s="434"/>
      <c r="D11" s="435">
        <f>Cotizador!M6</f>
        <v>0</v>
      </c>
      <c r="E11" s="436"/>
      <c r="F11" s="75"/>
      <c r="G11" s="75"/>
      <c r="H11" s="75"/>
      <c r="I11" s="437" t="s">
        <v>195</v>
      </c>
      <c r="J11" s="437"/>
      <c r="K11" s="437"/>
      <c r="L11" s="437"/>
      <c r="M11" s="438"/>
      <c r="N11" s="438"/>
      <c r="O11" s="438"/>
      <c r="P11" s="11"/>
      <c r="Q11" s="11"/>
      <c r="R11" s="11"/>
      <c r="S11" s="11"/>
      <c r="T11" s="11"/>
      <c r="U11" s="11"/>
    </row>
    <row r="12" spans="1:21" ht="14.5" x14ac:dyDescent="0.35">
      <c r="B12" s="14"/>
      <c r="C12" s="14"/>
      <c r="D12" s="13"/>
      <c r="E12" s="13"/>
      <c r="F12" s="13"/>
      <c r="G12" s="13"/>
      <c r="H12" s="13"/>
      <c r="I12" s="13"/>
      <c r="J12" s="13"/>
      <c r="K12" s="13"/>
      <c r="L12" s="13"/>
      <c r="M12" s="13"/>
      <c r="N12" s="13"/>
      <c r="O12" s="14"/>
    </row>
    <row r="13" spans="1:21" ht="14.5" x14ac:dyDescent="0.35">
      <c r="B13" s="444" t="s">
        <v>72</v>
      </c>
      <c r="C13" s="444"/>
      <c r="D13" s="444"/>
      <c r="E13" s="444"/>
      <c r="F13" s="444"/>
      <c r="G13" s="444"/>
      <c r="H13" s="444"/>
      <c r="I13" s="444"/>
      <c r="J13" s="444"/>
      <c r="K13" s="444"/>
      <c r="L13" s="444"/>
      <c r="M13" s="444"/>
      <c r="N13" s="444"/>
      <c r="O13" s="444"/>
      <c r="P13" s="76"/>
      <c r="Q13" s="76"/>
      <c r="R13" s="76"/>
      <c r="S13" s="76"/>
      <c r="T13" s="76"/>
      <c r="U13" s="76"/>
    </row>
    <row r="14" spans="1:21" ht="5.25" customHeight="1" x14ac:dyDescent="0.35">
      <c r="A14"/>
      <c r="B14" s="77"/>
      <c r="C14" s="78"/>
      <c r="D14" s="78"/>
      <c r="E14" s="78"/>
      <c r="F14" s="78"/>
      <c r="G14" s="78"/>
      <c r="H14" s="78"/>
      <c r="I14" s="78"/>
      <c r="J14" s="78"/>
      <c r="K14" s="78"/>
      <c r="L14" s="78"/>
      <c r="M14" s="78"/>
      <c r="N14" s="78"/>
      <c r="O14" s="79"/>
      <c r="P14"/>
      <c r="Q14"/>
      <c r="R14"/>
      <c r="S14"/>
      <c r="T14"/>
      <c r="U14"/>
    </row>
    <row r="15" spans="1:21" ht="14.5" x14ac:dyDescent="0.35">
      <c r="B15" s="80" t="s">
        <v>196</v>
      </c>
      <c r="C15" s="81"/>
      <c r="D15" s="82"/>
      <c r="E15" s="166" t="str">
        <f>+Cotizador!E9</f>
        <v/>
      </c>
      <c r="F15" s="84"/>
      <c r="G15" s="84"/>
      <c r="H15" s="84"/>
      <c r="I15" s="84"/>
      <c r="J15" s="84"/>
      <c r="K15" s="84"/>
      <c r="L15" s="84"/>
      <c r="M15" s="84"/>
      <c r="N15" s="85"/>
      <c r="O15" s="86"/>
    </row>
    <row r="16" spans="1:21" ht="14.5" x14ac:dyDescent="0.35">
      <c r="B16" s="80"/>
      <c r="C16" s="81"/>
      <c r="D16" s="82"/>
      <c r="E16" s="83"/>
      <c r="F16" s="84"/>
      <c r="G16" s="84"/>
      <c r="H16" s="84"/>
      <c r="I16" s="84"/>
      <c r="J16" s="84"/>
      <c r="K16" s="84"/>
      <c r="L16" s="84"/>
      <c r="M16" s="84"/>
      <c r="N16" s="85"/>
      <c r="O16" s="86"/>
    </row>
    <row r="17" spans="1:21" ht="14.5" x14ac:dyDescent="0.35">
      <c r="B17" s="437" t="s">
        <v>222</v>
      </c>
      <c r="C17" s="437"/>
      <c r="D17" s="437"/>
      <c r="E17" s="437"/>
      <c r="F17" s="437"/>
      <c r="G17" s="437"/>
      <c r="H17" s="437"/>
      <c r="I17" s="437"/>
      <c r="J17" s="437"/>
      <c r="K17" s="437"/>
      <c r="L17" s="437"/>
      <c r="M17" s="437"/>
      <c r="N17" s="437"/>
      <c r="O17" s="437"/>
    </row>
    <row r="18" spans="1:21" ht="14.5" x14ac:dyDescent="0.35">
      <c r="B18" s="445" t="s">
        <v>75</v>
      </c>
      <c r="C18" s="446"/>
      <c r="D18" s="166" t="str">
        <f>+Cotizador!E12</f>
        <v/>
      </c>
      <c r="E18" s="87"/>
      <c r="F18" s="87"/>
      <c r="G18" s="87"/>
      <c r="H18" s="87"/>
      <c r="I18" s="87"/>
      <c r="J18" s="88"/>
      <c r="K18" s="84"/>
      <c r="L18" s="89"/>
      <c r="M18" s="89"/>
      <c r="N18" s="85"/>
      <c r="O18" s="86"/>
    </row>
    <row r="19" spans="1:21" ht="14.5" x14ac:dyDescent="0.35">
      <c r="B19" s="445" t="s">
        <v>76</v>
      </c>
      <c r="C19" s="446"/>
      <c r="D19" s="167" t="str">
        <f>+Cotizador!E13</f>
        <v/>
      </c>
      <c r="E19" s="88"/>
      <c r="F19" s="88"/>
      <c r="G19" s="88"/>
      <c r="H19" s="88"/>
      <c r="I19" s="88"/>
      <c r="J19" s="88"/>
      <c r="K19" s="84"/>
      <c r="L19" s="88"/>
      <c r="M19" s="88"/>
      <c r="N19" s="85"/>
      <c r="O19" s="90"/>
      <c r="P19" s="91"/>
      <c r="Q19" s="91"/>
      <c r="R19" s="91"/>
      <c r="S19" s="91"/>
      <c r="T19" s="91"/>
      <c r="U19" s="91"/>
    </row>
    <row r="20" spans="1:21" ht="14.5" x14ac:dyDescent="0.35">
      <c r="B20" s="92" t="s">
        <v>197</v>
      </c>
      <c r="C20" s="93"/>
      <c r="D20" s="94"/>
      <c r="E20" s="88"/>
      <c r="F20" s="88"/>
      <c r="G20" s="88"/>
      <c r="H20" s="88"/>
      <c r="I20" s="88"/>
      <c r="J20" s="95"/>
      <c r="K20" s="95"/>
      <c r="L20" s="95"/>
      <c r="M20" s="95"/>
      <c r="N20" s="85"/>
      <c r="O20" s="96"/>
    </row>
    <row r="21" spans="1:21" ht="7.5" customHeight="1" x14ac:dyDescent="0.35">
      <c r="B21" s="97"/>
      <c r="C21" s="98"/>
      <c r="D21" s="99"/>
      <c r="E21" s="100"/>
      <c r="F21" s="100"/>
      <c r="G21" s="100"/>
      <c r="H21" s="100"/>
      <c r="I21" s="100"/>
      <c r="J21" s="101"/>
      <c r="K21" s="101"/>
      <c r="L21" s="101"/>
      <c r="M21" s="101"/>
      <c r="N21" s="102"/>
      <c r="O21" s="103"/>
    </row>
    <row r="22" spans="1:21" ht="14.5" x14ac:dyDescent="0.35">
      <c r="B22" s="437" t="s">
        <v>223</v>
      </c>
      <c r="C22" s="437"/>
      <c r="D22" s="437"/>
      <c r="E22" s="437"/>
      <c r="F22" s="437"/>
      <c r="G22" s="437"/>
      <c r="H22" s="437"/>
      <c r="I22" s="437"/>
      <c r="J22" s="437"/>
      <c r="K22" s="437"/>
      <c r="L22" s="437"/>
      <c r="M22" s="437"/>
      <c r="N22" s="437"/>
      <c r="O22" s="437"/>
    </row>
    <row r="23" spans="1:21" ht="14.5" x14ac:dyDescent="0.35">
      <c r="A23"/>
      <c r="B23" s="77"/>
      <c r="C23" s="78"/>
      <c r="D23" s="106"/>
      <c r="E23" s="106"/>
      <c r="F23" s="106"/>
      <c r="G23" s="106"/>
      <c r="H23" s="106"/>
      <c r="I23" s="106"/>
      <c r="J23" s="106"/>
      <c r="K23" s="106"/>
      <c r="L23" s="106"/>
      <c r="M23" s="106"/>
      <c r="N23" s="106"/>
      <c r="O23" s="104"/>
      <c r="P23"/>
      <c r="Q23"/>
      <c r="R23"/>
      <c r="S23"/>
      <c r="T23"/>
      <c r="U23"/>
    </row>
    <row r="24" spans="1:21" ht="14.5" x14ac:dyDescent="0.35">
      <c r="A24"/>
      <c r="B24" s="439" t="s">
        <v>224</v>
      </c>
      <c r="C24" s="440"/>
      <c r="D24" s="105">
        <f>+Cotizador!E37</f>
        <v>0</v>
      </c>
      <c r="E24" s="106"/>
      <c r="F24" s="106"/>
      <c r="G24" s="106"/>
      <c r="H24" s="106"/>
      <c r="I24" s="106"/>
      <c r="J24" s="106"/>
      <c r="K24" s="178" t="s">
        <v>226</v>
      </c>
      <c r="L24" s="158"/>
      <c r="M24" s="318">
        <f>+Cotizador!E39</f>
        <v>0</v>
      </c>
      <c r="N24" s="170"/>
      <c r="O24" s="171"/>
      <c r="P24"/>
      <c r="Q24"/>
      <c r="R24"/>
      <c r="S24"/>
      <c r="T24"/>
      <c r="U24"/>
    </row>
    <row r="25" spans="1:21" ht="14.5" x14ac:dyDescent="0.35">
      <c r="A25"/>
      <c r="B25" s="177" t="s">
        <v>225</v>
      </c>
      <c r="C25" s="178"/>
      <c r="D25" s="105">
        <f>+Cotizador!E38</f>
        <v>0</v>
      </c>
      <c r="E25" s="106"/>
      <c r="F25" s="106"/>
      <c r="G25" s="106"/>
      <c r="H25" s="106"/>
      <c r="I25" s="106"/>
      <c r="J25" s="106"/>
      <c r="K25" s="178" t="s">
        <v>227</v>
      </c>
      <c r="L25" s="107"/>
      <c r="M25" s="318">
        <f>+Cotizador!E40</f>
        <v>0</v>
      </c>
      <c r="N25" s="168"/>
      <c r="O25" s="169"/>
      <c r="P25"/>
      <c r="Q25"/>
      <c r="R25"/>
      <c r="S25"/>
      <c r="T25"/>
      <c r="U25"/>
    </row>
    <row r="26" spans="1:21" ht="14.5" x14ac:dyDescent="0.35">
      <c r="A26"/>
      <c r="B26" s="162"/>
      <c r="C26" s="106"/>
      <c r="D26" s="105"/>
      <c r="E26" s="106"/>
      <c r="F26" s="106"/>
      <c r="G26" s="106"/>
      <c r="H26" s="106"/>
      <c r="I26" s="106"/>
      <c r="J26" s="106"/>
      <c r="K26" s="178" t="s">
        <v>228</v>
      </c>
      <c r="L26" s="107"/>
      <c r="M26" s="172">
        <f>+Cotizador!E41</f>
        <v>0</v>
      </c>
      <c r="O26" s="157"/>
      <c r="P26"/>
      <c r="Q26"/>
      <c r="R26"/>
      <c r="S26"/>
      <c r="T26"/>
      <c r="U26"/>
    </row>
    <row r="27" spans="1:21" ht="14.5" x14ac:dyDescent="0.35">
      <c r="A27"/>
      <c r="B27" s="441"/>
      <c r="C27" s="442"/>
      <c r="D27" s="443"/>
      <c r="E27" s="443"/>
      <c r="F27" s="329"/>
      <c r="G27" s="329"/>
      <c r="H27" s="329"/>
      <c r="I27" s="329"/>
      <c r="J27" s="329"/>
      <c r="K27" s="328" t="s">
        <v>287</v>
      </c>
      <c r="L27" s="329"/>
      <c r="M27" s="318" t="e">
        <f>VLOOKUP(M26,Tarifa!T13:U17,2,FALSE)</f>
        <v>#N/A</v>
      </c>
      <c r="N27" s="329"/>
      <c r="O27" s="330"/>
      <c r="P27"/>
      <c r="Q27"/>
      <c r="R27"/>
      <c r="S27"/>
      <c r="T27"/>
      <c r="U27"/>
    </row>
    <row r="28" spans="1:21" ht="14.5" x14ac:dyDescent="0.35">
      <c r="A28"/>
      <c r="B28" s="325"/>
      <c r="C28" s="326"/>
      <c r="D28" s="327"/>
      <c r="E28" s="327"/>
      <c r="F28" s="108"/>
      <c r="G28" s="108"/>
      <c r="H28" s="108"/>
      <c r="I28" s="108"/>
      <c r="J28" s="108"/>
      <c r="K28" s="328"/>
      <c r="L28" s="108"/>
      <c r="M28" s="108"/>
      <c r="N28" s="108"/>
      <c r="O28" s="109"/>
      <c r="P28"/>
      <c r="Q28"/>
      <c r="R28"/>
      <c r="S28"/>
      <c r="T28"/>
      <c r="U28"/>
    </row>
    <row r="29" spans="1:21" ht="14.5" x14ac:dyDescent="0.35">
      <c r="B29" s="444" t="s">
        <v>198</v>
      </c>
      <c r="C29" s="444"/>
      <c r="D29" s="444"/>
      <c r="E29" s="444"/>
      <c r="F29" s="444"/>
      <c r="G29" s="444"/>
      <c r="H29" s="444"/>
      <c r="I29" s="444"/>
      <c r="J29" s="444"/>
      <c r="K29" s="444"/>
      <c r="L29" s="444"/>
      <c r="M29" s="444"/>
      <c r="N29" s="444"/>
      <c r="O29" s="444"/>
    </row>
    <row r="30" spans="1:21" ht="14.5" x14ac:dyDescent="0.35">
      <c r="B30" s="449" t="s">
        <v>199</v>
      </c>
      <c r="C30" s="449"/>
      <c r="D30" s="449"/>
      <c r="E30" s="449"/>
      <c r="F30" s="449"/>
      <c r="G30" s="449"/>
      <c r="H30" s="449"/>
      <c r="I30" s="449"/>
      <c r="J30" s="449"/>
      <c r="K30" s="449"/>
      <c r="L30" s="450" t="s">
        <v>247</v>
      </c>
      <c r="M30" s="451"/>
      <c r="N30" s="452" t="s">
        <v>7</v>
      </c>
      <c r="O30" s="452"/>
    </row>
    <row r="31" spans="1:21" ht="15.5" x14ac:dyDescent="0.35">
      <c r="B31" s="319" t="s">
        <v>200</v>
      </c>
      <c r="C31" s="111"/>
      <c r="D31" s="111"/>
      <c r="E31" s="111"/>
      <c r="F31" s="111"/>
      <c r="G31" s="111"/>
      <c r="H31" s="111"/>
      <c r="I31" s="111"/>
      <c r="J31" s="111"/>
      <c r="K31" s="112"/>
      <c r="L31" s="453" t="s">
        <v>248</v>
      </c>
      <c r="M31" s="454"/>
      <c r="N31" s="113"/>
      <c r="O31" s="112"/>
    </row>
    <row r="32" spans="1:21" ht="7.5" customHeight="1" x14ac:dyDescent="0.35">
      <c r="B32" s="114"/>
      <c r="D32" s="115"/>
      <c r="E32" s="115"/>
      <c r="F32" s="115"/>
      <c r="G32" s="115"/>
      <c r="H32" s="115"/>
      <c r="I32" s="115"/>
      <c r="J32" s="115"/>
      <c r="K32" s="116"/>
      <c r="L32" s="114"/>
      <c r="M32" s="116"/>
      <c r="N32" s="114"/>
      <c r="O32" s="116"/>
    </row>
    <row r="33" spans="1:21" ht="14.5" x14ac:dyDescent="0.35">
      <c r="B33" s="114"/>
      <c r="C33" s="117" t="s">
        <v>286</v>
      </c>
      <c r="D33" s="115"/>
      <c r="E33" s="115"/>
      <c r="F33" s="115"/>
      <c r="G33" s="115"/>
      <c r="H33" s="115"/>
      <c r="I33" s="115"/>
      <c r="J33" s="115"/>
      <c r="K33" s="116"/>
      <c r="L33" s="447">
        <v>18000</v>
      </c>
      <c r="M33" s="448"/>
      <c r="N33" s="447" t="s">
        <v>178</v>
      </c>
      <c r="O33" s="448"/>
    </row>
    <row r="34" spans="1:21" ht="14.5" x14ac:dyDescent="0.35">
      <c r="B34" s="114"/>
      <c r="C34" s="115"/>
      <c r="D34" s="115"/>
      <c r="E34" s="115"/>
      <c r="F34" s="115"/>
      <c r="G34" s="115"/>
      <c r="H34" s="115"/>
      <c r="I34" s="115"/>
      <c r="J34" s="115"/>
      <c r="K34" s="116"/>
      <c r="L34" s="447"/>
      <c r="M34" s="448"/>
      <c r="N34" s="447"/>
      <c r="O34" s="448"/>
    </row>
    <row r="35" spans="1:21" ht="14.5" x14ac:dyDescent="0.35">
      <c r="B35" s="114"/>
      <c r="C35" s="115"/>
      <c r="D35" s="115"/>
      <c r="E35" s="115"/>
      <c r="F35" s="115"/>
      <c r="G35" s="115"/>
      <c r="H35" s="115"/>
      <c r="I35" s="115"/>
      <c r="J35" s="115"/>
      <c r="K35" s="116"/>
      <c r="L35" s="179"/>
      <c r="M35" s="180"/>
      <c r="N35" s="179"/>
      <c r="O35" s="180"/>
    </row>
    <row r="36" spans="1:21" ht="14.5" x14ac:dyDescent="0.35">
      <c r="B36" s="437" t="s">
        <v>229</v>
      </c>
      <c r="C36" s="437"/>
      <c r="D36" s="437"/>
      <c r="E36" s="437"/>
      <c r="F36" s="437"/>
      <c r="G36" s="437"/>
      <c r="H36" s="437"/>
      <c r="I36" s="437"/>
      <c r="J36" s="437"/>
      <c r="K36" s="437"/>
      <c r="L36" s="437"/>
      <c r="M36" s="437"/>
      <c r="N36" s="437"/>
      <c r="O36" s="437"/>
    </row>
    <row r="37" spans="1:21" ht="14.5" x14ac:dyDescent="0.35">
      <c r="B37" s="110"/>
      <c r="C37" s="111"/>
      <c r="D37" s="111"/>
      <c r="E37" s="111"/>
      <c r="F37" s="111"/>
      <c r="G37" s="111"/>
      <c r="H37" s="111"/>
      <c r="I37" s="111"/>
      <c r="J37" s="111"/>
      <c r="K37" s="111"/>
      <c r="L37" s="111"/>
      <c r="M37" s="111"/>
      <c r="N37" s="111"/>
      <c r="O37" s="112"/>
    </row>
    <row r="38" spans="1:21" ht="14.5" x14ac:dyDescent="0.35">
      <c r="B38" s="114"/>
      <c r="C38" s="115" t="s">
        <v>232</v>
      </c>
      <c r="D38" s="115"/>
      <c r="E38" s="115"/>
      <c r="F38" s="115"/>
      <c r="G38" s="115"/>
      <c r="H38" s="115"/>
      <c r="I38" s="115"/>
      <c r="J38" s="115"/>
      <c r="K38" s="115"/>
      <c r="L38" s="175" t="s">
        <v>233</v>
      </c>
      <c r="M38" s="175"/>
      <c r="N38" s="175"/>
      <c r="O38" s="180"/>
    </row>
    <row r="39" spans="1:21" ht="14.5" x14ac:dyDescent="0.35">
      <c r="B39" s="114"/>
      <c r="C39" s="115" t="s">
        <v>230</v>
      </c>
      <c r="D39" s="115"/>
      <c r="E39" s="115"/>
      <c r="F39" s="115"/>
      <c r="G39" s="115"/>
      <c r="H39" s="115"/>
      <c r="I39" s="115"/>
      <c r="J39" s="115"/>
      <c r="K39" s="115"/>
      <c r="L39" s="175" t="s">
        <v>233</v>
      </c>
      <c r="M39" s="175"/>
      <c r="N39" s="175"/>
      <c r="O39" s="180"/>
    </row>
    <row r="40" spans="1:21" ht="14.5" x14ac:dyDescent="0.35">
      <c r="B40" s="114"/>
      <c r="C40" s="115" t="s">
        <v>231</v>
      </c>
      <c r="D40" s="115"/>
      <c r="E40" s="115"/>
      <c r="F40" s="115"/>
      <c r="G40" s="115"/>
      <c r="H40" s="115"/>
      <c r="I40" s="115"/>
      <c r="J40" s="115"/>
      <c r="K40" s="115"/>
      <c r="L40" s="175" t="s">
        <v>233</v>
      </c>
      <c r="M40" s="175"/>
      <c r="N40" s="175"/>
      <c r="O40" s="180"/>
    </row>
    <row r="41" spans="1:21" ht="14.5" x14ac:dyDescent="0.35">
      <c r="B41" s="118"/>
      <c r="C41" s="119"/>
      <c r="D41" s="119"/>
      <c r="E41" s="119"/>
      <c r="F41" s="119"/>
      <c r="G41" s="119"/>
      <c r="H41" s="119"/>
      <c r="I41" s="119"/>
      <c r="J41" s="119"/>
      <c r="K41" s="119"/>
      <c r="L41" s="119"/>
      <c r="M41" s="119"/>
      <c r="N41" s="119"/>
      <c r="O41" s="120"/>
    </row>
    <row r="42" spans="1:21" ht="14.5" x14ac:dyDescent="0.35">
      <c r="B42" s="437" t="s">
        <v>179</v>
      </c>
      <c r="C42" s="437"/>
      <c r="D42" s="437"/>
      <c r="E42" s="437"/>
      <c r="F42" s="437"/>
      <c r="G42" s="437"/>
      <c r="H42" s="437"/>
      <c r="I42" s="437"/>
      <c r="J42" s="437"/>
      <c r="K42" s="437"/>
      <c r="L42" s="437"/>
      <c r="M42" s="437"/>
      <c r="N42" s="437"/>
      <c r="O42" s="437"/>
    </row>
    <row r="43" spans="1:21" ht="14.5" x14ac:dyDescent="0.35">
      <c r="B43" s="110"/>
      <c r="C43" s="111"/>
      <c r="D43" s="111"/>
      <c r="E43" s="111"/>
      <c r="F43" s="111"/>
      <c r="G43" s="111"/>
      <c r="H43" s="111"/>
      <c r="I43" s="111"/>
      <c r="J43" s="111"/>
      <c r="K43" s="111"/>
      <c r="L43" s="111"/>
      <c r="M43" s="111"/>
      <c r="N43" s="111"/>
      <c r="O43" s="112"/>
    </row>
    <row r="44" spans="1:21" ht="15" customHeight="1" x14ac:dyDescent="0.35">
      <c r="B44" s="114"/>
      <c r="D44" s="115"/>
      <c r="E44" s="115"/>
      <c r="F44" s="115"/>
      <c r="G44" s="115"/>
      <c r="H44" s="115"/>
      <c r="I44" s="115"/>
      <c r="J44" s="115"/>
      <c r="K44" s="115"/>
      <c r="L44" s="115"/>
      <c r="M44" s="115"/>
      <c r="N44" s="115"/>
      <c r="O44" s="116"/>
    </row>
    <row r="45" spans="1:21" ht="14.5" x14ac:dyDescent="0.35">
      <c r="B45" s="114"/>
      <c r="C45" s="115"/>
      <c r="D45" s="115"/>
      <c r="E45" s="115"/>
      <c r="F45" s="115"/>
      <c r="G45" s="115"/>
      <c r="H45" s="115"/>
      <c r="I45" s="115"/>
      <c r="J45" s="115"/>
      <c r="K45" s="115"/>
      <c r="L45" s="173"/>
      <c r="M45" s="173"/>
      <c r="N45" s="173"/>
      <c r="O45" s="176"/>
    </row>
    <row r="46" spans="1:21" ht="14.5" x14ac:dyDescent="0.35">
      <c r="A46" s="121"/>
      <c r="B46" s="114"/>
      <c r="C46" s="117"/>
      <c r="D46" s="115"/>
      <c r="E46" s="115"/>
      <c r="F46" s="115"/>
      <c r="G46" s="115"/>
      <c r="H46" s="115"/>
      <c r="I46" s="115"/>
      <c r="J46" s="115"/>
      <c r="K46" s="115"/>
      <c r="L46" s="173"/>
      <c r="M46" s="173"/>
      <c r="N46" s="173"/>
      <c r="O46" s="176"/>
      <c r="P46" s="122"/>
      <c r="Q46" s="122"/>
      <c r="R46" s="122"/>
      <c r="S46" s="122"/>
      <c r="T46" s="122"/>
      <c r="U46" s="122"/>
    </row>
    <row r="47" spans="1:21" ht="14.5" x14ac:dyDescent="0.35">
      <c r="A47" s="121"/>
      <c r="B47" s="114"/>
      <c r="C47" s="115"/>
      <c r="D47" s="115"/>
      <c r="E47" s="115"/>
      <c r="F47" s="115"/>
      <c r="G47" s="115"/>
      <c r="H47" s="115"/>
      <c r="I47" s="115"/>
      <c r="J47" s="115"/>
      <c r="K47" s="115"/>
      <c r="L47" s="173"/>
      <c r="M47" s="173"/>
      <c r="N47" s="173"/>
      <c r="O47" s="176"/>
      <c r="P47" s="122"/>
      <c r="Q47" s="122"/>
      <c r="R47" s="122"/>
      <c r="S47" s="122"/>
      <c r="T47" s="122"/>
      <c r="U47" s="122"/>
    </row>
    <row r="48" spans="1:21" ht="14.5" x14ac:dyDescent="0.35">
      <c r="A48" s="121"/>
      <c r="B48" s="114"/>
      <c r="C48" s="115"/>
      <c r="D48" s="115"/>
      <c r="E48" s="115"/>
      <c r="F48" s="115"/>
      <c r="G48" s="115"/>
      <c r="H48" s="115"/>
      <c r="I48" s="115"/>
      <c r="J48" s="115"/>
      <c r="K48" s="115"/>
      <c r="L48" s="173"/>
      <c r="M48" s="173"/>
      <c r="N48" s="175"/>
      <c r="O48" s="180"/>
      <c r="P48" s="122"/>
      <c r="Q48" s="122"/>
      <c r="R48" s="122"/>
      <c r="S48" s="122"/>
      <c r="T48" s="122"/>
      <c r="U48" s="122"/>
    </row>
    <row r="49" spans="1:21" ht="14.5" x14ac:dyDescent="0.35">
      <c r="A49" s="121"/>
      <c r="B49" s="114"/>
      <c r="C49" s="115"/>
      <c r="D49" s="115"/>
      <c r="E49" s="115"/>
      <c r="F49" s="115"/>
      <c r="G49" s="115"/>
      <c r="H49" s="115"/>
      <c r="I49" s="115"/>
      <c r="J49" s="115"/>
      <c r="K49" s="115"/>
      <c r="L49" s="173"/>
      <c r="M49" s="173"/>
      <c r="N49" s="173"/>
      <c r="O49" s="176"/>
      <c r="P49" s="122"/>
      <c r="Q49" s="122"/>
      <c r="R49" s="122"/>
      <c r="S49" s="122"/>
      <c r="T49" s="122"/>
      <c r="U49" s="122"/>
    </row>
    <row r="50" spans="1:21" ht="14.5" x14ac:dyDescent="0.35">
      <c r="A50" s="121"/>
      <c r="B50" s="118"/>
      <c r="C50" s="119"/>
      <c r="D50" s="119"/>
      <c r="E50" s="119"/>
      <c r="F50" s="119"/>
      <c r="G50" s="119"/>
      <c r="H50" s="119"/>
      <c r="I50" s="119"/>
      <c r="J50" s="119"/>
      <c r="K50" s="119"/>
      <c r="L50" s="119"/>
      <c r="M50" s="119"/>
      <c r="N50" s="119"/>
      <c r="O50" s="120"/>
      <c r="P50" s="122"/>
      <c r="Q50" s="122"/>
      <c r="R50" s="122"/>
      <c r="S50" s="122"/>
      <c r="T50" s="122"/>
      <c r="U50" s="122"/>
    </row>
    <row r="51" spans="1:21" ht="8.25" customHeight="1" x14ac:dyDescent="0.35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</row>
    <row r="52" spans="1:21" ht="14.5" x14ac:dyDescent="0.35">
      <c r="A52" s="121"/>
      <c r="B52" s="444" t="s">
        <v>201</v>
      </c>
      <c r="C52" s="444"/>
      <c r="D52" s="444"/>
      <c r="E52" s="444"/>
      <c r="F52" s="444"/>
      <c r="G52" s="444"/>
      <c r="H52" s="444"/>
      <c r="I52" s="444"/>
      <c r="J52" s="444"/>
      <c r="K52" s="444"/>
      <c r="L52" s="444"/>
      <c r="M52" s="444"/>
      <c r="N52" s="444"/>
      <c r="O52" s="444"/>
      <c r="P52" s="122"/>
      <c r="Q52" s="122"/>
      <c r="R52" s="122"/>
      <c r="S52" s="122"/>
      <c r="T52" s="122"/>
      <c r="U52" s="122"/>
    </row>
    <row r="53" spans="1:21" s="125" customFormat="1" ht="42.75" customHeight="1" x14ac:dyDescent="0.35">
      <c r="A53" s="123"/>
      <c r="B53" s="455" t="s">
        <v>217</v>
      </c>
      <c r="C53" s="456"/>
      <c r="D53" s="456"/>
      <c r="E53" s="457"/>
      <c r="F53" s="455" t="s">
        <v>12</v>
      </c>
      <c r="G53" s="456"/>
      <c r="H53" s="456"/>
      <c r="I53" s="456"/>
      <c r="J53" s="457"/>
      <c r="K53" s="181" t="s">
        <v>218</v>
      </c>
      <c r="L53" s="182" t="s">
        <v>237</v>
      </c>
      <c r="M53" s="181" t="s">
        <v>219</v>
      </c>
      <c r="N53" s="181" t="s">
        <v>220</v>
      </c>
      <c r="O53" s="181" t="s">
        <v>221</v>
      </c>
      <c r="P53" s="124"/>
      <c r="Q53" s="124"/>
      <c r="R53" s="124"/>
      <c r="S53" s="124"/>
      <c r="T53" s="124"/>
      <c r="U53" s="124"/>
    </row>
    <row r="54" spans="1:21" ht="14.5" x14ac:dyDescent="0.35">
      <c r="A54" s="121"/>
      <c r="B54" s="458" t="str">
        <f>IF(+Cotizador!E18&lt;&gt;"",+Cotizador!E18,"")</f>
        <v/>
      </c>
      <c r="C54" s="459"/>
      <c r="D54" s="459"/>
      <c r="E54" s="460"/>
      <c r="F54" s="461" t="str">
        <f>IF(+Cotizador!H18&lt;&gt;"",+Cotizador!H18,"")</f>
        <v/>
      </c>
      <c r="G54" s="459"/>
      <c r="H54" s="459"/>
      <c r="I54" s="459"/>
      <c r="J54" s="460"/>
      <c r="K54" s="163" t="str">
        <f>IF(+Cotizador!J18&lt;&gt;"",+Cotizador!J18,"")</f>
        <v/>
      </c>
      <c r="L54" s="174" t="str">
        <f>IF(AND(+Cotizador!L18&lt;&gt;"dd/mm/aaaa",Cotizador!$J$45=TRUE),+Cotizador!L18,"")</f>
        <v/>
      </c>
      <c r="M54" s="165">
        <f>IF(Cotizador!$J$59=TRUE,Cotizador!U18,Cotizador!Q18)</f>
        <v>0</v>
      </c>
      <c r="N54" s="165">
        <f>IF(Cotizador!$J$59=TRUE,Cotizador!V18,Cotizador!R18)</f>
        <v>0</v>
      </c>
      <c r="O54" s="165">
        <f>M54+N54</f>
        <v>0</v>
      </c>
      <c r="P54" s="122"/>
      <c r="Q54" s="122"/>
      <c r="R54" s="122"/>
      <c r="S54" s="122"/>
      <c r="T54" s="122"/>
      <c r="U54" s="122"/>
    </row>
    <row r="55" spans="1:21" ht="14.5" x14ac:dyDescent="0.35">
      <c r="A55" s="121"/>
      <c r="B55" s="458" t="str">
        <f>IF(+Cotizador!E20&lt;&gt;"",+Cotizador!E20,"")</f>
        <v/>
      </c>
      <c r="C55" s="459"/>
      <c r="D55" s="459"/>
      <c r="E55" s="460"/>
      <c r="F55" s="461" t="str">
        <f>IF(+Cotizador!H20&lt;&gt;"",+Cotizador!H20,"")</f>
        <v/>
      </c>
      <c r="G55" s="459"/>
      <c r="H55" s="459"/>
      <c r="I55" s="459"/>
      <c r="J55" s="460"/>
      <c r="K55" s="163" t="str">
        <f>IF(+Cotizador!J20&lt;&gt;"",+Cotizador!J20,"")</f>
        <v/>
      </c>
      <c r="L55" s="174" t="str">
        <f>IF(AND(+Cotizador!L20&lt;&gt;"dd/mm/aaaa",Cotizador!$J$45=TRUE),+Cotizador!L20,"")</f>
        <v/>
      </c>
      <c r="M55" s="165">
        <f>IF(Cotizador!$J$59=TRUE,Cotizador!U20,Cotizador!Q20)</f>
        <v>0</v>
      </c>
      <c r="N55" s="165">
        <f>IF(Cotizador!$J$59=TRUE,Cotizador!V20,Cotizador!R20)</f>
        <v>0</v>
      </c>
      <c r="O55" s="165">
        <f t="shared" ref="O55:O57" si="0">M55+N55</f>
        <v>0</v>
      </c>
      <c r="P55"/>
      <c r="Q55"/>
      <c r="R55"/>
      <c r="S55"/>
      <c r="T55"/>
      <c r="U55"/>
    </row>
    <row r="56" spans="1:21" ht="14.5" x14ac:dyDescent="0.35">
      <c r="A56" s="121"/>
      <c r="B56" s="458" t="str">
        <f>IF(+Cotizador!E22&lt;&gt;"",+Cotizador!E22,"")</f>
        <v/>
      </c>
      <c r="C56" s="459"/>
      <c r="D56" s="459"/>
      <c r="E56" s="460"/>
      <c r="F56" s="461" t="str">
        <f>IF(+Cotizador!H22&lt;&gt;"",+Cotizador!H22,"")</f>
        <v/>
      </c>
      <c r="G56" s="459"/>
      <c r="H56" s="459"/>
      <c r="I56" s="459"/>
      <c r="J56" s="460"/>
      <c r="K56" s="163" t="str">
        <f>IF(+Cotizador!J22&lt;&gt;"",+Cotizador!J22,"")</f>
        <v/>
      </c>
      <c r="L56" s="174" t="str">
        <f>IF(AND(+Cotizador!L22&lt;&gt;"dd/mm/aaaa",Cotizador!$J$45=TRUE),+Cotizador!L22,"")</f>
        <v/>
      </c>
      <c r="M56" s="165">
        <f>IF(Cotizador!$J$59=TRUE,Cotizador!U22,Cotizador!Q22)</f>
        <v>0</v>
      </c>
      <c r="N56" s="165">
        <f>IF(Cotizador!$J$59=TRUE,Cotizador!V22,Cotizador!R22)</f>
        <v>0</v>
      </c>
      <c r="O56" s="165">
        <f t="shared" si="0"/>
        <v>0</v>
      </c>
      <c r="P56"/>
      <c r="Q56"/>
      <c r="R56"/>
      <c r="S56"/>
      <c r="T56"/>
      <c r="U56"/>
    </row>
    <row r="57" spans="1:21" ht="14.5" x14ac:dyDescent="0.35">
      <c r="A57" s="121"/>
      <c r="B57" s="458" t="str">
        <f>IF(+Cotizador!E24&lt;&gt;"",+Cotizador!E24,"")</f>
        <v/>
      </c>
      <c r="C57" s="459"/>
      <c r="D57" s="459"/>
      <c r="E57" s="460"/>
      <c r="F57" s="461" t="str">
        <f>IF(+Cotizador!H24&lt;&gt;"",+Cotizador!H24,"")</f>
        <v/>
      </c>
      <c r="G57" s="459"/>
      <c r="H57" s="459"/>
      <c r="I57" s="459"/>
      <c r="J57" s="460"/>
      <c r="K57" s="163" t="str">
        <f>IF(+Cotizador!J24&lt;&gt;"",+Cotizador!J24,"")</f>
        <v/>
      </c>
      <c r="L57" s="174" t="str">
        <f>IF(AND(+Cotizador!L24&lt;&gt;"dd/mm/aaaa",Cotizador!$J$45=TRUE),+Cotizador!L24,"")</f>
        <v/>
      </c>
      <c r="M57" s="165">
        <f>IF(Cotizador!$J$59=TRUE,Cotizador!U24,Cotizador!Q24)</f>
        <v>0</v>
      </c>
      <c r="N57" s="165">
        <f>IF(Cotizador!$J$59=TRUE,Cotizador!V24,Cotizador!R24)</f>
        <v>0</v>
      </c>
      <c r="O57" s="165">
        <f t="shared" si="0"/>
        <v>0</v>
      </c>
      <c r="P57"/>
      <c r="Q57"/>
      <c r="R57"/>
      <c r="S57"/>
      <c r="T57"/>
      <c r="U57"/>
    </row>
    <row r="58" spans="1:21" ht="14.5" x14ac:dyDescent="0.35">
      <c r="A58" s="121"/>
      <c r="B58" s="458" t="str">
        <f>IF(+Cotizador!E26&lt;&gt;"",+Cotizador!E26,"")</f>
        <v/>
      </c>
      <c r="C58" s="459"/>
      <c r="D58" s="459"/>
      <c r="E58" s="460"/>
      <c r="F58" s="461" t="str">
        <f>IF(+Cotizador!H26&lt;&gt;"",+Cotizador!H26,"")</f>
        <v/>
      </c>
      <c r="G58" s="459"/>
      <c r="H58" s="459"/>
      <c r="I58" s="459"/>
      <c r="J58" s="460"/>
      <c r="K58" s="163" t="str">
        <f>IF(+Cotizador!J26&lt;&gt;"",+Cotizador!J26,"")</f>
        <v/>
      </c>
      <c r="L58" s="174" t="str">
        <f>IF(AND(+Cotizador!L26&lt;&gt;"dd/mm/aaaa",Cotizador!$J$45=TRUE),+Cotizador!L26,"")</f>
        <v/>
      </c>
      <c r="M58" s="165">
        <f>IF(Cotizador!$J$59=TRUE,Cotizador!U26,Cotizador!Q26)</f>
        <v>0</v>
      </c>
      <c r="N58" s="165">
        <f>IF(Cotizador!$J$59=TRUE,Cotizador!V26,Cotizador!R26)</f>
        <v>0</v>
      </c>
      <c r="O58" s="165">
        <f>M58+N58</f>
        <v>0</v>
      </c>
      <c r="P58"/>
      <c r="Q58"/>
      <c r="R58"/>
      <c r="S58"/>
      <c r="T58"/>
      <c r="U58"/>
    </row>
    <row r="59" spans="1:21" ht="14.5" x14ac:dyDescent="0.35">
      <c r="A59"/>
      <c r="B59" s="458" t="str">
        <f>IF(+Cotizador!E28&lt;&gt;"",+Cotizador!E28,"")</f>
        <v/>
      </c>
      <c r="C59" s="459"/>
      <c r="D59" s="459"/>
      <c r="E59" s="460"/>
      <c r="F59" s="461" t="str">
        <f>IF(+Cotizador!H28&lt;&gt;"",+Cotizador!H28,"")</f>
        <v/>
      </c>
      <c r="G59" s="459"/>
      <c r="H59" s="459"/>
      <c r="I59" s="459"/>
      <c r="J59" s="460"/>
      <c r="K59" s="163" t="str">
        <f>IF(+Cotizador!J28&lt;&gt;"",+Cotizador!J28,"")</f>
        <v/>
      </c>
      <c r="L59" s="174" t="str">
        <f>IF(AND(+Cotizador!L28&lt;&gt;"dd/mm/aaaa",Cotizador!$J$45=TRUE),+Cotizador!L28,"")</f>
        <v/>
      </c>
      <c r="M59" s="165">
        <f>IF(Cotizador!$J$59=TRUE,Cotizador!U28,Cotizador!Q28)</f>
        <v>0</v>
      </c>
      <c r="N59" s="165">
        <f>IF(Cotizador!$J$59=TRUE,Cotizador!V28,Cotizador!R28)</f>
        <v>0</v>
      </c>
      <c r="O59" s="165">
        <f>M59+N59</f>
        <v>0</v>
      </c>
      <c r="P59"/>
      <c r="Q59"/>
      <c r="R59"/>
      <c r="S59"/>
      <c r="T59"/>
      <c r="U59"/>
    </row>
    <row r="60" spans="1:21" ht="14.5" x14ac:dyDescent="0.35">
      <c r="A60"/>
      <c r="B60" s="458" t="str">
        <f>IF(+Cotizador!E30&lt;&gt;"",+Cotizador!E30,"")</f>
        <v/>
      </c>
      <c r="C60" s="459"/>
      <c r="D60" s="459"/>
      <c r="E60" s="460"/>
      <c r="F60" s="461" t="str">
        <f>IF(+Cotizador!H30&lt;&gt;"",+Cotizador!H30,"")</f>
        <v/>
      </c>
      <c r="G60" s="459"/>
      <c r="H60" s="459"/>
      <c r="I60" s="459"/>
      <c r="J60" s="460"/>
      <c r="K60" s="163" t="str">
        <f>IF(+Cotizador!J30&lt;&gt;"",+Cotizador!J30,"")</f>
        <v/>
      </c>
      <c r="L60" s="174" t="str">
        <f>IF(AND(+Cotizador!L30&lt;&gt;"dd/mm/aaaa",Cotizador!$J$45=TRUE),+Cotizador!L30,"")</f>
        <v/>
      </c>
      <c r="M60" s="165">
        <f>IF(Cotizador!$J$59=TRUE,Cotizador!U30,Cotizador!Q30)</f>
        <v>0</v>
      </c>
      <c r="N60" s="165">
        <f>IF(Cotizador!$J$59=TRUE,Cotizador!V30,Cotizador!R30)</f>
        <v>0</v>
      </c>
      <c r="O60" s="165">
        <f>M60+N60</f>
        <v>0</v>
      </c>
      <c r="P60"/>
      <c r="Q60"/>
      <c r="R60"/>
      <c r="S60"/>
      <c r="T60"/>
      <c r="U60"/>
    </row>
    <row r="61" spans="1:21" ht="14.5" x14ac:dyDescent="0.35">
      <c r="A61"/>
      <c r="B61" s="458" t="str">
        <f>IF(+Cotizador!E32&lt;&gt;"",+Cotizador!E32,"")</f>
        <v/>
      </c>
      <c r="C61" s="459"/>
      <c r="D61" s="459"/>
      <c r="E61" s="460"/>
      <c r="F61" s="461" t="str">
        <f>IF(+Cotizador!H32&lt;&gt;"",+Cotizador!H32,"")</f>
        <v/>
      </c>
      <c r="G61" s="459"/>
      <c r="H61" s="459"/>
      <c r="I61" s="459"/>
      <c r="J61" s="460"/>
      <c r="K61" s="163" t="str">
        <f>IF(+Cotizador!J32&lt;&gt;"",+Cotizador!J32,"")</f>
        <v/>
      </c>
      <c r="L61" s="174" t="str">
        <f>IF(AND(+Cotizador!L32&lt;&gt;"dd/mm/aaaa",Cotizador!$J$45=TRUE),+Cotizador!L32,"")</f>
        <v/>
      </c>
      <c r="M61" s="165">
        <f>IF(Cotizador!$J$59=TRUE,Cotizador!U32,Cotizador!Q32)</f>
        <v>0</v>
      </c>
      <c r="N61" s="165">
        <f>IF(Cotizador!$J$59=TRUE,Cotizador!V32,Cotizador!R32)</f>
        <v>0</v>
      </c>
      <c r="O61" s="165">
        <f>M61+N61</f>
        <v>0</v>
      </c>
      <c r="P61"/>
      <c r="Q61"/>
      <c r="R61"/>
      <c r="S61"/>
      <c r="T61"/>
      <c r="U61"/>
    </row>
    <row r="62" spans="1:21" ht="14.5" x14ac:dyDescent="0.35">
      <c r="B62" s="18"/>
      <c r="C62" s="126"/>
      <c r="D62" s="126"/>
      <c r="E62" s="126"/>
      <c r="F62" s="126"/>
      <c r="G62" s="126"/>
      <c r="H62" s="126"/>
      <c r="I62" s="126"/>
      <c r="J62" s="126"/>
      <c r="K62" s="126"/>
      <c r="L62" s="126"/>
      <c r="M62" s="126"/>
      <c r="N62" s="126"/>
      <c r="O62" s="127"/>
      <c r="P62"/>
      <c r="Q62"/>
      <c r="R62"/>
      <c r="S62"/>
      <c r="T62"/>
      <c r="U62"/>
    </row>
    <row r="63" spans="1:21" ht="14.5" x14ac:dyDescent="0.35">
      <c r="B63" s="18"/>
      <c r="C63" s="128"/>
      <c r="D63" s="128"/>
      <c r="E63" s="128"/>
      <c r="F63" s="129"/>
      <c r="G63" s="130"/>
      <c r="H63" s="130"/>
      <c r="I63" s="131"/>
      <c r="J63" s="126"/>
      <c r="K63" s="130"/>
      <c r="L63" s="126"/>
      <c r="M63" s="132"/>
      <c r="N63" s="132"/>
      <c r="O63" s="133"/>
      <c r="P63" s="134"/>
      <c r="Q63" s="134"/>
      <c r="R63" s="134"/>
      <c r="S63" s="134"/>
      <c r="T63" s="134"/>
      <c r="U63" s="134"/>
    </row>
    <row r="64" spans="1:21" ht="14.5" x14ac:dyDescent="0.35">
      <c r="B64" s="463" t="s">
        <v>202</v>
      </c>
      <c r="C64" s="463"/>
      <c r="D64" s="135" t="s">
        <v>203</v>
      </c>
      <c r="E64" s="17"/>
      <c r="F64" s="126"/>
      <c r="G64" s="126"/>
      <c r="H64" s="126"/>
      <c r="I64" s="126"/>
      <c r="J64" s="126"/>
      <c r="K64" s="126"/>
      <c r="L64" s="136" t="s">
        <v>204</v>
      </c>
      <c r="N64" s="133"/>
      <c r="O64" s="137">
        <f>+SUM(O54:O61)</f>
        <v>0</v>
      </c>
      <c r="P64" s="134"/>
      <c r="Q64" s="134"/>
      <c r="R64" s="134"/>
      <c r="S64" s="134"/>
      <c r="T64" s="134"/>
      <c r="U64" s="134"/>
    </row>
    <row r="65" spans="1:21" ht="14.5" x14ac:dyDescent="0.35">
      <c r="B65" s="463" t="s">
        <v>205</v>
      </c>
      <c r="C65" s="463"/>
      <c r="D65" s="164" t="str">
        <f>IF(Cotizador!E63&lt;&gt;"",Cotizador!E63,"")</f>
        <v/>
      </c>
      <c r="E65"/>
      <c r="F65" s="2"/>
      <c r="G65" s="138"/>
      <c r="H65" s="138"/>
      <c r="I65" s="139"/>
      <c r="J65" s="126"/>
      <c r="K65" s="126"/>
      <c r="L65" s="136" t="s">
        <v>206</v>
      </c>
      <c r="N65" s="133"/>
      <c r="O65" s="137">
        <v>0</v>
      </c>
      <c r="P65" s="134"/>
      <c r="Q65" s="134"/>
      <c r="R65" s="134"/>
      <c r="S65" s="134"/>
      <c r="T65" s="134"/>
      <c r="U65" s="134"/>
    </row>
    <row r="66" spans="1:21" ht="14.5" x14ac:dyDescent="0.35">
      <c r="B66" s="463" t="s">
        <v>240</v>
      </c>
      <c r="C66" s="463"/>
      <c r="D66" s="164" t="e">
        <f>VLOOKUP(D65,Tarifa!$BL$31:$BN$35,3,0)</f>
        <v>#N/A</v>
      </c>
      <c r="E66"/>
      <c r="F66" s="2"/>
      <c r="G66" s="138"/>
      <c r="H66" s="138"/>
      <c r="I66" s="139"/>
      <c r="J66" s="126"/>
      <c r="K66" s="126"/>
      <c r="L66" s="136" t="s">
        <v>207</v>
      </c>
      <c r="N66" s="133"/>
      <c r="O66" s="137" t="e">
        <f>O64*VLOOKUP(D65,Tarifa!$BL$31:$BM$35,2,0)</f>
        <v>#N/A</v>
      </c>
      <c r="P66" s="134"/>
      <c r="Q66" s="134"/>
      <c r="R66" s="134"/>
      <c r="S66" s="134"/>
      <c r="T66" s="134"/>
      <c r="U66" s="134"/>
    </row>
    <row r="67" spans="1:21" thickBot="1" x14ac:dyDescent="0.4">
      <c r="B67" s="18"/>
      <c r="C67" s="140"/>
      <c r="D67" s="15"/>
      <c r="E67" s="126"/>
      <c r="F67" s="126"/>
      <c r="G67" s="126"/>
      <c r="H67" s="126"/>
      <c r="I67" s="126"/>
      <c r="J67" s="126"/>
      <c r="K67" s="126"/>
      <c r="L67" s="136" t="s">
        <v>208</v>
      </c>
      <c r="N67" s="126"/>
      <c r="O67" s="137">
        <v>700</v>
      </c>
      <c r="P67" s="134"/>
      <c r="Q67" s="134"/>
      <c r="R67" s="134"/>
      <c r="S67" s="134"/>
      <c r="T67" s="134"/>
      <c r="U67" s="134"/>
    </row>
    <row r="68" spans="1:21" ht="14.5" x14ac:dyDescent="0.35">
      <c r="B68" s="183"/>
      <c r="C68" s="184"/>
      <c r="D68" s="185"/>
      <c r="E68" s="186"/>
      <c r="F68" s="187"/>
      <c r="G68" s="187"/>
      <c r="H68" s="187"/>
      <c r="I68" s="188"/>
      <c r="J68" s="189"/>
      <c r="K68" s="126"/>
      <c r="L68" s="136" t="s">
        <v>209</v>
      </c>
      <c r="N68" s="126"/>
      <c r="O68" s="137" t="e">
        <f>+O64-O65+O66+O67</f>
        <v>#N/A</v>
      </c>
      <c r="P68" s="134"/>
      <c r="Q68" s="134"/>
      <c r="R68" s="134"/>
      <c r="S68" s="134"/>
      <c r="T68" s="134"/>
      <c r="U68" s="134"/>
    </row>
    <row r="69" spans="1:21" ht="14.5" x14ac:dyDescent="0.35">
      <c r="B69" s="190"/>
      <c r="C69" s="141"/>
      <c r="D69" s="191"/>
      <c r="E69" s="142"/>
      <c r="F69" s="127"/>
      <c r="G69" s="127"/>
      <c r="H69" s="127"/>
      <c r="I69" s="127"/>
      <c r="J69" s="192"/>
      <c r="K69" s="16"/>
      <c r="L69" s="136" t="s">
        <v>81</v>
      </c>
      <c r="N69"/>
      <c r="O69" s="143" t="e">
        <f>0.16*O68</f>
        <v>#N/A</v>
      </c>
      <c r="P69" s="134"/>
      <c r="Q69" s="134"/>
      <c r="R69" s="134"/>
      <c r="S69" s="134"/>
      <c r="T69" s="134"/>
      <c r="U69" s="134"/>
    </row>
    <row r="70" spans="1:21" ht="14.5" x14ac:dyDescent="0.35">
      <c r="B70" s="190"/>
      <c r="C70" s="141"/>
      <c r="D70" s="193"/>
      <c r="E70" s="144"/>
      <c r="F70" s="194"/>
      <c r="G70" s="194"/>
      <c r="H70" s="194"/>
      <c r="I70" s="127"/>
      <c r="J70" s="195"/>
      <c r="K70" s="366"/>
      <c r="L70" s="136" t="s">
        <v>210</v>
      </c>
      <c r="N70" s="126"/>
      <c r="O70" s="137" t="e">
        <f>+O69+O68</f>
        <v>#N/A</v>
      </c>
      <c r="P70" s="134"/>
      <c r="Q70" s="134"/>
      <c r="R70" s="134"/>
      <c r="S70" s="134"/>
      <c r="T70" s="134"/>
      <c r="U70" s="134"/>
    </row>
    <row r="71" spans="1:21" ht="14.5" x14ac:dyDescent="0.35">
      <c r="B71" s="190"/>
      <c r="C71" s="141"/>
      <c r="D71" s="193"/>
      <c r="E71" s="144"/>
      <c r="F71" s="194"/>
      <c r="G71" s="194"/>
      <c r="H71" s="194"/>
      <c r="I71" s="127"/>
      <c r="J71" s="195"/>
      <c r="K71" s="366"/>
      <c r="L71" s="136"/>
      <c r="N71" s="126"/>
      <c r="O71" s="145"/>
      <c r="P71" s="134"/>
      <c r="Q71" s="134"/>
      <c r="R71" s="134"/>
      <c r="S71" s="134"/>
      <c r="T71" s="134"/>
      <c r="U71" s="134"/>
    </row>
    <row r="72" spans="1:21" ht="14.5" x14ac:dyDescent="0.35">
      <c r="B72" s="190"/>
      <c r="C72" s="141"/>
      <c r="D72" s="193"/>
      <c r="E72" s="144"/>
      <c r="F72" s="194"/>
      <c r="G72" s="194"/>
      <c r="H72" s="194"/>
      <c r="I72" s="127"/>
      <c r="J72" s="195"/>
      <c r="K72" s="126"/>
      <c r="L72" s="465" t="s">
        <v>211</v>
      </c>
      <c r="M72" s="465"/>
      <c r="N72" s="465"/>
      <c r="O72" s="465"/>
      <c r="P72" s="134"/>
      <c r="Q72" s="134"/>
      <c r="R72" s="134"/>
      <c r="S72" s="134"/>
      <c r="T72" s="134"/>
      <c r="U72" s="134"/>
    </row>
    <row r="73" spans="1:21" ht="6.75" customHeight="1" x14ac:dyDescent="0.35">
      <c r="A73"/>
      <c r="B73" s="196"/>
      <c r="C73" s="78"/>
      <c r="D73" s="78"/>
      <c r="E73" s="78"/>
      <c r="F73" s="78"/>
      <c r="G73" s="78"/>
      <c r="H73" s="78"/>
      <c r="I73" s="78"/>
      <c r="J73" s="197"/>
      <c r="K73"/>
      <c r="L73"/>
      <c r="M73"/>
      <c r="N73"/>
      <c r="O73"/>
      <c r="P73"/>
      <c r="Q73"/>
      <c r="R73"/>
      <c r="S73"/>
      <c r="T73"/>
      <c r="U73"/>
    </row>
    <row r="74" spans="1:21" ht="14.5" x14ac:dyDescent="0.35">
      <c r="B74" s="190"/>
      <c r="C74" s="141"/>
      <c r="D74" s="193"/>
      <c r="E74" s="144"/>
      <c r="F74" s="194"/>
      <c r="G74" s="194"/>
      <c r="H74" s="194"/>
      <c r="I74" s="127"/>
      <c r="J74" s="195"/>
      <c r="K74" s="126"/>
      <c r="L74" s="466" t="s">
        <v>212</v>
      </c>
      <c r="M74" s="466"/>
      <c r="O74" s="146" t="e">
        <f>IF(D66=1,O70,ROUND(((O68-O67)/D66+O67)*1.16,2))</f>
        <v>#N/A</v>
      </c>
      <c r="P74" s="134"/>
      <c r="Q74" s="134"/>
      <c r="R74" s="134"/>
      <c r="S74" s="134"/>
      <c r="T74" s="134"/>
      <c r="U74" s="134"/>
    </row>
    <row r="75" spans="1:21" thickBot="1" x14ac:dyDescent="0.4">
      <c r="B75" s="204" t="s">
        <v>238</v>
      </c>
      <c r="C75" s="203"/>
      <c r="D75" s="198"/>
      <c r="E75" s="199"/>
      <c r="F75" s="200"/>
      <c r="G75" s="200"/>
      <c r="H75" s="200"/>
      <c r="I75" s="201"/>
      <c r="J75" s="202"/>
      <c r="K75" s="126"/>
      <c r="L75" s="466" t="e">
        <f>"Recibos subsecuentes("&amp;D66-1&amp;")"</f>
        <v>#N/A</v>
      </c>
      <c r="M75" s="466"/>
      <c r="N75" s="210"/>
      <c r="O75" s="146" t="e">
        <f>IF(D66=4,(O70-O74)/3,IF(D66=12,(O70-O74)/11,IF(D66=6,(O70-O74)/5,ROUND(O70-O74,2))))</f>
        <v>#N/A</v>
      </c>
      <c r="P75" s="134"/>
      <c r="Q75" s="134"/>
      <c r="R75" s="134"/>
      <c r="S75" s="134"/>
      <c r="T75" s="134"/>
      <c r="U75" s="134"/>
    </row>
    <row r="76" spans="1:21" ht="11.25" customHeight="1" x14ac:dyDescent="0.35">
      <c r="B76" s="147"/>
      <c r="C76" s="148"/>
      <c r="D76" s="147"/>
      <c r="E76" s="147"/>
      <c r="F76" s="148"/>
      <c r="G76" s="148"/>
      <c r="H76" s="148"/>
      <c r="I76" s="147"/>
      <c r="J76" s="147"/>
      <c r="K76" s="147"/>
      <c r="L76" s="147"/>
      <c r="M76" s="148"/>
      <c r="N76" s="147"/>
      <c r="O76" s="147"/>
      <c r="P76" s="134"/>
      <c r="Q76" s="134"/>
      <c r="R76" s="134"/>
      <c r="S76" s="134"/>
      <c r="T76" s="134"/>
      <c r="U76" s="134"/>
    </row>
    <row r="77" spans="1:21" ht="14.5" x14ac:dyDescent="0.35">
      <c r="A77" s="10"/>
      <c r="B77" s="467" t="s">
        <v>82</v>
      </c>
      <c r="C77" s="468"/>
      <c r="D77" s="468"/>
      <c r="E77" s="468"/>
      <c r="F77" s="468"/>
      <c r="G77" s="468"/>
      <c r="H77" s="468"/>
      <c r="I77" s="468"/>
      <c r="J77" s="468"/>
      <c r="K77" s="468"/>
      <c r="L77" s="468"/>
      <c r="M77" s="468"/>
      <c r="N77" s="468"/>
      <c r="O77" s="469"/>
      <c r="P77" s="134"/>
      <c r="Q77" s="134"/>
      <c r="R77" s="134"/>
      <c r="S77" s="134"/>
      <c r="T77" s="134"/>
      <c r="U77" s="134"/>
    </row>
    <row r="78" spans="1:21" ht="9" customHeight="1" x14ac:dyDescent="0.35">
      <c r="A78" s="10"/>
      <c r="B78" s="470"/>
      <c r="C78" s="470"/>
      <c r="D78" s="470"/>
      <c r="E78" s="470"/>
      <c r="F78" s="470"/>
      <c r="G78" s="470"/>
      <c r="H78" s="470"/>
      <c r="I78" s="470"/>
      <c r="J78" s="470"/>
      <c r="K78" s="470"/>
      <c r="L78" s="470"/>
      <c r="M78" s="470"/>
      <c r="N78" s="470"/>
      <c r="O78" s="470"/>
      <c r="P78" s="134"/>
      <c r="Q78" s="134"/>
      <c r="R78" s="134"/>
      <c r="S78" s="134"/>
      <c r="T78" s="134"/>
      <c r="U78" s="134"/>
    </row>
    <row r="79" spans="1:21" ht="14.5" x14ac:dyDescent="0.35">
      <c r="B79" s="462" t="s">
        <v>213</v>
      </c>
      <c r="C79" s="462"/>
      <c r="D79" s="462"/>
      <c r="E79" s="462"/>
      <c r="F79" s="462"/>
      <c r="G79" s="462"/>
      <c r="H79" s="462"/>
      <c r="I79" s="462"/>
      <c r="J79" s="462"/>
      <c r="K79" s="462"/>
      <c r="L79" s="462"/>
      <c r="M79" s="462"/>
      <c r="N79" s="462"/>
      <c r="O79" s="462"/>
      <c r="P79" s="134"/>
      <c r="Q79" s="134"/>
      <c r="R79" s="134"/>
      <c r="S79" s="134"/>
      <c r="T79" s="134"/>
      <c r="U79" s="134"/>
    </row>
    <row r="80" spans="1:21" ht="14.5" x14ac:dyDescent="0.35">
      <c r="B80" s="462" t="s">
        <v>214</v>
      </c>
      <c r="C80" s="462"/>
      <c r="D80" s="462"/>
      <c r="E80" s="462"/>
      <c r="F80" s="462"/>
      <c r="G80" s="462"/>
      <c r="H80" s="462"/>
      <c r="I80" s="462"/>
      <c r="J80" s="462"/>
      <c r="K80" s="462"/>
      <c r="L80" s="462"/>
      <c r="M80" s="462"/>
      <c r="N80" s="462"/>
      <c r="O80" s="462"/>
      <c r="P80" s="134"/>
      <c r="Q80" s="134"/>
      <c r="R80" s="134"/>
      <c r="S80" s="134"/>
      <c r="T80" s="134"/>
      <c r="U80" s="134"/>
    </row>
    <row r="81" spans="1:21" ht="14.5" x14ac:dyDescent="0.35">
      <c r="B81" s="462" t="s">
        <v>215</v>
      </c>
      <c r="C81" s="462"/>
      <c r="D81" s="462"/>
      <c r="E81" s="462"/>
      <c r="F81" s="462"/>
      <c r="G81" s="462"/>
      <c r="H81" s="462"/>
      <c r="I81" s="462"/>
      <c r="J81" s="462"/>
      <c r="K81" s="462"/>
      <c r="L81" s="462"/>
      <c r="M81" s="462"/>
      <c r="N81" s="462"/>
      <c r="O81" s="462"/>
      <c r="P81" s="134"/>
      <c r="Q81" s="134"/>
      <c r="R81" s="134"/>
      <c r="S81" s="134"/>
      <c r="T81" s="134"/>
      <c r="U81" s="134"/>
    </row>
    <row r="82" spans="1:21" ht="29.25" customHeight="1" x14ac:dyDescent="0.35">
      <c r="B82" s="462" t="s">
        <v>216</v>
      </c>
      <c r="C82" s="462"/>
      <c r="D82" s="462"/>
      <c r="E82" s="462"/>
      <c r="F82" s="462"/>
      <c r="G82" s="462"/>
      <c r="H82" s="462"/>
      <c r="I82" s="462"/>
      <c r="J82" s="462"/>
      <c r="K82" s="462"/>
      <c r="L82" s="462"/>
      <c r="M82" s="462"/>
      <c r="N82" s="462"/>
      <c r="O82" s="462"/>
      <c r="P82" s="134"/>
      <c r="Q82" s="134"/>
      <c r="R82" s="134"/>
      <c r="S82" s="134"/>
      <c r="T82" s="134"/>
      <c r="U82" s="134"/>
    </row>
    <row r="83" spans="1:21" ht="9" customHeight="1" x14ac:dyDescent="0.35">
      <c r="A83" s="10"/>
      <c r="B83" s="464"/>
      <c r="C83" s="464"/>
      <c r="D83" s="464"/>
      <c r="E83" s="464"/>
      <c r="F83" s="464"/>
      <c r="G83" s="464"/>
      <c r="H83" s="464"/>
      <c r="I83" s="464"/>
      <c r="J83" s="464"/>
      <c r="K83" s="464"/>
      <c r="L83" s="464"/>
      <c r="M83" s="464"/>
      <c r="N83" s="464"/>
      <c r="O83" s="464"/>
      <c r="P83" s="149"/>
      <c r="Q83" s="149"/>
      <c r="R83" s="149"/>
      <c r="S83" s="149"/>
      <c r="T83" s="149"/>
      <c r="U83" s="149"/>
    </row>
    <row r="84" spans="1:21" ht="14.5" x14ac:dyDescent="0.35">
      <c r="B84" s="134"/>
      <c r="C84" s="150"/>
      <c r="D84" s="151"/>
      <c r="E84" s="151"/>
      <c r="F84" s="151"/>
      <c r="G84" s="151"/>
      <c r="H84" s="151"/>
      <c r="I84" s="151"/>
      <c r="J84" s="151"/>
      <c r="K84" s="151"/>
      <c r="L84" s="151"/>
      <c r="M84" s="151"/>
      <c r="N84" s="151"/>
      <c r="O84" s="152"/>
      <c r="P84" s="149"/>
      <c r="Q84" s="149"/>
      <c r="R84" s="149"/>
      <c r="S84" s="149"/>
      <c r="T84" s="149"/>
      <c r="U84" s="149"/>
    </row>
    <row r="85" spans="1:21" ht="14.5" x14ac:dyDescent="0.35">
      <c r="A85" s="10"/>
      <c r="B85" s="134"/>
      <c r="C85" s="134"/>
      <c r="D85" s="153"/>
      <c r="E85" s="149"/>
      <c r="F85" s="149"/>
      <c r="G85" s="149"/>
      <c r="H85" s="149"/>
      <c r="I85" s="149"/>
      <c r="J85" s="154"/>
      <c r="K85" s="154"/>
      <c r="L85" s="154"/>
      <c r="M85" s="149"/>
      <c r="N85" s="149"/>
      <c r="O85" s="155"/>
      <c r="P85" s="149"/>
      <c r="Q85" s="149"/>
      <c r="R85" s="149"/>
      <c r="S85" s="149"/>
      <c r="T85" s="149"/>
      <c r="U85" s="149"/>
    </row>
    <row r="86" spans="1:21" ht="14.5" x14ac:dyDescent="0.35">
      <c r="A86" s="10"/>
      <c r="B86" s="134"/>
      <c r="C86" s="134"/>
      <c r="D86" s="153"/>
      <c r="E86" s="149"/>
      <c r="F86" s="149"/>
      <c r="G86" s="149"/>
      <c r="H86" s="149"/>
      <c r="I86" s="149"/>
      <c r="J86" s="154"/>
      <c r="K86" s="154"/>
      <c r="L86" s="154"/>
      <c r="M86" s="149"/>
      <c r="N86" s="149"/>
      <c r="O86" s="155"/>
      <c r="P86" s="149"/>
      <c r="Q86" s="149"/>
      <c r="R86" s="149"/>
      <c r="S86" s="149"/>
      <c r="T86" s="149"/>
      <c r="U86" s="149"/>
    </row>
    <row r="87" spans="1:21" ht="14.5" x14ac:dyDescent="0.35">
      <c r="A87" s="10"/>
      <c r="B87" s="134"/>
      <c r="C87" s="134"/>
      <c r="D87" s="153"/>
      <c r="E87" s="149"/>
      <c r="F87" s="149"/>
      <c r="G87" s="149"/>
      <c r="H87" s="149"/>
      <c r="I87" s="149"/>
      <c r="J87" s="154"/>
      <c r="K87" s="154"/>
      <c r="L87" s="154"/>
      <c r="M87" s="149"/>
      <c r="N87" s="149"/>
      <c r="O87" s="155"/>
      <c r="P87" s="149"/>
      <c r="Q87" s="149"/>
      <c r="R87" s="149"/>
      <c r="S87" s="149"/>
      <c r="T87" s="149"/>
      <c r="U87" s="149"/>
    </row>
    <row r="88" spans="1:21" ht="14.5" hidden="1" x14ac:dyDescent="0.35">
      <c r="A88" s="10"/>
      <c r="B88" s="134"/>
      <c r="C88" s="134"/>
      <c r="D88" s="153"/>
      <c r="E88" s="149"/>
      <c r="F88" s="149"/>
      <c r="G88" s="149"/>
      <c r="H88" s="149"/>
      <c r="I88" s="149"/>
      <c r="J88" s="154"/>
      <c r="K88" s="154"/>
      <c r="L88" s="154"/>
      <c r="M88" s="149"/>
      <c r="N88" s="149"/>
      <c r="O88" s="155"/>
      <c r="P88" s="149"/>
      <c r="Q88" s="149"/>
      <c r="R88" s="149"/>
      <c r="S88" s="149"/>
      <c r="T88" s="149"/>
      <c r="U88" s="149"/>
    </row>
    <row r="89" spans="1:21" ht="14.5" hidden="1" x14ac:dyDescent="0.35">
      <c r="A89" s="10"/>
      <c r="B89" s="134"/>
      <c r="C89" s="134"/>
      <c r="D89" s="153"/>
      <c r="E89" s="149"/>
      <c r="F89" s="149"/>
      <c r="G89" s="149"/>
      <c r="H89" s="149"/>
      <c r="I89" s="149"/>
      <c r="J89" s="154"/>
      <c r="K89" s="154"/>
      <c r="L89" s="154"/>
      <c r="M89" s="149"/>
      <c r="N89" s="149"/>
      <c r="O89" s="155"/>
      <c r="P89" s="149"/>
      <c r="Q89" s="149"/>
      <c r="R89" s="149"/>
      <c r="S89" s="149"/>
      <c r="T89" s="149"/>
      <c r="U89" s="149"/>
    </row>
    <row r="90" spans="1:21" ht="14.5" hidden="1" x14ac:dyDescent="0.35">
      <c r="A90" s="10"/>
      <c r="B90" s="134"/>
      <c r="C90" s="134"/>
      <c r="D90" s="153"/>
      <c r="E90" s="149"/>
      <c r="F90" s="149"/>
      <c r="G90" s="149"/>
      <c r="H90" s="149"/>
      <c r="I90" s="149"/>
      <c r="J90" s="154"/>
      <c r="K90" s="154"/>
      <c r="L90" s="154"/>
      <c r="M90" s="149"/>
      <c r="N90" s="149"/>
      <c r="O90" s="156"/>
      <c r="P90" s="149"/>
      <c r="Q90" s="149"/>
      <c r="R90" s="149"/>
      <c r="S90" s="149"/>
      <c r="T90" s="149"/>
      <c r="U90" s="149"/>
    </row>
    <row r="106" spans="2:282" s="9" customFormat="1" ht="14.5" hidden="1" x14ac:dyDescent="0.35">
      <c r="B106" s="10"/>
      <c r="C106" s="10"/>
      <c r="O106" s="10"/>
      <c r="P106" s="10"/>
      <c r="Q106" s="10"/>
      <c r="R106" s="10"/>
      <c r="S106" s="10"/>
      <c r="T106" s="10"/>
      <c r="U106" s="10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  <c r="DU106"/>
      <c r="DV106"/>
      <c r="DW106"/>
      <c r="DX106"/>
      <c r="DY106"/>
      <c r="DZ106"/>
      <c r="EA106"/>
      <c r="EB106"/>
      <c r="EC106"/>
      <c r="ED106"/>
      <c r="EE106"/>
      <c r="EF106"/>
      <c r="EG106"/>
      <c r="EH106"/>
      <c r="EI106"/>
      <c r="EJ106"/>
      <c r="EK106"/>
      <c r="EL106"/>
      <c r="EM106"/>
      <c r="EN106"/>
      <c r="EO106"/>
      <c r="EP106"/>
      <c r="EQ106"/>
      <c r="ER106"/>
      <c r="ES106"/>
      <c r="ET106"/>
      <c r="EU106"/>
      <c r="EV106"/>
      <c r="EW106"/>
      <c r="EX106"/>
      <c r="EY106"/>
      <c r="EZ106"/>
      <c r="FA106"/>
      <c r="FB106"/>
      <c r="FC106"/>
      <c r="FD106"/>
      <c r="FE106"/>
      <c r="FF106"/>
      <c r="FG106"/>
      <c r="FH106"/>
      <c r="FI106"/>
      <c r="FJ106"/>
      <c r="FK106"/>
      <c r="FL106"/>
      <c r="FM106"/>
      <c r="FN106"/>
      <c r="FO106"/>
      <c r="FP106"/>
      <c r="FQ106"/>
      <c r="FR106"/>
      <c r="FS106"/>
      <c r="FT106"/>
      <c r="FU106"/>
      <c r="FV106"/>
      <c r="FW106"/>
      <c r="FX106"/>
      <c r="FY106"/>
      <c r="FZ106"/>
      <c r="GA106"/>
      <c r="GB106"/>
      <c r="GC106"/>
      <c r="GD106"/>
      <c r="GE106"/>
      <c r="GF106"/>
      <c r="GG106"/>
      <c r="GH106"/>
      <c r="GI106"/>
      <c r="GJ106"/>
      <c r="GK106"/>
      <c r="GL106"/>
      <c r="GM106"/>
      <c r="GN106"/>
      <c r="GO106"/>
      <c r="GP106"/>
      <c r="GQ106"/>
      <c r="GR106"/>
      <c r="GS106"/>
      <c r="GT106"/>
      <c r="GU106"/>
      <c r="GV106"/>
      <c r="GW106"/>
      <c r="GX106"/>
      <c r="GY106"/>
      <c r="GZ106"/>
      <c r="HA106"/>
      <c r="HB106"/>
      <c r="HC106"/>
      <c r="HD106"/>
      <c r="HE106"/>
      <c r="HF106"/>
      <c r="HG106"/>
      <c r="HH106"/>
      <c r="HI106"/>
      <c r="HJ106"/>
      <c r="HK106"/>
      <c r="HL106"/>
      <c r="HM106"/>
      <c r="HN106"/>
      <c r="HO106"/>
      <c r="HP106"/>
      <c r="HQ106"/>
      <c r="HR106"/>
      <c r="HS106"/>
      <c r="HT106"/>
      <c r="HU106"/>
      <c r="HV106"/>
      <c r="HW106"/>
      <c r="HX106"/>
      <c r="HY106"/>
      <c r="HZ106"/>
      <c r="IA106"/>
      <c r="IB106"/>
      <c r="IC106"/>
      <c r="ID106"/>
      <c r="IE106"/>
      <c r="IF106"/>
      <c r="IG106"/>
      <c r="IH106"/>
      <c r="II106"/>
      <c r="IJ106"/>
      <c r="IK106"/>
      <c r="IL106"/>
      <c r="IM106"/>
      <c r="IN106"/>
      <c r="IO106"/>
      <c r="IP106"/>
      <c r="IQ106"/>
      <c r="IR106"/>
      <c r="IS106"/>
      <c r="IT106"/>
      <c r="IU106"/>
      <c r="IV106"/>
      <c r="IW106"/>
      <c r="IX106"/>
      <c r="IY106"/>
      <c r="IZ106"/>
      <c r="JA106"/>
      <c r="JB106"/>
      <c r="JC106"/>
      <c r="JD106"/>
      <c r="JE106"/>
      <c r="JF106"/>
      <c r="JG106"/>
      <c r="JH106"/>
      <c r="JI106"/>
      <c r="JJ106"/>
      <c r="JK106"/>
      <c r="JL106"/>
      <c r="JM106"/>
      <c r="JN106"/>
      <c r="JO106"/>
      <c r="JP106"/>
      <c r="JQ106"/>
      <c r="JR106"/>
      <c r="JS106"/>
      <c r="JT106"/>
      <c r="JU106"/>
      <c r="JV106"/>
    </row>
    <row r="107" spans="2:282" s="9" customFormat="1" ht="14.5" hidden="1" x14ac:dyDescent="0.35">
      <c r="B107" s="10"/>
      <c r="C107" s="10"/>
      <c r="O107" s="10"/>
      <c r="P107" s="10"/>
      <c r="Q107" s="10"/>
      <c r="R107" s="10"/>
      <c r="S107" s="10"/>
      <c r="T107" s="10"/>
      <c r="U107" s="10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  <c r="DU107"/>
      <c r="DV107"/>
      <c r="DW107"/>
      <c r="DX107"/>
      <c r="DY107"/>
      <c r="DZ107"/>
      <c r="EA107"/>
      <c r="EB107"/>
      <c r="EC107"/>
      <c r="ED107"/>
      <c r="EE107"/>
      <c r="EF107"/>
      <c r="EG107"/>
      <c r="EH107"/>
      <c r="EI107"/>
      <c r="EJ107"/>
      <c r="EK107"/>
      <c r="EL107"/>
      <c r="EM107"/>
      <c r="EN107"/>
      <c r="EO107"/>
      <c r="EP107"/>
      <c r="EQ107"/>
      <c r="ER107"/>
      <c r="ES107"/>
      <c r="ET107"/>
      <c r="EU107"/>
      <c r="EV107"/>
      <c r="EW107"/>
      <c r="EX107"/>
      <c r="EY107"/>
      <c r="EZ107"/>
      <c r="FA107"/>
      <c r="FB107"/>
      <c r="FC107"/>
      <c r="FD107"/>
      <c r="FE107"/>
      <c r="FF107"/>
      <c r="FG107"/>
      <c r="FH107"/>
      <c r="FI107"/>
      <c r="FJ107"/>
      <c r="FK107"/>
      <c r="FL107"/>
      <c r="FM107"/>
      <c r="FN107"/>
      <c r="FO107"/>
      <c r="FP107"/>
      <c r="FQ107"/>
      <c r="FR107"/>
      <c r="FS107"/>
      <c r="FT107"/>
      <c r="FU107"/>
      <c r="FV107"/>
      <c r="FW107"/>
      <c r="FX107"/>
      <c r="FY107"/>
      <c r="FZ107"/>
      <c r="GA107"/>
      <c r="GB107"/>
      <c r="GC107"/>
      <c r="GD107"/>
      <c r="GE107"/>
      <c r="GF107"/>
      <c r="GG107"/>
      <c r="GH107"/>
      <c r="GI107"/>
      <c r="GJ107"/>
      <c r="GK107"/>
      <c r="GL107"/>
      <c r="GM107"/>
      <c r="GN107"/>
      <c r="GO107"/>
      <c r="GP107"/>
      <c r="GQ107"/>
      <c r="GR107"/>
      <c r="GS107"/>
      <c r="GT107"/>
      <c r="GU107"/>
      <c r="GV107"/>
      <c r="GW107"/>
      <c r="GX107"/>
      <c r="GY107"/>
      <c r="GZ107"/>
      <c r="HA107"/>
      <c r="HB107"/>
      <c r="HC107"/>
      <c r="HD107"/>
      <c r="HE107"/>
      <c r="HF107"/>
      <c r="HG107"/>
      <c r="HH107"/>
      <c r="HI107"/>
      <c r="HJ107"/>
      <c r="HK107"/>
      <c r="HL107"/>
      <c r="HM107"/>
      <c r="HN107"/>
      <c r="HO107"/>
      <c r="HP107"/>
      <c r="HQ107"/>
      <c r="HR107"/>
      <c r="HS107"/>
      <c r="HT107"/>
      <c r="HU107"/>
      <c r="HV107"/>
      <c r="HW107"/>
      <c r="HX107"/>
      <c r="HY107"/>
      <c r="HZ107"/>
      <c r="IA107"/>
      <c r="IB107"/>
      <c r="IC107"/>
      <c r="ID107"/>
      <c r="IE107"/>
      <c r="IF107"/>
      <c r="IG107"/>
      <c r="IH107"/>
      <c r="II107"/>
      <c r="IJ107"/>
      <c r="IK107"/>
      <c r="IL107"/>
      <c r="IM107"/>
      <c r="IN107"/>
      <c r="IO107"/>
      <c r="IP107"/>
      <c r="IQ107"/>
      <c r="IR107"/>
      <c r="IS107"/>
      <c r="IT107"/>
      <c r="IU107"/>
      <c r="IV107"/>
      <c r="IW107"/>
      <c r="IX107"/>
      <c r="IY107"/>
      <c r="IZ107"/>
      <c r="JA107"/>
      <c r="JB107"/>
      <c r="JC107"/>
      <c r="JD107"/>
      <c r="JE107"/>
      <c r="JF107"/>
      <c r="JG107"/>
      <c r="JH107"/>
      <c r="JI107"/>
      <c r="JJ107"/>
      <c r="JK107"/>
      <c r="JL107"/>
      <c r="JM107"/>
      <c r="JN107"/>
      <c r="JO107"/>
      <c r="JP107"/>
      <c r="JQ107"/>
      <c r="JR107"/>
      <c r="JS107"/>
      <c r="JT107"/>
      <c r="JU107"/>
      <c r="JV107"/>
    </row>
    <row r="108" spans="2:282" s="9" customFormat="1" ht="14.5" hidden="1" x14ac:dyDescent="0.35">
      <c r="B108" s="10"/>
      <c r="C108" s="10"/>
      <c r="O108" s="10"/>
      <c r="P108" s="10"/>
      <c r="Q108" s="10"/>
      <c r="R108" s="10"/>
      <c r="S108" s="10"/>
      <c r="T108" s="10"/>
      <c r="U108" s="10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  <c r="DU108"/>
      <c r="DV108"/>
      <c r="DW108"/>
      <c r="DX108"/>
      <c r="DY108"/>
      <c r="DZ108"/>
      <c r="EA108"/>
      <c r="EB108"/>
      <c r="EC108"/>
      <c r="ED108"/>
      <c r="EE108"/>
      <c r="EF108"/>
      <c r="EG108"/>
      <c r="EH108"/>
      <c r="EI108"/>
      <c r="EJ108"/>
      <c r="EK108"/>
      <c r="EL108"/>
      <c r="EM108"/>
      <c r="EN108"/>
      <c r="EO108"/>
      <c r="EP108"/>
      <c r="EQ108"/>
      <c r="ER108"/>
      <c r="ES108"/>
      <c r="ET108"/>
      <c r="EU108"/>
      <c r="EV108"/>
      <c r="EW108"/>
      <c r="EX108"/>
      <c r="EY108"/>
      <c r="EZ108"/>
      <c r="FA108"/>
      <c r="FB108"/>
      <c r="FC108"/>
      <c r="FD108"/>
      <c r="FE108"/>
      <c r="FF108"/>
      <c r="FG108"/>
      <c r="FH108"/>
      <c r="FI108"/>
      <c r="FJ108"/>
      <c r="FK108"/>
      <c r="FL108"/>
      <c r="FM108"/>
      <c r="FN108"/>
      <c r="FO108"/>
      <c r="FP108"/>
      <c r="FQ108"/>
      <c r="FR108"/>
      <c r="FS108"/>
      <c r="FT108"/>
      <c r="FU108"/>
      <c r="FV108"/>
      <c r="FW108"/>
      <c r="FX108"/>
      <c r="FY108"/>
      <c r="FZ108"/>
      <c r="GA108"/>
      <c r="GB108"/>
      <c r="GC108"/>
      <c r="GD108"/>
      <c r="GE108"/>
      <c r="GF108"/>
      <c r="GG108"/>
      <c r="GH108"/>
      <c r="GI108"/>
      <c r="GJ108"/>
      <c r="GK108"/>
      <c r="GL108"/>
      <c r="GM108"/>
      <c r="GN108"/>
      <c r="GO108"/>
      <c r="GP108"/>
      <c r="GQ108"/>
      <c r="GR108"/>
      <c r="GS108"/>
      <c r="GT108"/>
      <c r="GU108"/>
      <c r="GV108"/>
      <c r="GW108"/>
      <c r="GX108"/>
      <c r="GY108"/>
      <c r="GZ108"/>
      <c r="HA108"/>
      <c r="HB108"/>
      <c r="HC108"/>
      <c r="HD108"/>
      <c r="HE108"/>
      <c r="HF108"/>
      <c r="HG108"/>
      <c r="HH108"/>
      <c r="HI108"/>
      <c r="HJ108"/>
      <c r="HK108"/>
      <c r="HL108"/>
      <c r="HM108"/>
      <c r="HN108"/>
      <c r="HO108"/>
      <c r="HP108"/>
      <c r="HQ108"/>
      <c r="HR108"/>
      <c r="HS108"/>
      <c r="HT108"/>
      <c r="HU108"/>
      <c r="HV108"/>
      <c r="HW108"/>
      <c r="HX108"/>
      <c r="HY108"/>
      <c r="HZ108"/>
      <c r="IA108"/>
      <c r="IB108"/>
      <c r="IC108"/>
      <c r="ID108"/>
      <c r="IE108"/>
      <c r="IF108"/>
      <c r="IG108"/>
      <c r="IH108"/>
      <c r="II108"/>
      <c r="IJ108"/>
      <c r="IK108"/>
      <c r="IL108"/>
      <c r="IM108"/>
      <c r="IN108"/>
      <c r="IO108"/>
      <c r="IP108"/>
      <c r="IQ108"/>
      <c r="IR108"/>
      <c r="IS108"/>
      <c r="IT108"/>
      <c r="IU108"/>
      <c r="IV108"/>
      <c r="IW108"/>
      <c r="IX108"/>
      <c r="IY108"/>
      <c r="IZ108"/>
      <c r="JA108"/>
      <c r="JB108"/>
      <c r="JC108"/>
      <c r="JD108"/>
      <c r="JE108"/>
      <c r="JF108"/>
      <c r="JG108"/>
      <c r="JH108"/>
      <c r="JI108"/>
      <c r="JJ108"/>
      <c r="JK108"/>
      <c r="JL108"/>
      <c r="JM108"/>
      <c r="JN108"/>
      <c r="JO108"/>
      <c r="JP108"/>
      <c r="JQ108"/>
      <c r="JR108"/>
      <c r="JS108"/>
      <c r="JT108"/>
      <c r="JU108"/>
      <c r="JV108"/>
    </row>
    <row r="109" spans="2:282" s="9" customFormat="1" ht="14.5" hidden="1" x14ac:dyDescent="0.35">
      <c r="B109" s="10"/>
      <c r="C109" s="10"/>
      <c r="O109" s="10"/>
      <c r="P109" s="10"/>
      <c r="Q109" s="10"/>
      <c r="R109" s="10"/>
      <c r="S109" s="10"/>
      <c r="T109" s="10"/>
      <c r="U109" s="10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  <c r="DU109"/>
      <c r="DV109"/>
      <c r="DW109"/>
      <c r="DX109"/>
      <c r="DY109"/>
      <c r="DZ109"/>
      <c r="EA109"/>
      <c r="EB109"/>
      <c r="EC109"/>
      <c r="ED109"/>
      <c r="EE109"/>
      <c r="EF109"/>
      <c r="EG109"/>
      <c r="EH109"/>
      <c r="EI109"/>
      <c r="EJ109"/>
      <c r="EK109"/>
      <c r="EL109"/>
      <c r="EM109"/>
      <c r="EN109"/>
      <c r="EO109"/>
      <c r="EP109"/>
      <c r="EQ109"/>
      <c r="ER109"/>
      <c r="ES109"/>
      <c r="ET109"/>
      <c r="EU109"/>
      <c r="EV109"/>
      <c r="EW109"/>
      <c r="EX109"/>
      <c r="EY109"/>
      <c r="EZ109"/>
      <c r="FA109"/>
      <c r="FB109"/>
      <c r="FC109"/>
      <c r="FD109"/>
      <c r="FE109"/>
      <c r="FF109"/>
      <c r="FG109"/>
      <c r="FH109"/>
      <c r="FI109"/>
      <c r="FJ109"/>
      <c r="FK109"/>
      <c r="FL109"/>
      <c r="FM109"/>
      <c r="FN109"/>
      <c r="FO109"/>
      <c r="FP109"/>
      <c r="FQ109"/>
      <c r="FR109"/>
      <c r="FS109"/>
      <c r="FT109"/>
      <c r="FU109"/>
      <c r="FV109"/>
      <c r="FW109"/>
      <c r="FX109"/>
      <c r="FY109"/>
      <c r="FZ109"/>
      <c r="GA109"/>
      <c r="GB109"/>
      <c r="GC109"/>
      <c r="GD109"/>
      <c r="GE109"/>
      <c r="GF109"/>
      <c r="GG109"/>
      <c r="GH109"/>
      <c r="GI109"/>
      <c r="GJ109"/>
      <c r="GK109"/>
      <c r="GL109"/>
      <c r="GM109"/>
      <c r="GN109"/>
      <c r="GO109"/>
      <c r="GP109"/>
      <c r="GQ109"/>
      <c r="GR109"/>
      <c r="GS109"/>
      <c r="GT109"/>
      <c r="GU109"/>
      <c r="GV109"/>
      <c r="GW109"/>
      <c r="GX109"/>
      <c r="GY109"/>
      <c r="GZ109"/>
      <c r="HA109"/>
      <c r="HB109"/>
      <c r="HC109"/>
      <c r="HD109"/>
      <c r="HE109"/>
      <c r="HF109"/>
      <c r="HG109"/>
      <c r="HH109"/>
      <c r="HI109"/>
      <c r="HJ109"/>
      <c r="HK109"/>
      <c r="HL109"/>
      <c r="HM109"/>
      <c r="HN109"/>
      <c r="HO109"/>
      <c r="HP109"/>
      <c r="HQ109"/>
      <c r="HR109"/>
      <c r="HS109"/>
      <c r="HT109"/>
      <c r="HU109"/>
      <c r="HV109"/>
      <c r="HW109"/>
      <c r="HX109"/>
      <c r="HY109"/>
      <c r="HZ109"/>
      <c r="IA109"/>
      <c r="IB109"/>
      <c r="IC109"/>
      <c r="ID109"/>
      <c r="IE109"/>
      <c r="IF109"/>
      <c r="IG109"/>
      <c r="IH109"/>
      <c r="II109"/>
      <c r="IJ109"/>
      <c r="IK109"/>
      <c r="IL109"/>
      <c r="IM109"/>
      <c r="IN109"/>
      <c r="IO109"/>
      <c r="IP109"/>
      <c r="IQ109"/>
      <c r="IR109"/>
      <c r="IS109"/>
      <c r="IT109"/>
      <c r="IU109"/>
      <c r="IV109"/>
      <c r="IW109"/>
      <c r="IX109"/>
      <c r="IY109"/>
      <c r="IZ109"/>
      <c r="JA109"/>
      <c r="JB109"/>
      <c r="JC109"/>
      <c r="JD109"/>
      <c r="JE109"/>
      <c r="JF109"/>
      <c r="JG109"/>
      <c r="JH109"/>
      <c r="JI109"/>
      <c r="JJ109"/>
      <c r="JK109"/>
      <c r="JL109"/>
      <c r="JM109"/>
      <c r="JN109"/>
      <c r="JO109"/>
      <c r="JP109"/>
      <c r="JQ109"/>
      <c r="JR109"/>
      <c r="JS109"/>
      <c r="JT109"/>
      <c r="JU109"/>
      <c r="JV109"/>
    </row>
    <row r="110" spans="2:282" s="9" customFormat="1" ht="14.5" hidden="1" x14ac:dyDescent="0.35">
      <c r="B110" s="10"/>
      <c r="C110" s="10"/>
      <c r="O110" s="10"/>
      <c r="P110" s="10"/>
      <c r="Q110" s="10"/>
      <c r="R110" s="10"/>
      <c r="S110" s="10"/>
      <c r="T110" s="10"/>
      <c r="U110" s="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  <c r="DU110"/>
      <c r="DV110"/>
      <c r="DW110"/>
      <c r="DX110"/>
      <c r="DY110"/>
      <c r="DZ110"/>
      <c r="EA110"/>
      <c r="EB110"/>
      <c r="EC110"/>
      <c r="ED110"/>
      <c r="EE110"/>
      <c r="EF110"/>
      <c r="EG110"/>
      <c r="EH110"/>
      <c r="EI110"/>
      <c r="EJ110"/>
      <c r="EK110"/>
      <c r="EL110"/>
      <c r="EM110"/>
      <c r="EN110"/>
      <c r="EO110"/>
      <c r="EP110"/>
      <c r="EQ110"/>
      <c r="ER110"/>
      <c r="ES110"/>
      <c r="ET110"/>
      <c r="EU110"/>
      <c r="EV110"/>
      <c r="EW110"/>
      <c r="EX110"/>
      <c r="EY110"/>
      <c r="EZ110"/>
      <c r="FA110"/>
      <c r="FB110"/>
      <c r="FC110"/>
      <c r="FD110"/>
      <c r="FE110"/>
      <c r="FF110"/>
      <c r="FG110"/>
      <c r="FH110"/>
      <c r="FI110"/>
      <c r="FJ110"/>
      <c r="FK110"/>
      <c r="FL110"/>
      <c r="FM110"/>
      <c r="FN110"/>
      <c r="FO110"/>
      <c r="FP110"/>
      <c r="FQ110"/>
      <c r="FR110"/>
      <c r="FS110"/>
      <c r="FT110"/>
      <c r="FU110"/>
      <c r="FV110"/>
      <c r="FW110"/>
      <c r="FX110"/>
      <c r="FY110"/>
      <c r="FZ110"/>
      <c r="GA110"/>
      <c r="GB110"/>
      <c r="GC110"/>
      <c r="GD110"/>
      <c r="GE110"/>
      <c r="GF110"/>
      <c r="GG110"/>
      <c r="GH110"/>
      <c r="GI110"/>
      <c r="GJ110"/>
      <c r="GK110"/>
      <c r="GL110"/>
      <c r="GM110"/>
      <c r="GN110"/>
      <c r="GO110"/>
      <c r="GP110"/>
      <c r="GQ110"/>
      <c r="GR110"/>
      <c r="GS110"/>
      <c r="GT110"/>
      <c r="GU110"/>
      <c r="GV110"/>
      <c r="GW110"/>
      <c r="GX110"/>
      <c r="GY110"/>
      <c r="GZ110"/>
      <c r="HA110"/>
      <c r="HB110"/>
      <c r="HC110"/>
      <c r="HD110"/>
      <c r="HE110"/>
      <c r="HF110"/>
      <c r="HG110"/>
      <c r="HH110"/>
      <c r="HI110"/>
      <c r="HJ110"/>
      <c r="HK110"/>
      <c r="HL110"/>
      <c r="HM110"/>
      <c r="HN110"/>
      <c r="HO110"/>
      <c r="HP110"/>
      <c r="HQ110"/>
      <c r="HR110"/>
      <c r="HS110"/>
      <c r="HT110"/>
      <c r="HU110"/>
      <c r="HV110"/>
      <c r="HW110"/>
      <c r="HX110"/>
      <c r="HY110"/>
      <c r="HZ110"/>
      <c r="IA110"/>
      <c r="IB110"/>
      <c r="IC110"/>
      <c r="ID110"/>
      <c r="IE110"/>
      <c r="IF110"/>
      <c r="IG110"/>
      <c r="IH110"/>
      <c r="II110"/>
      <c r="IJ110"/>
      <c r="IK110"/>
      <c r="IL110"/>
      <c r="IM110"/>
      <c r="IN110"/>
      <c r="IO110"/>
      <c r="IP110"/>
      <c r="IQ110"/>
      <c r="IR110"/>
      <c r="IS110"/>
      <c r="IT110"/>
      <c r="IU110"/>
      <c r="IV110"/>
      <c r="IW110"/>
      <c r="IX110"/>
      <c r="IY110"/>
      <c r="IZ110"/>
      <c r="JA110"/>
      <c r="JB110"/>
      <c r="JC110"/>
      <c r="JD110"/>
      <c r="JE110"/>
      <c r="JF110"/>
      <c r="JG110"/>
      <c r="JH110"/>
      <c r="JI110"/>
      <c r="JJ110"/>
      <c r="JK110"/>
      <c r="JL110"/>
      <c r="JM110"/>
      <c r="JN110"/>
      <c r="JO110"/>
      <c r="JP110"/>
      <c r="JQ110"/>
      <c r="JR110"/>
      <c r="JS110"/>
      <c r="JT110"/>
      <c r="JU110"/>
      <c r="JV110"/>
    </row>
    <row r="111" spans="2:282" s="9" customFormat="1" ht="14.5" hidden="1" x14ac:dyDescent="0.35">
      <c r="B111" s="10"/>
      <c r="C111" s="10"/>
      <c r="O111" s="10"/>
      <c r="P111" s="10"/>
      <c r="Q111" s="10"/>
      <c r="R111" s="10"/>
      <c r="S111" s="10"/>
      <c r="T111" s="10"/>
      <c r="U111" s="10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  <c r="DU111"/>
      <c r="DV111"/>
      <c r="DW111"/>
      <c r="DX111"/>
      <c r="DY111"/>
      <c r="DZ111"/>
      <c r="EA111"/>
      <c r="EB111"/>
      <c r="EC111"/>
      <c r="ED111"/>
      <c r="EE111"/>
      <c r="EF111"/>
      <c r="EG111"/>
      <c r="EH111"/>
      <c r="EI111"/>
      <c r="EJ111"/>
      <c r="EK111"/>
      <c r="EL111"/>
      <c r="EM111"/>
      <c r="EN111"/>
      <c r="EO111"/>
      <c r="EP111"/>
      <c r="EQ111"/>
      <c r="ER111"/>
      <c r="ES111"/>
      <c r="ET111"/>
      <c r="EU111"/>
      <c r="EV111"/>
      <c r="EW111"/>
      <c r="EX111"/>
      <c r="EY111"/>
      <c r="EZ111"/>
      <c r="FA111"/>
      <c r="FB111"/>
      <c r="FC111"/>
      <c r="FD111"/>
      <c r="FE111"/>
      <c r="FF111"/>
      <c r="FG111"/>
      <c r="FH111"/>
      <c r="FI111"/>
      <c r="FJ111"/>
      <c r="FK111"/>
      <c r="FL111"/>
      <c r="FM111"/>
      <c r="FN111"/>
      <c r="FO111"/>
      <c r="FP111"/>
      <c r="FQ111"/>
      <c r="FR111"/>
      <c r="FS111"/>
      <c r="FT111"/>
      <c r="FU111"/>
      <c r="FV111"/>
      <c r="FW111"/>
      <c r="FX111"/>
      <c r="FY111"/>
      <c r="FZ111"/>
      <c r="GA111"/>
      <c r="GB111"/>
      <c r="GC111"/>
      <c r="GD111"/>
      <c r="GE111"/>
      <c r="GF111"/>
      <c r="GG111"/>
      <c r="GH111"/>
      <c r="GI111"/>
      <c r="GJ111"/>
      <c r="GK111"/>
      <c r="GL111"/>
      <c r="GM111"/>
      <c r="GN111"/>
      <c r="GO111"/>
      <c r="GP111"/>
      <c r="GQ111"/>
      <c r="GR111"/>
      <c r="GS111"/>
      <c r="GT111"/>
      <c r="GU111"/>
      <c r="GV111"/>
      <c r="GW111"/>
      <c r="GX111"/>
      <c r="GY111"/>
      <c r="GZ111"/>
      <c r="HA111"/>
      <c r="HB111"/>
      <c r="HC111"/>
      <c r="HD111"/>
      <c r="HE111"/>
      <c r="HF111"/>
      <c r="HG111"/>
      <c r="HH111"/>
      <c r="HI111"/>
      <c r="HJ111"/>
      <c r="HK111"/>
      <c r="HL111"/>
      <c r="HM111"/>
      <c r="HN111"/>
      <c r="HO111"/>
      <c r="HP111"/>
      <c r="HQ111"/>
      <c r="HR111"/>
      <c r="HS111"/>
      <c r="HT111"/>
      <c r="HU111"/>
      <c r="HV111"/>
      <c r="HW111"/>
      <c r="HX111"/>
      <c r="HY111"/>
      <c r="HZ111"/>
      <c r="IA111"/>
      <c r="IB111"/>
      <c r="IC111"/>
      <c r="ID111"/>
      <c r="IE111"/>
      <c r="IF111"/>
      <c r="IG111"/>
      <c r="IH111"/>
      <c r="II111"/>
      <c r="IJ111"/>
      <c r="IK111"/>
      <c r="IL111"/>
      <c r="IM111"/>
      <c r="IN111"/>
      <c r="IO111"/>
      <c r="IP111"/>
      <c r="IQ111"/>
      <c r="IR111"/>
      <c r="IS111"/>
      <c r="IT111"/>
      <c r="IU111"/>
      <c r="IV111"/>
      <c r="IW111"/>
      <c r="IX111"/>
      <c r="IY111"/>
      <c r="IZ111"/>
      <c r="JA111"/>
      <c r="JB111"/>
      <c r="JC111"/>
      <c r="JD111"/>
      <c r="JE111"/>
      <c r="JF111"/>
      <c r="JG111"/>
      <c r="JH111"/>
      <c r="JI111"/>
      <c r="JJ111"/>
      <c r="JK111"/>
      <c r="JL111"/>
      <c r="JM111"/>
      <c r="JN111"/>
      <c r="JO111"/>
      <c r="JP111"/>
      <c r="JQ111"/>
      <c r="JR111"/>
      <c r="JS111"/>
      <c r="JT111"/>
      <c r="JU111"/>
      <c r="JV111"/>
    </row>
    <row r="112" spans="2:282" s="9" customFormat="1" ht="14.5" hidden="1" x14ac:dyDescent="0.35">
      <c r="B112" s="10"/>
      <c r="C112" s="10"/>
      <c r="O112" s="10"/>
      <c r="P112" s="10"/>
      <c r="Q112" s="10"/>
      <c r="R112" s="10"/>
      <c r="S112" s="10"/>
      <c r="T112" s="10"/>
      <c r="U112" s="10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  <c r="DU112"/>
      <c r="DV112"/>
      <c r="DW112"/>
      <c r="DX112"/>
      <c r="DY112"/>
      <c r="DZ112"/>
      <c r="EA112"/>
      <c r="EB112"/>
      <c r="EC112"/>
      <c r="ED112"/>
      <c r="EE112"/>
      <c r="EF112"/>
      <c r="EG112"/>
      <c r="EH112"/>
      <c r="EI112"/>
      <c r="EJ112"/>
      <c r="EK112"/>
      <c r="EL112"/>
      <c r="EM112"/>
      <c r="EN112"/>
      <c r="EO112"/>
      <c r="EP112"/>
      <c r="EQ112"/>
      <c r="ER112"/>
      <c r="ES112"/>
      <c r="ET112"/>
      <c r="EU112"/>
      <c r="EV112"/>
      <c r="EW112"/>
      <c r="EX112"/>
      <c r="EY112"/>
      <c r="EZ112"/>
      <c r="FA112"/>
      <c r="FB112"/>
      <c r="FC112"/>
      <c r="FD112"/>
      <c r="FE112"/>
      <c r="FF112"/>
      <c r="FG112"/>
      <c r="FH112"/>
      <c r="FI112"/>
      <c r="FJ112"/>
      <c r="FK112"/>
      <c r="FL112"/>
      <c r="FM112"/>
      <c r="FN112"/>
      <c r="FO112"/>
      <c r="FP112"/>
      <c r="FQ112"/>
      <c r="FR112"/>
      <c r="FS112"/>
      <c r="FT112"/>
      <c r="FU112"/>
      <c r="FV112"/>
      <c r="FW112"/>
      <c r="FX112"/>
      <c r="FY112"/>
      <c r="FZ112"/>
      <c r="GA112"/>
      <c r="GB112"/>
      <c r="GC112"/>
      <c r="GD112"/>
      <c r="GE112"/>
      <c r="GF112"/>
      <c r="GG112"/>
      <c r="GH112"/>
      <c r="GI112"/>
      <c r="GJ112"/>
      <c r="GK112"/>
      <c r="GL112"/>
      <c r="GM112"/>
      <c r="GN112"/>
      <c r="GO112"/>
      <c r="GP112"/>
      <c r="GQ112"/>
      <c r="GR112"/>
      <c r="GS112"/>
      <c r="GT112"/>
      <c r="GU112"/>
      <c r="GV112"/>
      <c r="GW112"/>
      <c r="GX112"/>
      <c r="GY112"/>
      <c r="GZ112"/>
      <c r="HA112"/>
      <c r="HB112"/>
      <c r="HC112"/>
      <c r="HD112"/>
      <c r="HE112"/>
      <c r="HF112"/>
      <c r="HG112"/>
      <c r="HH112"/>
      <c r="HI112"/>
      <c r="HJ112"/>
      <c r="HK112"/>
      <c r="HL112"/>
      <c r="HM112"/>
      <c r="HN112"/>
      <c r="HO112"/>
      <c r="HP112"/>
      <c r="HQ112"/>
      <c r="HR112"/>
      <c r="HS112"/>
      <c r="HT112"/>
      <c r="HU112"/>
      <c r="HV112"/>
      <c r="HW112"/>
      <c r="HX112"/>
      <c r="HY112"/>
      <c r="HZ112"/>
      <c r="IA112"/>
      <c r="IB112"/>
      <c r="IC112"/>
      <c r="ID112"/>
      <c r="IE112"/>
      <c r="IF112"/>
      <c r="IG112"/>
      <c r="IH112"/>
      <c r="II112"/>
      <c r="IJ112"/>
      <c r="IK112"/>
      <c r="IL112"/>
      <c r="IM112"/>
      <c r="IN112"/>
      <c r="IO112"/>
      <c r="IP112"/>
      <c r="IQ112"/>
      <c r="IR112"/>
      <c r="IS112"/>
      <c r="IT112"/>
      <c r="IU112"/>
      <c r="IV112"/>
      <c r="IW112"/>
      <c r="IX112"/>
      <c r="IY112"/>
      <c r="IZ112"/>
      <c r="JA112"/>
      <c r="JB112"/>
      <c r="JC112"/>
      <c r="JD112"/>
      <c r="JE112"/>
      <c r="JF112"/>
      <c r="JG112"/>
      <c r="JH112"/>
      <c r="JI112"/>
      <c r="JJ112"/>
      <c r="JK112"/>
      <c r="JL112"/>
      <c r="JM112"/>
      <c r="JN112"/>
      <c r="JO112"/>
      <c r="JP112"/>
      <c r="JQ112"/>
      <c r="JR112"/>
      <c r="JS112"/>
      <c r="JT112"/>
      <c r="JU112"/>
      <c r="JV112"/>
    </row>
    <row r="113" spans="2:282" s="9" customFormat="1" ht="14.5" hidden="1" x14ac:dyDescent="0.35">
      <c r="B113" s="10"/>
      <c r="C113" s="10"/>
      <c r="O113" s="10"/>
      <c r="P113" s="10"/>
      <c r="Q113" s="10"/>
      <c r="R113" s="10"/>
      <c r="S113" s="10"/>
      <c r="T113" s="10"/>
      <c r="U113" s="10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  <c r="DU113"/>
      <c r="DV113"/>
      <c r="DW113"/>
      <c r="DX113"/>
      <c r="DY113"/>
      <c r="DZ113"/>
      <c r="EA113"/>
      <c r="EB113"/>
      <c r="EC113"/>
      <c r="ED113"/>
      <c r="EE113"/>
      <c r="EF113"/>
      <c r="EG113"/>
      <c r="EH113"/>
      <c r="EI113"/>
      <c r="EJ113"/>
      <c r="EK113"/>
      <c r="EL113"/>
      <c r="EM113"/>
      <c r="EN113"/>
      <c r="EO113"/>
      <c r="EP113"/>
      <c r="EQ113"/>
      <c r="ER113"/>
      <c r="ES113"/>
      <c r="ET113"/>
      <c r="EU113"/>
      <c r="EV113"/>
      <c r="EW113"/>
      <c r="EX113"/>
      <c r="EY113"/>
      <c r="EZ113"/>
      <c r="FA113"/>
      <c r="FB113"/>
      <c r="FC113"/>
      <c r="FD113"/>
      <c r="FE113"/>
      <c r="FF113"/>
      <c r="FG113"/>
      <c r="FH113"/>
      <c r="FI113"/>
      <c r="FJ113"/>
      <c r="FK113"/>
      <c r="FL113"/>
      <c r="FM113"/>
      <c r="FN113"/>
      <c r="FO113"/>
      <c r="FP113"/>
      <c r="FQ113"/>
      <c r="FR113"/>
      <c r="FS113"/>
      <c r="FT113"/>
      <c r="FU113"/>
      <c r="FV113"/>
      <c r="FW113"/>
      <c r="FX113"/>
      <c r="FY113"/>
      <c r="FZ113"/>
      <c r="GA113"/>
      <c r="GB113"/>
      <c r="GC113"/>
      <c r="GD113"/>
      <c r="GE113"/>
      <c r="GF113"/>
      <c r="GG113"/>
      <c r="GH113"/>
      <c r="GI113"/>
      <c r="GJ113"/>
      <c r="GK113"/>
      <c r="GL113"/>
      <c r="GM113"/>
      <c r="GN113"/>
      <c r="GO113"/>
      <c r="GP113"/>
      <c r="GQ113"/>
      <c r="GR113"/>
      <c r="GS113"/>
      <c r="GT113"/>
      <c r="GU113"/>
      <c r="GV113"/>
      <c r="GW113"/>
      <c r="GX113"/>
      <c r="GY113"/>
      <c r="GZ113"/>
      <c r="HA113"/>
      <c r="HB113"/>
      <c r="HC113"/>
      <c r="HD113"/>
      <c r="HE113"/>
      <c r="HF113"/>
      <c r="HG113"/>
      <c r="HH113"/>
      <c r="HI113"/>
      <c r="HJ113"/>
      <c r="HK113"/>
      <c r="HL113"/>
      <c r="HM113"/>
      <c r="HN113"/>
      <c r="HO113"/>
      <c r="HP113"/>
      <c r="HQ113"/>
      <c r="HR113"/>
      <c r="HS113"/>
      <c r="HT113"/>
      <c r="HU113"/>
      <c r="HV113"/>
      <c r="HW113"/>
      <c r="HX113"/>
      <c r="HY113"/>
      <c r="HZ113"/>
      <c r="IA113"/>
      <c r="IB113"/>
      <c r="IC113"/>
      <c r="ID113"/>
      <c r="IE113"/>
      <c r="IF113"/>
      <c r="IG113"/>
      <c r="IH113"/>
      <c r="II113"/>
      <c r="IJ113"/>
      <c r="IK113"/>
      <c r="IL113"/>
      <c r="IM113"/>
      <c r="IN113"/>
      <c r="IO113"/>
      <c r="IP113"/>
      <c r="IQ113"/>
      <c r="IR113"/>
      <c r="IS113"/>
      <c r="IT113"/>
      <c r="IU113"/>
      <c r="IV113"/>
      <c r="IW113"/>
      <c r="IX113"/>
      <c r="IY113"/>
      <c r="IZ113"/>
      <c r="JA113"/>
      <c r="JB113"/>
      <c r="JC113"/>
      <c r="JD113"/>
      <c r="JE113"/>
      <c r="JF113"/>
      <c r="JG113"/>
      <c r="JH113"/>
      <c r="JI113"/>
      <c r="JJ113"/>
      <c r="JK113"/>
      <c r="JL113"/>
      <c r="JM113"/>
      <c r="JN113"/>
      <c r="JO113"/>
      <c r="JP113"/>
      <c r="JQ113"/>
      <c r="JR113"/>
      <c r="JS113"/>
      <c r="JT113"/>
      <c r="JU113"/>
      <c r="JV113"/>
    </row>
    <row r="114" spans="2:282" s="9" customFormat="1" ht="14.5" hidden="1" x14ac:dyDescent="0.35">
      <c r="B114" s="10"/>
      <c r="C114" s="10"/>
      <c r="O114" s="10"/>
      <c r="P114" s="10"/>
      <c r="Q114" s="10"/>
      <c r="R114" s="10"/>
      <c r="S114" s="10"/>
      <c r="T114" s="10"/>
      <c r="U114" s="10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  <c r="DU114"/>
      <c r="DV114"/>
      <c r="DW114"/>
      <c r="DX114"/>
      <c r="DY114"/>
      <c r="DZ114"/>
      <c r="EA114"/>
      <c r="EB114"/>
      <c r="EC114"/>
      <c r="ED114"/>
      <c r="EE114"/>
      <c r="EF114"/>
      <c r="EG114"/>
      <c r="EH114"/>
      <c r="EI114"/>
      <c r="EJ114"/>
      <c r="EK114"/>
      <c r="EL114"/>
      <c r="EM114"/>
      <c r="EN114"/>
      <c r="EO114"/>
      <c r="EP114"/>
      <c r="EQ114"/>
      <c r="ER114"/>
      <c r="ES114"/>
      <c r="ET114"/>
      <c r="EU114"/>
      <c r="EV114"/>
      <c r="EW114"/>
      <c r="EX114"/>
      <c r="EY114"/>
      <c r="EZ114"/>
      <c r="FA114"/>
      <c r="FB114"/>
      <c r="FC114"/>
      <c r="FD114"/>
      <c r="FE114"/>
      <c r="FF114"/>
      <c r="FG114"/>
      <c r="FH114"/>
      <c r="FI114"/>
      <c r="FJ114"/>
      <c r="FK114"/>
      <c r="FL114"/>
      <c r="FM114"/>
      <c r="FN114"/>
      <c r="FO114"/>
      <c r="FP114"/>
      <c r="FQ114"/>
      <c r="FR114"/>
      <c r="FS114"/>
      <c r="FT114"/>
      <c r="FU114"/>
      <c r="FV114"/>
      <c r="FW114"/>
      <c r="FX114"/>
      <c r="FY114"/>
      <c r="FZ114"/>
      <c r="GA114"/>
      <c r="GB114"/>
      <c r="GC114"/>
      <c r="GD114"/>
      <c r="GE114"/>
      <c r="GF114"/>
      <c r="GG114"/>
      <c r="GH114"/>
      <c r="GI114"/>
      <c r="GJ114"/>
      <c r="GK114"/>
      <c r="GL114"/>
      <c r="GM114"/>
      <c r="GN114"/>
      <c r="GO114"/>
      <c r="GP114"/>
      <c r="GQ114"/>
      <c r="GR114"/>
      <c r="GS114"/>
      <c r="GT114"/>
      <c r="GU114"/>
      <c r="GV114"/>
      <c r="GW114"/>
      <c r="GX114"/>
      <c r="GY114"/>
      <c r="GZ114"/>
      <c r="HA114"/>
      <c r="HB114"/>
      <c r="HC114"/>
      <c r="HD114"/>
      <c r="HE114"/>
      <c r="HF114"/>
      <c r="HG114"/>
      <c r="HH114"/>
      <c r="HI114"/>
      <c r="HJ114"/>
      <c r="HK114"/>
      <c r="HL114"/>
      <c r="HM114"/>
      <c r="HN114"/>
      <c r="HO114"/>
      <c r="HP114"/>
      <c r="HQ114"/>
      <c r="HR114"/>
      <c r="HS114"/>
      <c r="HT114"/>
      <c r="HU114"/>
      <c r="HV114"/>
      <c r="HW114"/>
      <c r="HX114"/>
      <c r="HY114"/>
      <c r="HZ114"/>
      <c r="IA114"/>
      <c r="IB114"/>
      <c r="IC114"/>
      <c r="ID114"/>
      <c r="IE114"/>
      <c r="IF114"/>
      <c r="IG114"/>
      <c r="IH114"/>
      <c r="II114"/>
      <c r="IJ114"/>
      <c r="IK114"/>
      <c r="IL114"/>
      <c r="IM114"/>
      <c r="IN114"/>
      <c r="IO114"/>
      <c r="IP114"/>
      <c r="IQ114"/>
      <c r="IR114"/>
      <c r="IS114"/>
      <c r="IT114"/>
      <c r="IU114"/>
      <c r="IV114"/>
      <c r="IW114"/>
      <c r="IX114"/>
      <c r="IY114"/>
      <c r="IZ114"/>
      <c r="JA114"/>
      <c r="JB114"/>
      <c r="JC114"/>
      <c r="JD114"/>
      <c r="JE114"/>
      <c r="JF114"/>
      <c r="JG114"/>
      <c r="JH114"/>
      <c r="JI114"/>
      <c r="JJ114"/>
      <c r="JK114"/>
      <c r="JL114"/>
      <c r="JM114"/>
      <c r="JN114"/>
      <c r="JO114"/>
      <c r="JP114"/>
      <c r="JQ114"/>
      <c r="JR114"/>
      <c r="JS114"/>
      <c r="JT114"/>
      <c r="JU114"/>
      <c r="JV114"/>
    </row>
    <row r="115" spans="2:282" s="9" customFormat="1" ht="14.5" hidden="1" x14ac:dyDescent="0.35">
      <c r="B115" s="10"/>
      <c r="C115" s="10"/>
      <c r="O115" s="10"/>
      <c r="P115" s="10"/>
      <c r="Q115" s="10"/>
      <c r="R115" s="10"/>
      <c r="S115" s="10"/>
      <c r="T115" s="10"/>
      <c r="U115" s="10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  <c r="DU115"/>
      <c r="DV115"/>
      <c r="DW115"/>
      <c r="DX115"/>
      <c r="DY115"/>
      <c r="DZ115"/>
      <c r="EA115"/>
      <c r="EB115"/>
      <c r="EC115"/>
      <c r="ED115"/>
      <c r="EE115"/>
      <c r="EF115"/>
      <c r="EG115"/>
      <c r="EH115"/>
      <c r="EI115"/>
      <c r="EJ115"/>
      <c r="EK115"/>
      <c r="EL115"/>
      <c r="EM115"/>
      <c r="EN115"/>
      <c r="EO115"/>
      <c r="EP115"/>
      <c r="EQ115"/>
      <c r="ER115"/>
      <c r="ES115"/>
      <c r="ET115"/>
      <c r="EU115"/>
      <c r="EV115"/>
      <c r="EW115"/>
      <c r="EX115"/>
      <c r="EY115"/>
      <c r="EZ115"/>
      <c r="FA115"/>
      <c r="FB115"/>
      <c r="FC115"/>
      <c r="FD115"/>
      <c r="FE115"/>
      <c r="FF115"/>
      <c r="FG115"/>
      <c r="FH115"/>
      <c r="FI115"/>
      <c r="FJ115"/>
      <c r="FK115"/>
      <c r="FL115"/>
      <c r="FM115"/>
      <c r="FN115"/>
      <c r="FO115"/>
      <c r="FP115"/>
      <c r="FQ115"/>
      <c r="FR115"/>
      <c r="FS115"/>
      <c r="FT115"/>
      <c r="FU115"/>
      <c r="FV115"/>
      <c r="FW115"/>
      <c r="FX115"/>
      <c r="FY115"/>
      <c r="FZ115"/>
      <c r="GA115"/>
      <c r="GB115"/>
      <c r="GC115"/>
      <c r="GD115"/>
      <c r="GE115"/>
      <c r="GF115"/>
      <c r="GG115"/>
      <c r="GH115"/>
      <c r="GI115"/>
      <c r="GJ115"/>
      <c r="GK115"/>
      <c r="GL115"/>
      <c r="GM115"/>
      <c r="GN115"/>
      <c r="GO115"/>
      <c r="GP115"/>
      <c r="GQ115"/>
      <c r="GR115"/>
      <c r="GS115"/>
      <c r="GT115"/>
      <c r="GU115"/>
      <c r="GV115"/>
      <c r="GW115"/>
      <c r="GX115"/>
      <c r="GY115"/>
      <c r="GZ115"/>
      <c r="HA115"/>
      <c r="HB115"/>
      <c r="HC115"/>
      <c r="HD115"/>
      <c r="HE115"/>
      <c r="HF115"/>
      <c r="HG115"/>
      <c r="HH115"/>
      <c r="HI115"/>
      <c r="HJ115"/>
      <c r="HK115"/>
      <c r="HL115"/>
      <c r="HM115"/>
      <c r="HN115"/>
      <c r="HO115"/>
      <c r="HP115"/>
      <c r="HQ115"/>
      <c r="HR115"/>
      <c r="HS115"/>
      <c r="HT115"/>
      <c r="HU115"/>
      <c r="HV115"/>
      <c r="HW115"/>
      <c r="HX115"/>
      <c r="HY115"/>
      <c r="HZ115"/>
      <c r="IA115"/>
      <c r="IB115"/>
      <c r="IC115"/>
      <c r="ID115"/>
      <c r="IE115"/>
      <c r="IF115"/>
      <c r="IG115"/>
      <c r="IH115"/>
      <c r="II115"/>
      <c r="IJ115"/>
      <c r="IK115"/>
      <c r="IL115"/>
      <c r="IM115"/>
      <c r="IN115"/>
      <c r="IO115"/>
      <c r="IP115"/>
      <c r="IQ115"/>
      <c r="IR115"/>
      <c r="IS115"/>
      <c r="IT115"/>
      <c r="IU115"/>
      <c r="IV115"/>
      <c r="IW115"/>
      <c r="IX115"/>
      <c r="IY115"/>
      <c r="IZ115"/>
      <c r="JA115"/>
      <c r="JB115"/>
      <c r="JC115"/>
      <c r="JD115"/>
      <c r="JE115"/>
      <c r="JF115"/>
      <c r="JG115"/>
      <c r="JH115"/>
      <c r="JI115"/>
      <c r="JJ115"/>
      <c r="JK115"/>
      <c r="JL115"/>
      <c r="JM115"/>
      <c r="JN115"/>
      <c r="JO115"/>
      <c r="JP115"/>
      <c r="JQ115"/>
      <c r="JR115"/>
      <c r="JS115"/>
      <c r="JT115"/>
      <c r="JU115"/>
      <c r="JV115"/>
    </row>
    <row r="116" spans="2:282" s="9" customFormat="1" ht="14.5" hidden="1" x14ac:dyDescent="0.35">
      <c r="B116" s="10"/>
      <c r="C116" s="10"/>
      <c r="O116" s="10"/>
      <c r="P116" s="10"/>
      <c r="Q116" s="10"/>
      <c r="R116" s="10"/>
      <c r="S116" s="10"/>
      <c r="T116" s="10"/>
      <c r="U116" s="10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  <c r="DU116"/>
      <c r="DV116"/>
      <c r="DW116"/>
      <c r="DX116"/>
      <c r="DY116"/>
      <c r="DZ116"/>
      <c r="EA116"/>
      <c r="EB116"/>
      <c r="EC116"/>
      <c r="ED116"/>
      <c r="EE116"/>
      <c r="EF116"/>
      <c r="EG116"/>
      <c r="EH116"/>
      <c r="EI116"/>
      <c r="EJ116"/>
      <c r="EK116"/>
      <c r="EL116"/>
      <c r="EM116"/>
      <c r="EN116"/>
      <c r="EO116"/>
      <c r="EP116"/>
      <c r="EQ116"/>
      <c r="ER116"/>
      <c r="ES116"/>
      <c r="ET116"/>
      <c r="EU116"/>
      <c r="EV116"/>
      <c r="EW116"/>
      <c r="EX116"/>
      <c r="EY116"/>
      <c r="EZ116"/>
      <c r="FA116"/>
      <c r="FB116"/>
      <c r="FC116"/>
      <c r="FD116"/>
      <c r="FE116"/>
      <c r="FF116"/>
      <c r="FG116"/>
      <c r="FH116"/>
      <c r="FI116"/>
      <c r="FJ116"/>
      <c r="FK116"/>
      <c r="FL116"/>
      <c r="FM116"/>
      <c r="FN116"/>
      <c r="FO116"/>
      <c r="FP116"/>
      <c r="FQ116"/>
      <c r="FR116"/>
      <c r="FS116"/>
      <c r="FT116"/>
      <c r="FU116"/>
      <c r="FV116"/>
      <c r="FW116"/>
      <c r="FX116"/>
      <c r="FY116"/>
      <c r="FZ116"/>
      <c r="GA116"/>
      <c r="GB116"/>
      <c r="GC116"/>
      <c r="GD116"/>
      <c r="GE116"/>
      <c r="GF116"/>
      <c r="GG116"/>
      <c r="GH116"/>
      <c r="GI116"/>
      <c r="GJ116"/>
      <c r="GK116"/>
      <c r="GL116"/>
      <c r="GM116"/>
      <c r="GN116"/>
      <c r="GO116"/>
      <c r="GP116"/>
      <c r="GQ116"/>
      <c r="GR116"/>
      <c r="GS116"/>
      <c r="GT116"/>
      <c r="GU116"/>
      <c r="GV116"/>
      <c r="GW116"/>
      <c r="GX116"/>
      <c r="GY116"/>
      <c r="GZ116"/>
      <c r="HA116"/>
      <c r="HB116"/>
      <c r="HC116"/>
      <c r="HD116"/>
      <c r="HE116"/>
      <c r="HF116"/>
      <c r="HG116"/>
      <c r="HH116"/>
      <c r="HI116"/>
      <c r="HJ116"/>
      <c r="HK116"/>
      <c r="HL116"/>
      <c r="HM116"/>
      <c r="HN116"/>
      <c r="HO116"/>
      <c r="HP116"/>
      <c r="HQ116"/>
      <c r="HR116"/>
      <c r="HS116"/>
      <c r="HT116"/>
      <c r="HU116"/>
      <c r="HV116"/>
      <c r="HW116"/>
      <c r="HX116"/>
      <c r="HY116"/>
      <c r="HZ116"/>
      <c r="IA116"/>
      <c r="IB116"/>
      <c r="IC116"/>
      <c r="ID116"/>
      <c r="IE116"/>
      <c r="IF116"/>
      <c r="IG116"/>
      <c r="IH116"/>
      <c r="II116"/>
      <c r="IJ116"/>
      <c r="IK116"/>
      <c r="IL116"/>
      <c r="IM116"/>
      <c r="IN116"/>
      <c r="IO116"/>
      <c r="IP116"/>
      <c r="IQ116"/>
      <c r="IR116"/>
      <c r="IS116"/>
      <c r="IT116"/>
      <c r="IU116"/>
      <c r="IV116"/>
      <c r="IW116"/>
      <c r="IX116"/>
      <c r="IY116"/>
      <c r="IZ116"/>
      <c r="JA116"/>
      <c r="JB116"/>
      <c r="JC116"/>
      <c r="JD116"/>
      <c r="JE116"/>
      <c r="JF116"/>
      <c r="JG116"/>
      <c r="JH116"/>
      <c r="JI116"/>
      <c r="JJ116"/>
      <c r="JK116"/>
      <c r="JL116"/>
      <c r="JM116"/>
      <c r="JN116"/>
      <c r="JO116"/>
      <c r="JP116"/>
      <c r="JQ116"/>
      <c r="JR116"/>
      <c r="JS116"/>
      <c r="JT116"/>
      <c r="JU116"/>
      <c r="JV116"/>
    </row>
    <row r="117" spans="2:282" s="9" customFormat="1" ht="14.5" hidden="1" x14ac:dyDescent="0.35">
      <c r="B117" s="10"/>
      <c r="C117" s="10"/>
      <c r="O117" s="10"/>
      <c r="P117" s="10"/>
      <c r="Q117" s="10"/>
      <c r="R117" s="10"/>
      <c r="S117" s="10"/>
      <c r="T117" s="10"/>
      <c r="U117" s="10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  <c r="DU117"/>
      <c r="DV117"/>
      <c r="DW117"/>
      <c r="DX117"/>
      <c r="DY117"/>
      <c r="DZ117"/>
      <c r="EA117"/>
      <c r="EB117"/>
      <c r="EC117"/>
      <c r="ED117"/>
      <c r="EE117"/>
      <c r="EF117"/>
      <c r="EG117"/>
      <c r="EH117"/>
      <c r="EI117"/>
      <c r="EJ117"/>
      <c r="EK117"/>
      <c r="EL117"/>
      <c r="EM117"/>
      <c r="EN117"/>
      <c r="EO117"/>
      <c r="EP117"/>
      <c r="EQ117"/>
      <c r="ER117"/>
      <c r="ES117"/>
      <c r="ET117"/>
      <c r="EU117"/>
      <c r="EV117"/>
      <c r="EW117"/>
      <c r="EX117"/>
      <c r="EY117"/>
      <c r="EZ117"/>
      <c r="FA117"/>
      <c r="FB117"/>
      <c r="FC117"/>
      <c r="FD117"/>
      <c r="FE117"/>
      <c r="FF117"/>
      <c r="FG117"/>
      <c r="FH117"/>
      <c r="FI117"/>
      <c r="FJ117"/>
      <c r="FK117"/>
      <c r="FL117"/>
      <c r="FM117"/>
      <c r="FN117"/>
      <c r="FO117"/>
      <c r="FP117"/>
      <c r="FQ117"/>
      <c r="FR117"/>
      <c r="FS117"/>
      <c r="FT117"/>
      <c r="FU117"/>
      <c r="FV117"/>
      <c r="FW117"/>
      <c r="FX117"/>
      <c r="FY117"/>
      <c r="FZ117"/>
      <c r="GA117"/>
      <c r="GB117"/>
      <c r="GC117"/>
      <c r="GD117"/>
      <c r="GE117"/>
      <c r="GF117"/>
      <c r="GG117"/>
      <c r="GH117"/>
      <c r="GI117"/>
      <c r="GJ117"/>
      <c r="GK117"/>
      <c r="GL117"/>
      <c r="GM117"/>
      <c r="GN117"/>
      <c r="GO117"/>
      <c r="GP117"/>
      <c r="GQ117"/>
      <c r="GR117"/>
      <c r="GS117"/>
      <c r="GT117"/>
      <c r="GU117"/>
      <c r="GV117"/>
      <c r="GW117"/>
      <c r="GX117"/>
      <c r="GY117"/>
      <c r="GZ117"/>
      <c r="HA117"/>
      <c r="HB117"/>
      <c r="HC117"/>
      <c r="HD117"/>
      <c r="HE117"/>
      <c r="HF117"/>
      <c r="HG117"/>
      <c r="HH117"/>
      <c r="HI117"/>
      <c r="HJ117"/>
      <c r="HK117"/>
      <c r="HL117"/>
      <c r="HM117"/>
      <c r="HN117"/>
      <c r="HO117"/>
      <c r="HP117"/>
      <c r="HQ117"/>
      <c r="HR117"/>
      <c r="HS117"/>
      <c r="HT117"/>
      <c r="HU117"/>
      <c r="HV117"/>
      <c r="HW117"/>
      <c r="HX117"/>
      <c r="HY117"/>
      <c r="HZ117"/>
      <c r="IA117"/>
      <c r="IB117"/>
      <c r="IC117"/>
      <c r="ID117"/>
      <c r="IE117"/>
      <c r="IF117"/>
      <c r="IG117"/>
      <c r="IH117"/>
      <c r="II117"/>
      <c r="IJ117"/>
      <c r="IK117"/>
      <c r="IL117"/>
      <c r="IM117"/>
      <c r="IN117"/>
      <c r="IO117"/>
      <c r="IP117"/>
      <c r="IQ117"/>
      <c r="IR117"/>
      <c r="IS117"/>
      <c r="IT117"/>
      <c r="IU117"/>
      <c r="IV117"/>
      <c r="IW117"/>
      <c r="IX117"/>
      <c r="IY117"/>
      <c r="IZ117"/>
      <c r="JA117"/>
      <c r="JB117"/>
      <c r="JC117"/>
      <c r="JD117"/>
      <c r="JE117"/>
      <c r="JF117"/>
      <c r="JG117"/>
      <c r="JH117"/>
      <c r="JI117"/>
      <c r="JJ117"/>
      <c r="JK117"/>
      <c r="JL117"/>
      <c r="JM117"/>
      <c r="JN117"/>
      <c r="JO117"/>
      <c r="JP117"/>
      <c r="JQ117"/>
      <c r="JR117"/>
      <c r="JS117"/>
      <c r="JT117"/>
      <c r="JU117"/>
      <c r="JV117"/>
    </row>
    <row r="118" spans="2:282" s="9" customFormat="1" ht="14.5" hidden="1" x14ac:dyDescent="0.35">
      <c r="B118" s="10"/>
      <c r="C118" s="10"/>
      <c r="O118" s="10"/>
      <c r="P118" s="10"/>
      <c r="Q118" s="10"/>
      <c r="R118" s="10"/>
      <c r="S118" s="10"/>
      <c r="T118" s="10"/>
      <c r="U118" s="10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  <c r="DU118"/>
      <c r="DV118"/>
      <c r="DW118"/>
      <c r="DX118"/>
      <c r="DY118"/>
      <c r="DZ118"/>
      <c r="EA118"/>
      <c r="EB118"/>
      <c r="EC118"/>
      <c r="ED118"/>
      <c r="EE118"/>
      <c r="EF118"/>
      <c r="EG118"/>
      <c r="EH118"/>
      <c r="EI118"/>
      <c r="EJ118"/>
      <c r="EK118"/>
      <c r="EL118"/>
      <c r="EM118"/>
      <c r="EN118"/>
      <c r="EO118"/>
      <c r="EP118"/>
      <c r="EQ118"/>
      <c r="ER118"/>
      <c r="ES118"/>
      <c r="ET118"/>
      <c r="EU118"/>
      <c r="EV118"/>
      <c r="EW118"/>
      <c r="EX118"/>
      <c r="EY118"/>
      <c r="EZ118"/>
      <c r="FA118"/>
      <c r="FB118"/>
      <c r="FC118"/>
      <c r="FD118"/>
      <c r="FE118"/>
      <c r="FF118"/>
      <c r="FG118"/>
      <c r="FH118"/>
      <c r="FI118"/>
      <c r="FJ118"/>
      <c r="FK118"/>
      <c r="FL118"/>
      <c r="FM118"/>
      <c r="FN118"/>
      <c r="FO118"/>
      <c r="FP118"/>
      <c r="FQ118"/>
      <c r="FR118"/>
      <c r="FS118"/>
      <c r="FT118"/>
      <c r="FU118"/>
      <c r="FV118"/>
      <c r="FW118"/>
      <c r="FX118"/>
      <c r="FY118"/>
      <c r="FZ118"/>
      <c r="GA118"/>
      <c r="GB118"/>
      <c r="GC118"/>
      <c r="GD118"/>
      <c r="GE118"/>
      <c r="GF118"/>
      <c r="GG118"/>
      <c r="GH118"/>
      <c r="GI118"/>
      <c r="GJ118"/>
      <c r="GK118"/>
      <c r="GL118"/>
      <c r="GM118"/>
      <c r="GN118"/>
      <c r="GO118"/>
      <c r="GP118"/>
      <c r="GQ118"/>
      <c r="GR118"/>
      <c r="GS118"/>
      <c r="GT118"/>
      <c r="GU118"/>
      <c r="GV118"/>
      <c r="GW118"/>
      <c r="GX118"/>
      <c r="GY118"/>
      <c r="GZ118"/>
      <c r="HA118"/>
      <c r="HB118"/>
      <c r="HC118"/>
      <c r="HD118"/>
      <c r="HE118"/>
      <c r="HF118"/>
      <c r="HG118"/>
      <c r="HH118"/>
      <c r="HI118"/>
      <c r="HJ118"/>
      <c r="HK118"/>
      <c r="HL118"/>
      <c r="HM118"/>
      <c r="HN118"/>
      <c r="HO118"/>
      <c r="HP118"/>
      <c r="HQ118"/>
      <c r="HR118"/>
      <c r="HS118"/>
      <c r="HT118"/>
      <c r="HU118"/>
      <c r="HV118"/>
      <c r="HW118"/>
      <c r="HX118"/>
      <c r="HY118"/>
      <c r="HZ118"/>
      <c r="IA118"/>
      <c r="IB118"/>
      <c r="IC118"/>
      <c r="ID118"/>
      <c r="IE118"/>
      <c r="IF118"/>
      <c r="IG118"/>
      <c r="IH118"/>
      <c r="II118"/>
      <c r="IJ118"/>
      <c r="IK118"/>
      <c r="IL118"/>
      <c r="IM118"/>
      <c r="IN118"/>
      <c r="IO118"/>
      <c r="IP118"/>
      <c r="IQ118"/>
      <c r="IR118"/>
      <c r="IS118"/>
      <c r="IT118"/>
      <c r="IU118"/>
      <c r="IV118"/>
      <c r="IW118"/>
      <c r="IX118"/>
      <c r="IY118"/>
      <c r="IZ118"/>
      <c r="JA118"/>
      <c r="JB118"/>
      <c r="JC118"/>
      <c r="JD118"/>
      <c r="JE118"/>
      <c r="JF118"/>
      <c r="JG118"/>
      <c r="JH118"/>
      <c r="JI118"/>
      <c r="JJ118"/>
      <c r="JK118"/>
      <c r="JL118"/>
      <c r="JM118"/>
      <c r="JN118"/>
      <c r="JO118"/>
      <c r="JP118"/>
      <c r="JQ118"/>
      <c r="JR118"/>
      <c r="JS118"/>
      <c r="JT118"/>
      <c r="JU118"/>
      <c r="JV118"/>
    </row>
    <row r="119" spans="2:282" s="9" customFormat="1" ht="14.5" hidden="1" x14ac:dyDescent="0.35">
      <c r="B119" s="10"/>
      <c r="C119" s="10"/>
      <c r="O119" s="10"/>
      <c r="P119" s="10"/>
      <c r="Q119" s="10"/>
      <c r="R119" s="10"/>
      <c r="S119" s="10"/>
      <c r="T119" s="10"/>
      <c r="U119" s="10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  <c r="DU119"/>
      <c r="DV119"/>
      <c r="DW119"/>
      <c r="DX119"/>
      <c r="DY119"/>
      <c r="DZ119"/>
      <c r="EA119"/>
      <c r="EB119"/>
      <c r="EC119"/>
      <c r="ED119"/>
      <c r="EE119"/>
      <c r="EF119"/>
      <c r="EG119"/>
      <c r="EH119"/>
      <c r="EI119"/>
      <c r="EJ119"/>
      <c r="EK119"/>
      <c r="EL119"/>
      <c r="EM119"/>
      <c r="EN119"/>
      <c r="EO119"/>
      <c r="EP119"/>
      <c r="EQ119"/>
      <c r="ER119"/>
      <c r="ES119"/>
      <c r="ET119"/>
      <c r="EU119"/>
      <c r="EV119"/>
      <c r="EW119"/>
      <c r="EX119"/>
      <c r="EY119"/>
      <c r="EZ119"/>
      <c r="FA119"/>
      <c r="FB119"/>
      <c r="FC119"/>
      <c r="FD119"/>
      <c r="FE119"/>
      <c r="FF119"/>
      <c r="FG119"/>
      <c r="FH119"/>
      <c r="FI119"/>
      <c r="FJ119"/>
      <c r="FK119"/>
      <c r="FL119"/>
      <c r="FM119"/>
      <c r="FN119"/>
      <c r="FO119"/>
      <c r="FP119"/>
      <c r="FQ119"/>
      <c r="FR119"/>
      <c r="FS119"/>
      <c r="FT119"/>
      <c r="FU119"/>
      <c r="FV119"/>
      <c r="FW119"/>
      <c r="FX119"/>
      <c r="FY119"/>
      <c r="FZ119"/>
      <c r="GA119"/>
      <c r="GB119"/>
      <c r="GC119"/>
      <c r="GD119"/>
      <c r="GE119"/>
      <c r="GF119"/>
      <c r="GG119"/>
      <c r="GH119"/>
      <c r="GI119"/>
      <c r="GJ119"/>
      <c r="GK119"/>
      <c r="GL119"/>
      <c r="GM119"/>
      <c r="GN119"/>
      <c r="GO119"/>
      <c r="GP119"/>
      <c r="GQ119"/>
      <c r="GR119"/>
      <c r="GS119"/>
      <c r="GT119"/>
      <c r="GU119"/>
      <c r="GV119"/>
      <c r="GW119"/>
      <c r="GX119"/>
      <c r="GY119"/>
      <c r="GZ119"/>
      <c r="HA119"/>
      <c r="HB119"/>
      <c r="HC119"/>
      <c r="HD119"/>
      <c r="HE119"/>
      <c r="HF119"/>
      <c r="HG119"/>
      <c r="HH119"/>
      <c r="HI119"/>
      <c r="HJ119"/>
      <c r="HK119"/>
      <c r="HL119"/>
      <c r="HM119"/>
      <c r="HN119"/>
      <c r="HO119"/>
      <c r="HP119"/>
      <c r="HQ119"/>
      <c r="HR119"/>
      <c r="HS119"/>
      <c r="HT119"/>
      <c r="HU119"/>
      <c r="HV119"/>
      <c r="HW119"/>
      <c r="HX119"/>
      <c r="HY119"/>
      <c r="HZ119"/>
      <c r="IA119"/>
      <c r="IB119"/>
      <c r="IC119"/>
      <c r="ID119"/>
      <c r="IE119"/>
      <c r="IF119"/>
      <c r="IG119"/>
      <c r="IH119"/>
      <c r="II119"/>
      <c r="IJ119"/>
      <c r="IK119"/>
      <c r="IL119"/>
      <c r="IM119"/>
      <c r="IN119"/>
      <c r="IO119"/>
      <c r="IP119"/>
      <c r="IQ119"/>
      <c r="IR119"/>
      <c r="IS119"/>
      <c r="IT119"/>
      <c r="IU119"/>
      <c r="IV119"/>
      <c r="IW119"/>
      <c r="IX119"/>
      <c r="IY119"/>
      <c r="IZ119"/>
      <c r="JA119"/>
      <c r="JB119"/>
      <c r="JC119"/>
      <c r="JD119"/>
      <c r="JE119"/>
      <c r="JF119"/>
      <c r="JG119"/>
      <c r="JH119"/>
      <c r="JI119"/>
      <c r="JJ119"/>
      <c r="JK119"/>
      <c r="JL119"/>
      <c r="JM119"/>
      <c r="JN119"/>
      <c r="JO119"/>
      <c r="JP119"/>
      <c r="JQ119"/>
      <c r="JR119"/>
      <c r="JS119"/>
      <c r="JT119"/>
      <c r="JU119"/>
      <c r="JV119"/>
    </row>
    <row r="120" spans="2:282" s="9" customFormat="1" ht="14.5" hidden="1" x14ac:dyDescent="0.35">
      <c r="B120" s="10"/>
      <c r="C120" s="10"/>
      <c r="O120" s="10"/>
      <c r="P120" s="10"/>
      <c r="Q120" s="10"/>
      <c r="R120" s="10"/>
      <c r="S120" s="10"/>
      <c r="T120" s="10"/>
      <c r="U120" s="1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  <c r="DU120"/>
      <c r="DV120"/>
      <c r="DW120"/>
      <c r="DX120"/>
      <c r="DY120"/>
      <c r="DZ120"/>
      <c r="EA120"/>
      <c r="EB120"/>
      <c r="EC120"/>
      <c r="ED120"/>
      <c r="EE120"/>
      <c r="EF120"/>
      <c r="EG120"/>
      <c r="EH120"/>
      <c r="EI120"/>
      <c r="EJ120"/>
      <c r="EK120"/>
      <c r="EL120"/>
      <c r="EM120"/>
      <c r="EN120"/>
      <c r="EO120"/>
      <c r="EP120"/>
      <c r="EQ120"/>
      <c r="ER120"/>
      <c r="ES120"/>
      <c r="ET120"/>
      <c r="EU120"/>
      <c r="EV120"/>
      <c r="EW120"/>
      <c r="EX120"/>
      <c r="EY120"/>
      <c r="EZ120"/>
      <c r="FA120"/>
      <c r="FB120"/>
      <c r="FC120"/>
      <c r="FD120"/>
      <c r="FE120"/>
      <c r="FF120"/>
      <c r="FG120"/>
      <c r="FH120"/>
      <c r="FI120"/>
      <c r="FJ120"/>
      <c r="FK120"/>
      <c r="FL120"/>
      <c r="FM120"/>
      <c r="FN120"/>
      <c r="FO120"/>
      <c r="FP120"/>
      <c r="FQ120"/>
      <c r="FR120"/>
      <c r="FS120"/>
      <c r="FT120"/>
      <c r="FU120"/>
      <c r="FV120"/>
      <c r="FW120"/>
      <c r="FX120"/>
      <c r="FY120"/>
      <c r="FZ120"/>
      <c r="GA120"/>
      <c r="GB120"/>
      <c r="GC120"/>
      <c r="GD120"/>
      <c r="GE120"/>
      <c r="GF120"/>
      <c r="GG120"/>
      <c r="GH120"/>
      <c r="GI120"/>
      <c r="GJ120"/>
      <c r="GK120"/>
      <c r="GL120"/>
      <c r="GM120"/>
      <c r="GN120"/>
      <c r="GO120"/>
      <c r="GP120"/>
      <c r="GQ120"/>
      <c r="GR120"/>
      <c r="GS120"/>
      <c r="GT120"/>
      <c r="GU120"/>
      <c r="GV120"/>
      <c r="GW120"/>
      <c r="GX120"/>
      <c r="GY120"/>
      <c r="GZ120"/>
      <c r="HA120"/>
      <c r="HB120"/>
      <c r="HC120"/>
      <c r="HD120"/>
      <c r="HE120"/>
      <c r="HF120"/>
      <c r="HG120"/>
      <c r="HH120"/>
      <c r="HI120"/>
      <c r="HJ120"/>
      <c r="HK120"/>
      <c r="HL120"/>
      <c r="HM120"/>
      <c r="HN120"/>
      <c r="HO120"/>
      <c r="HP120"/>
      <c r="HQ120"/>
      <c r="HR120"/>
      <c r="HS120"/>
      <c r="HT120"/>
      <c r="HU120"/>
      <c r="HV120"/>
      <c r="HW120"/>
      <c r="HX120"/>
      <c r="HY120"/>
      <c r="HZ120"/>
      <c r="IA120"/>
      <c r="IB120"/>
      <c r="IC120"/>
      <c r="ID120"/>
      <c r="IE120"/>
      <c r="IF120"/>
      <c r="IG120"/>
      <c r="IH120"/>
      <c r="II120"/>
      <c r="IJ120"/>
      <c r="IK120"/>
      <c r="IL120"/>
      <c r="IM120"/>
      <c r="IN120"/>
      <c r="IO120"/>
      <c r="IP120"/>
      <c r="IQ120"/>
      <c r="IR120"/>
      <c r="IS120"/>
      <c r="IT120"/>
      <c r="IU120"/>
      <c r="IV120"/>
      <c r="IW120"/>
      <c r="IX120"/>
      <c r="IY120"/>
      <c r="IZ120"/>
      <c r="JA120"/>
      <c r="JB120"/>
      <c r="JC120"/>
      <c r="JD120"/>
      <c r="JE120"/>
      <c r="JF120"/>
      <c r="JG120"/>
      <c r="JH120"/>
      <c r="JI120"/>
      <c r="JJ120"/>
      <c r="JK120"/>
      <c r="JL120"/>
      <c r="JM120"/>
      <c r="JN120"/>
      <c r="JO120"/>
      <c r="JP120"/>
      <c r="JQ120"/>
      <c r="JR120"/>
      <c r="JS120"/>
      <c r="JT120"/>
      <c r="JU120"/>
      <c r="JV120"/>
    </row>
    <row r="121" spans="2:282" s="9" customFormat="1" ht="14.5" hidden="1" x14ac:dyDescent="0.35">
      <c r="B121" s="10"/>
      <c r="C121" s="10"/>
      <c r="O121" s="10"/>
      <c r="P121" s="10"/>
      <c r="Q121" s="10"/>
      <c r="R121" s="10"/>
      <c r="S121" s="10"/>
      <c r="T121" s="10"/>
      <c r="U121" s="10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  <c r="DU121"/>
      <c r="DV121"/>
      <c r="DW121"/>
      <c r="DX121"/>
      <c r="DY121"/>
      <c r="DZ121"/>
      <c r="EA121"/>
      <c r="EB121"/>
      <c r="EC121"/>
      <c r="ED121"/>
      <c r="EE121"/>
      <c r="EF121"/>
      <c r="EG121"/>
      <c r="EH121"/>
      <c r="EI121"/>
      <c r="EJ121"/>
      <c r="EK121"/>
      <c r="EL121"/>
      <c r="EM121"/>
      <c r="EN121"/>
      <c r="EO121"/>
      <c r="EP121"/>
      <c r="EQ121"/>
      <c r="ER121"/>
      <c r="ES121"/>
      <c r="ET121"/>
      <c r="EU121"/>
      <c r="EV121"/>
      <c r="EW121"/>
      <c r="EX121"/>
      <c r="EY121"/>
      <c r="EZ121"/>
      <c r="FA121"/>
      <c r="FB121"/>
      <c r="FC121"/>
      <c r="FD121"/>
      <c r="FE121"/>
      <c r="FF121"/>
      <c r="FG121"/>
      <c r="FH121"/>
      <c r="FI121"/>
      <c r="FJ121"/>
      <c r="FK121"/>
      <c r="FL121"/>
      <c r="FM121"/>
      <c r="FN121"/>
      <c r="FO121"/>
      <c r="FP121"/>
      <c r="FQ121"/>
      <c r="FR121"/>
      <c r="FS121"/>
      <c r="FT121"/>
      <c r="FU121"/>
      <c r="FV121"/>
      <c r="FW121"/>
      <c r="FX121"/>
      <c r="FY121"/>
      <c r="FZ121"/>
      <c r="GA121"/>
      <c r="GB121"/>
      <c r="GC121"/>
      <c r="GD121"/>
      <c r="GE121"/>
      <c r="GF121"/>
      <c r="GG121"/>
      <c r="GH121"/>
      <c r="GI121"/>
      <c r="GJ121"/>
      <c r="GK121"/>
      <c r="GL121"/>
      <c r="GM121"/>
      <c r="GN121"/>
      <c r="GO121"/>
      <c r="GP121"/>
      <c r="GQ121"/>
      <c r="GR121"/>
      <c r="GS121"/>
      <c r="GT121"/>
      <c r="GU121"/>
      <c r="GV121"/>
      <c r="GW121"/>
      <c r="GX121"/>
      <c r="GY121"/>
      <c r="GZ121"/>
      <c r="HA121"/>
      <c r="HB121"/>
      <c r="HC121"/>
      <c r="HD121"/>
      <c r="HE121"/>
      <c r="HF121"/>
      <c r="HG121"/>
      <c r="HH121"/>
      <c r="HI121"/>
      <c r="HJ121"/>
      <c r="HK121"/>
      <c r="HL121"/>
      <c r="HM121"/>
      <c r="HN121"/>
      <c r="HO121"/>
      <c r="HP121"/>
      <c r="HQ121"/>
      <c r="HR121"/>
      <c r="HS121"/>
      <c r="HT121"/>
      <c r="HU121"/>
      <c r="HV121"/>
      <c r="HW121"/>
      <c r="HX121"/>
      <c r="HY121"/>
      <c r="HZ121"/>
      <c r="IA121"/>
      <c r="IB121"/>
      <c r="IC121"/>
      <c r="ID121"/>
      <c r="IE121"/>
      <c r="IF121"/>
      <c r="IG121"/>
      <c r="IH121"/>
      <c r="II121"/>
      <c r="IJ121"/>
      <c r="IK121"/>
      <c r="IL121"/>
      <c r="IM121"/>
      <c r="IN121"/>
      <c r="IO121"/>
      <c r="IP121"/>
      <c r="IQ121"/>
      <c r="IR121"/>
      <c r="IS121"/>
      <c r="IT121"/>
      <c r="IU121"/>
      <c r="IV121"/>
      <c r="IW121"/>
      <c r="IX121"/>
      <c r="IY121"/>
      <c r="IZ121"/>
      <c r="JA121"/>
      <c r="JB121"/>
      <c r="JC121"/>
      <c r="JD121"/>
      <c r="JE121"/>
      <c r="JF121"/>
      <c r="JG121"/>
      <c r="JH121"/>
      <c r="JI121"/>
      <c r="JJ121"/>
      <c r="JK121"/>
      <c r="JL121"/>
      <c r="JM121"/>
      <c r="JN121"/>
      <c r="JO121"/>
      <c r="JP121"/>
      <c r="JQ121"/>
      <c r="JR121"/>
      <c r="JS121"/>
      <c r="JT121"/>
      <c r="JU121"/>
      <c r="JV121"/>
    </row>
    <row r="122" spans="2:282" s="9" customFormat="1" ht="14.5" hidden="1" x14ac:dyDescent="0.35">
      <c r="B122" s="10"/>
      <c r="C122" s="10"/>
      <c r="O122" s="10"/>
      <c r="P122" s="10"/>
      <c r="Q122" s="10"/>
      <c r="R122" s="10"/>
      <c r="S122" s="10"/>
      <c r="T122" s="10"/>
      <c r="U122" s="10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  <c r="DU122"/>
      <c r="DV122"/>
      <c r="DW122"/>
      <c r="DX122"/>
      <c r="DY122"/>
      <c r="DZ122"/>
      <c r="EA122"/>
      <c r="EB122"/>
      <c r="EC122"/>
      <c r="ED122"/>
      <c r="EE122"/>
      <c r="EF122"/>
      <c r="EG122"/>
      <c r="EH122"/>
      <c r="EI122"/>
      <c r="EJ122"/>
      <c r="EK122"/>
      <c r="EL122"/>
      <c r="EM122"/>
      <c r="EN122"/>
      <c r="EO122"/>
      <c r="EP122"/>
      <c r="EQ122"/>
      <c r="ER122"/>
      <c r="ES122"/>
      <c r="ET122"/>
      <c r="EU122"/>
      <c r="EV122"/>
      <c r="EW122"/>
      <c r="EX122"/>
      <c r="EY122"/>
      <c r="EZ122"/>
      <c r="FA122"/>
      <c r="FB122"/>
      <c r="FC122"/>
      <c r="FD122"/>
      <c r="FE122"/>
      <c r="FF122"/>
      <c r="FG122"/>
      <c r="FH122"/>
      <c r="FI122"/>
      <c r="FJ122"/>
      <c r="FK122"/>
      <c r="FL122"/>
      <c r="FM122"/>
      <c r="FN122"/>
      <c r="FO122"/>
      <c r="FP122"/>
      <c r="FQ122"/>
      <c r="FR122"/>
      <c r="FS122"/>
      <c r="FT122"/>
      <c r="FU122"/>
      <c r="FV122"/>
      <c r="FW122"/>
      <c r="FX122"/>
      <c r="FY122"/>
      <c r="FZ122"/>
      <c r="GA122"/>
      <c r="GB122"/>
      <c r="GC122"/>
      <c r="GD122"/>
      <c r="GE122"/>
      <c r="GF122"/>
      <c r="GG122"/>
      <c r="GH122"/>
      <c r="GI122"/>
      <c r="GJ122"/>
      <c r="GK122"/>
      <c r="GL122"/>
      <c r="GM122"/>
      <c r="GN122"/>
      <c r="GO122"/>
      <c r="GP122"/>
      <c r="GQ122"/>
      <c r="GR122"/>
      <c r="GS122"/>
      <c r="GT122"/>
      <c r="GU122"/>
      <c r="GV122"/>
      <c r="GW122"/>
      <c r="GX122"/>
      <c r="GY122"/>
      <c r="GZ122"/>
      <c r="HA122"/>
      <c r="HB122"/>
      <c r="HC122"/>
      <c r="HD122"/>
      <c r="HE122"/>
      <c r="HF122"/>
      <c r="HG122"/>
      <c r="HH122"/>
      <c r="HI122"/>
      <c r="HJ122"/>
      <c r="HK122"/>
      <c r="HL122"/>
      <c r="HM122"/>
      <c r="HN122"/>
      <c r="HO122"/>
      <c r="HP122"/>
      <c r="HQ122"/>
      <c r="HR122"/>
      <c r="HS122"/>
      <c r="HT122"/>
      <c r="HU122"/>
      <c r="HV122"/>
      <c r="HW122"/>
      <c r="HX122"/>
      <c r="HY122"/>
      <c r="HZ122"/>
      <c r="IA122"/>
      <c r="IB122"/>
      <c r="IC122"/>
      <c r="ID122"/>
      <c r="IE122"/>
      <c r="IF122"/>
      <c r="IG122"/>
      <c r="IH122"/>
      <c r="II122"/>
      <c r="IJ122"/>
      <c r="IK122"/>
      <c r="IL122"/>
      <c r="IM122"/>
      <c r="IN122"/>
      <c r="IO122"/>
      <c r="IP122"/>
      <c r="IQ122"/>
      <c r="IR122"/>
      <c r="IS122"/>
      <c r="IT122"/>
      <c r="IU122"/>
      <c r="IV122"/>
      <c r="IW122"/>
      <c r="IX122"/>
      <c r="IY122"/>
      <c r="IZ122"/>
      <c r="JA122"/>
      <c r="JB122"/>
      <c r="JC122"/>
      <c r="JD122"/>
      <c r="JE122"/>
      <c r="JF122"/>
      <c r="JG122"/>
      <c r="JH122"/>
      <c r="JI122"/>
      <c r="JJ122"/>
      <c r="JK122"/>
      <c r="JL122"/>
      <c r="JM122"/>
      <c r="JN122"/>
      <c r="JO122"/>
      <c r="JP122"/>
      <c r="JQ122"/>
      <c r="JR122"/>
      <c r="JS122"/>
      <c r="JT122"/>
      <c r="JU122"/>
      <c r="JV122"/>
    </row>
    <row r="123" spans="2:282" s="9" customFormat="1" ht="14.5" hidden="1" x14ac:dyDescent="0.35">
      <c r="B123" s="10"/>
      <c r="C123" s="10"/>
      <c r="O123" s="10"/>
      <c r="P123" s="10"/>
      <c r="Q123" s="10"/>
      <c r="R123" s="10"/>
      <c r="S123" s="10"/>
      <c r="T123" s="10"/>
      <c r="U123" s="10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  <c r="DU123"/>
      <c r="DV123"/>
      <c r="DW123"/>
      <c r="DX123"/>
      <c r="DY123"/>
      <c r="DZ123"/>
      <c r="EA123"/>
      <c r="EB123"/>
      <c r="EC123"/>
      <c r="ED123"/>
      <c r="EE123"/>
      <c r="EF123"/>
      <c r="EG123"/>
      <c r="EH123"/>
      <c r="EI123"/>
      <c r="EJ123"/>
      <c r="EK123"/>
      <c r="EL123"/>
      <c r="EM123"/>
      <c r="EN123"/>
      <c r="EO123"/>
      <c r="EP123"/>
      <c r="EQ123"/>
      <c r="ER123"/>
      <c r="ES123"/>
      <c r="ET123"/>
      <c r="EU123"/>
      <c r="EV123"/>
      <c r="EW123"/>
      <c r="EX123"/>
      <c r="EY123"/>
      <c r="EZ123"/>
      <c r="FA123"/>
      <c r="FB123"/>
      <c r="FC123"/>
      <c r="FD123"/>
      <c r="FE123"/>
      <c r="FF123"/>
      <c r="FG123"/>
      <c r="FH123"/>
      <c r="FI123"/>
      <c r="FJ123"/>
      <c r="FK123"/>
      <c r="FL123"/>
      <c r="FM123"/>
      <c r="FN123"/>
      <c r="FO123"/>
      <c r="FP123"/>
      <c r="FQ123"/>
      <c r="FR123"/>
      <c r="FS123"/>
      <c r="FT123"/>
      <c r="FU123"/>
      <c r="FV123"/>
      <c r="FW123"/>
      <c r="FX123"/>
      <c r="FY123"/>
      <c r="FZ123"/>
      <c r="GA123"/>
      <c r="GB123"/>
      <c r="GC123"/>
      <c r="GD123"/>
      <c r="GE123"/>
      <c r="GF123"/>
      <c r="GG123"/>
      <c r="GH123"/>
      <c r="GI123"/>
      <c r="GJ123"/>
      <c r="GK123"/>
      <c r="GL123"/>
      <c r="GM123"/>
      <c r="GN123"/>
      <c r="GO123"/>
      <c r="GP123"/>
      <c r="GQ123"/>
      <c r="GR123"/>
      <c r="GS123"/>
      <c r="GT123"/>
      <c r="GU123"/>
      <c r="GV123"/>
      <c r="GW123"/>
      <c r="GX123"/>
      <c r="GY123"/>
      <c r="GZ123"/>
      <c r="HA123"/>
      <c r="HB123"/>
      <c r="HC123"/>
      <c r="HD123"/>
      <c r="HE123"/>
      <c r="HF123"/>
      <c r="HG123"/>
      <c r="HH123"/>
      <c r="HI123"/>
      <c r="HJ123"/>
      <c r="HK123"/>
      <c r="HL123"/>
      <c r="HM123"/>
      <c r="HN123"/>
      <c r="HO123"/>
      <c r="HP123"/>
      <c r="HQ123"/>
      <c r="HR123"/>
      <c r="HS123"/>
      <c r="HT123"/>
      <c r="HU123"/>
      <c r="HV123"/>
      <c r="HW123"/>
      <c r="HX123"/>
      <c r="HY123"/>
      <c r="HZ123"/>
      <c r="IA123"/>
      <c r="IB123"/>
      <c r="IC123"/>
      <c r="ID123"/>
      <c r="IE123"/>
      <c r="IF123"/>
      <c r="IG123"/>
      <c r="IH123"/>
      <c r="II123"/>
      <c r="IJ123"/>
      <c r="IK123"/>
      <c r="IL123"/>
      <c r="IM123"/>
      <c r="IN123"/>
      <c r="IO123"/>
      <c r="IP123"/>
      <c r="IQ123"/>
      <c r="IR123"/>
      <c r="IS123"/>
      <c r="IT123"/>
      <c r="IU123"/>
      <c r="IV123"/>
      <c r="IW123"/>
      <c r="IX123"/>
      <c r="IY123"/>
      <c r="IZ123"/>
      <c r="JA123"/>
      <c r="JB123"/>
      <c r="JC123"/>
      <c r="JD123"/>
      <c r="JE123"/>
      <c r="JF123"/>
      <c r="JG123"/>
      <c r="JH123"/>
      <c r="JI123"/>
      <c r="JJ123"/>
      <c r="JK123"/>
      <c r="JL123"/>
      <c r="JM123"/>
      <c r="JN123"/>
      <c r="JO123"/>
      <c r="JP123"/>
      <c r="JQ123"/>
      <c r="JR123"/>
      <c r="JS123"/>
      <c r="JT123"/>
      <c r="JU123"/>
      <c r="JV123"/>
    </row>
    <row r="124" spans="2:282" s="9" customFormat="1" ht="14.5" hidden="1" x14ac:dyDescent="0.35">
      <c r="B124" s="10"/>
      <c r="C124" s="10"/>
      <c r="O124" s="10"/>
      <c r="P124" s="10"/>
      <c r="Q124" s="10"/>
      <c r="R124" s="10"/>
      <c r="S124" s="10"/>
      <c r="T124" s="10"/>
      <c r="U124" s="10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  <c r="DU124"/>
      <c r="DV124"/>
      <c r="DW124"/>
      <c r="DX124"/>
      <c r="DY124"/>
      <c r="DZ124"/>
      <c r="EA124"/>
      <c r="EB124"/>
      <c r="EC124"/>
      <c r="ED124"/>
      <c r="EE124"/>
      <c r="EF124"/>
      <c r="EG124"/>
      <c r="EH124"/>
      <c r="EI124"/>
      <c r="EJ124"/>
      <c r="EK124"/>
      <c r="EL124"/>
      <c r="EM124"/>
      <c r="EN124"/>
      <c r="EO124"/>
      <c r="EP124"/>
      <c r="EQ124"/>
      <c r="ER124"/>
      <c r="ES124"/>
      <c r="ET124"/>
      <c r="EU124"/>
      <c r="EV124"/>
      <c r="EW124"/>
      <c r="EX124"/>
      <c r="EY124"/>
      <c r="EZ124"/>
      <c r="FA124"/>
      <c r="FB124"/>
      <c r="FC124"/>
      <c r="FD124"/>
      <c r="FE124"/>
      <c r="FF124"/>
      <c r="FG124"/>
      <c r="FH124"/>
      <c r="FI124"/>
      <c r="FJ124"/>
      <c r="FK124"/>
      <c r="FL124"/>
      <c r="FM124"/>
      <c r="FN124"/>
      <c r="FO124"/>
      <c r="FP124"/>
      <c r="FQ124"/>
      <c r="FR124"/>
      <c r="FS124"/>
      <c r="FT124"/>
      <c r="FU124"/>
      <c r="FV124"/>
      <c r="FW124"/>
      <c r="FX124"/>
      <c r="FY124"/>
      <c r="FZ124"/>
      <c r="GA124"/>
      <c r="GB124"/>
      <c r="GC124"/>
      <c r="GD124"/>
      <c r="GE124"/>
      <c r="GF124"/>
      <c r="GG124"/>
      <c r="GH124"/>
      <c r="GI124"/>
      <c r="GJ124"/>
      <c r="GK124"/>
      <c r="GL124"/>
      <c r="GM124"/>
      <c r="GN124"/>
      <c r="GO124"/>
      <c r="GP124"/>
      <c r="GQ124"/>
      <c r="GR124"/>
      <c r="GS124"/>
      <c r="GT124"/>
      <c r="GU124"/>
      <c r="GV124"/>
      <c r="GW124"/>
      <c r="GX124"/>
      <c r="GY124"/>
      <c r="GZ124"/>
      <c r="HA124"/>
      <c r="HB124"/>
      <c r="HC124"/>
      <c r="HD124"/>
      <c r="HE124"/>
      <c r="HF124"/>
      <c r="HG124"/>
      <c r="HH124"/>
      <c r="HI124"/>
      <c r="HJ124"/>
      <c r="HK124"/>
      <c r="HL124"/>
      <c r="HM124"/>
      <c r="HN124"/>
      <c r="HO124"/>
      <c r="HP124"/>
      <c r="HQ124"/>
      <c r="HR124"/>
      <c r="HS124"/>
      <c r="HT124"/>
      <c r="HU124"/>
      <c r="HV124"/>
      <c r="HW124"/>
      <c r="HX124"/>
      <c r="HY124"/>
      <c r="HZ124"/>
      <c r="IA124"/>
      <c r="IB124"/>
      <c r="IC124"/>
      <c r="ID124"/>
      <c r="IE124"/>
      <c r="IF124"/>
      <c r="IG124"/>
      <c r="IH124"/>
      <c r="II124"/>
      <c r="IJ124"/>
      <c r="IK124"/>
      <c r="IL124"/>
      <c r="IM124"/>
      <c r="IN124"/>
      <c r="IO124"/>
      <c r="IP124"/>
      <c r="IQ124"/>
      <c r="IR124"/>
      <c r="IS124"/>
      <c r="IT124"/>
      <c r="IU124"/>
      <c r="IV124"/>
      <c r="IW124"/>
      <c r="IX124"/>
      <c r="IY124"/>
      <c r="IZ124"/>
      <c r="JA124"/>
      <c r="JB124"/>
      <c r="JC124"/>
      <c r="JD124"/>
      <c r="JE124"/>
      <c r="JF124"/>
      <c r="JG124"/>
      <c r="JH124"/>
      <c r="JI124"/>
      <c r="JJ124"/>
      <c r="JK124"/>
      <c r="JL124"/>
      <c r="JM124"/>
      <c r="JN124"/>
      <c r="JO124"/>
      <c r="JP124"/>
      <c r="JQ124"/>
      <c r="JR124"/>
      <c r="JS124"/>
      <c r="JT124"/>
      <c r="JU124"/>
      <c r="JV124"/>
    </row>
    <row r="125" spans="2:282" s="9" customFormat="1" ht="14.5" hidden="1" x14ac:dyDescent="0.35">
      <c r="B125" s="10"/>
      <c r="C125" s="10"/>
      <c r="O125" s="10"/>
      <c r="P125" s="10"/>
      <c r="Q125" s="10"/>
      <c r="R125" s="10"/>
      <c r="S125" s="10"/>
      <c r="T125" s="10"/>
      <c r="U125" s="10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  <c r="DU125"/>
      <c r="DV125"/>
      <c r="DW125"/>
      <c r="DX125"/>
      <c r="DY125"/>
      <c r="DZ125"/>
      <c r="EA125"/>
      <c r="EB125"/>
      <c r="EC125"/>
      <c r="ED125"/>
      <c r="EE125"/>
      <c r="EF125"/>
      <c r="EG125"/>
      <c r="EH125"/>
      <c r="EI125"/>
      <c r="EJ125"/>
      <c r="EK125"/>
      <c r="EL125"/>
      <c r="EM125"/>
      <c r="EN125"/>
      <c r="EO125"/>
      <c r="EP125"/>
      <c r="EQ125"/>
      <c r="ER125"/>
      <c r="ES125"/>
      <c r="ET125"/>
      <c r="EU125"/>
      <c r="EV125"/>
      <c r="EW125"/>
      <c r="EX125"/>
      <c r="EY125"/>
      <c r="EZ125"/>
      <c r="FA125"/>
      <c r="FB125"/>
      <c r="FC125"/>
      <c r="FD125"/>
      <c r="FE125"/>
      <c r="FF125"/>
      <c r="FG125"/>
      <c r="FH125"/>
      <c r="FI125"/>
      <c r="FJ125"/>
      <c r="FK125"/>
      <c r="FL125"/>
      <c r="FM125"/>
      <c r="FN125"/>
      <c r="FO125"/>
      <c r="FP125"/>
      <c r="FQ125"/>
      <c r="FR125"/>
      <c r="FS125"/>
      <c r="FT125"/>
      <c r="FU125"/>
      <c r="FV125"/>
      <c r="FW125"/>
      <c r="FX125"/>
      <c r="FY125"/>
      <c r="FZ125"/>
      <c r="GA125"/>
      <c r="GB125"/>
      <c r="GC125"/>
      <c r="GD125"/>
      <c r="GE125"/>
      <c r="GF125"/>
      <c r="GG125"/>
      <c r="GH125"/>
      <c r="GI125"/>
      <c r="GJ125"/>
      <c r="GK125"/>
      <c r="GL125"/>
      <c r="GM125"/>
      <c r="GN125"/>
      <c r="GO125"/>
      <c r="GP125"/>
      <c r="GQ125"/>
      <c r="GR125"/>
      <c r="GS125"/>
      <c r="GT125"/>
      <c r="GU125"/>
      <c r="GV125"/>
      <c r="GW125"/>
      <c r="GX125"/>
      <c r="GY125"/>
      <c r="GZ125"/>
      <c r="HA125"/>
      <c r="HB125"/>
      <c r="HC125"/>
      <c r="HD125"/>
      <c r="HE125"/>
      <c r="HF125"/>
      <c r="HG125"/>
      <c r="HH125"/>
      <c r="HI125"/>
      <c r="HJ125"/>
      <c r="HK125"/>
      <c r="HL125"/>
      <c r="HM125"/>
      <c r="HN125"/>
      <c r="HO125"/>
      <c r="HP125"/>
      <c r="HQ125"/>
      <c r="HR125"/>
      <c r="HS125"/>
      <c r="HT125"/>
      <c r="HU125"/>
      <c r="HV125"/>
      <c r="HW125"/>
      <c r="HX125"/>
      <c r="HY125"/>
      <c r="HZ125"/>
      <c r="IA125"/>
      <c r="IB125"/>
      <c r="IC125"/>
      <c r="ID125"/>
      <c r="IE125"/>
      <c r="IF125"/>
      <c r="IG125"/>
      <c r="IH125"/>
      <c r="II125"/>
      <c r="IJ125"/>
      <c r="IK125"/>
      <c r="IL125"/>
      <c r="IM125"/>
      <c r="IN125"/>
      <c r="IO125"/>
      <c r="IP125"/>
      <c r="IQ125"/>
      <c r="IR125"/>
      <c r="IS125"/>
      <c r="IT125"/>
      <c r="IU125"/>
      <c r="IV125"/>
      <c r="IW125"/>
      <c r="IX125"/>
      <c r="IY125"/>
      <c r="IZ125"/>
      <c r="JA125"/>
      <c r="JB125"/>
      <c r="JC125"/>
      <c r="JD125"/>
      <c r="JE125"/>
      <c r="JF125"/>
      <c r="JG125"/>
      <c r="JH125"/>
      <c r="JI125"/>
      <c r="JJ125"/>
      <c r="JK125"/>
      <c r="JL125"/>
      <c r="JM125"/>
      <c r="JN125"/>
      <c r="JO125"/>
      <c r="JP125"/>
      <c r="JQ125"/>
      <c r="JR125"/>
      <c r="JS125"/>
      <c r="JT125"/>
      <c r="JU125"/>
      <c r="JV125"/>
    </row>
    <row r="126" spans="2:282" s="9" customFormat="1" ht="14.5" hidden="1" x14ac:dyDescent="0.35">
      <c r="B126" s="10"/>
      <c r="C126" s="10"/>
      <c r="O126" s="10"/>
      <c r="P126" s="10"/>
      <c r="Q126" s="10"/>
      <c r="R126" s="10"/>
      <c r="S126" s="10"/>
      <c r="T126" s="10"/>
      <c r="U126" s="10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  <c r="DU126"/>
      <c r="DV126"/>
      <c r="DW126"/>
      <c r="DX126"/>
      <c r="DY126"/>
      <c r="DZ126"/>
      <c r="EA126"/>
      <c r="EB126"/>
      <c r="EC126"/>
      <c r="ED126"/>
      <c r="EE126"/>
      <c r="EF126"/>
      <c r="EG126"/>
      <c r="EH126"/>
      <c r="EI126"/>
      <c r="EJ126"/>
      <c r="EK126"/>
      <c r="EL126"/>
      <c r="EM126"/>
      <c r="EN126"/>
      <c r="EO126"/>
      <c r="EP126"/>
      <c r="EQ126"/>
      <c r="ER126"/>
      <c r="ES126"/>
      <c r="ET126"/>
      <c r="EU126"/>
      <c r="EV126"/>
      <c r="EW126"/>
      <c r="EX126"/>
      <c r="EY126"/>
      <c r="EZ126"/>
      <c r="FA126"/>
      <c r="FB126"/>
      <c r="FC126"/>
      <c r="FD126"/>
      <c r="FE126"/>
      <c r="FF126"/>
      <c r="FG126"/>
      <c r="FH126"/>
      <c r="FI126"/>
      <c r="FJ126"/>
      <c r="FK126"/>
      <c r="FL126"/>
      <c r="FM126"/>
      <c r="FN126"/>
      <c r="FO126"/>
      <c r="FP126"/>
      <c r="FQ126"/>
      <c r="FR126"/>
      <c r="FS126"/>
      <c r="FT126"/>
      <c r="FU126"/>
      <c r="FV126"/>
      <c r="FW126"/>
      <c r="FX126"/>
      <c r="FY126"/>
      <c r="FZ126"/>
      <c r="GA126"/>
      <c r="GB126"/>
      <c r="GC126"/>
      <c r="GD126"/>
      <c r="GE126"/>
      <c r="GF126"/>
      <c r="GG126"/>
      <c r="GH126"/>
      <c r="GI126"/>
      <c r="GJ126"/>
      <c r="GK126"/>
      <c r="GL126"/>
      <c r="GM126"/>
      <c r="GN126"/>
      <c r="GO126"/>
      <c r="GP126"/>
      <c r="GQ126"/>
      <c r="GR126"/>
      <c r="GS126"/>
      <c r="GT126"/>
      <c r="GU126"/>
      <c r="GV126"/>
      <c r="GW126"/>
      <c r="GX126"/>
      <c r="GY126"/>
      <c r="GZ126"/>
      <c r="HA126"/>
      <c r="HB126"/>
      <c r="HC126"/>
      <c r="HD126"/>
      <c r="HE126"/>
      <c r="HF126"/>
      <c r="HG126"/>
      <c r="HH126"/>
      <c r="HI126"/>
      <c r="HJ126"/>
      <c r="HK126"/>
      <c r="HL126"/>
      <c r="HM126"/>
      <c r="HN126"/>
      <c r="HO126"/>
      <c r="HP126"/>
      <c r="HQ126"/>
      <c r="HR126"/>
      <c r="HS126"/>
      <c r="HT126"/>
      <c r="HU126"/>
      <c r="HV126"/>
      <c r="HW126"/>
      <c r="HX126"/>
      <c r="HY126"/>
      <c r="HZ126"/>
      <c r="IA126"/>
      <c r="IB126"/>
      <c r="IC126"/>
      <c r="ID126"/>
      <c r="IE126"/>
      <c r="IF126"/>
      <c r="IG126"/>
      <c r="IH126"/>
      <c r="II126"/>
      <c r="IJ126"/>
      <c r="IK126"/>
      <c r="IL126"/>
      <c r="IM126"/>
      <c r="IN126"/>
      <c r="IO126"/>
      <c r="IP126"/>
      <c r="IQ126"/>
      <c r="IR126"/>
      <c r="IS126"/>
      <c r="IT126"/>
      <c r="IU126"/>
      <c r="IV126"/>
      <c r="IW126"/>
      <c r="IX126"/>
      <c r="IY126"/>
      <c r="IZ126"/>
      <c r="JA126"/>
      <c r="JB126"/>
      <c r="JC126"/>
      <c r="JD126"/>
      <c r="JE126"/>
      <c r="JF126"/>
      <c r="JG126"/>
      <c r="JH126"/>
      <c r="JI126"/>
      <c r="JJ126"/>
      <c r="JK126"/>
      <c r="JL126"/>
      <c r="JM126"/>
      <c r="JN126"/>
      <c r="JO126"/>
      <c r="JP126"/>
      <c r="JQ126"/>
      <c r="JR126"/>
      <c r="JS126"/>
      <c r="JT126"/>
      <c r="JU126"/>
      <c r="JV126"/>
    </row>
    <row r="127" spans="2:282" s="9" customFormat="1" ht="14.5" hidden="1" x14ac:dyDescent="0.35">
      <c r="B127" s="10"/>
      <c r="C127" s="10"/>
      <c r="O127" s="10"/>
      <c r="P127" s="10"/>
      <c r="Q127" s="10"/>
      <c r="R127" s="10"/>
      <c r="S127" s="10"/>
      <c r="T127" s="10"/>
      <c r="U127" s="10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  <c r="DU127"/>
      <c r="DV127"/>
      <c r="DW127"/>
      <c r="DX127"/>
      <c r="DY127"/>
      <c r="DZ127"/>
      <c r="EA127"/>
      <c r="EB127"/>
      <c r="EC127"/>
      <c r="ED127"/>
      <c r="EE127"/>
      <c r="EF127"/>
      <c r="EG127"/>
      <c r="EH127"/>
      <c r="EI127"/>
      <c r="EJ127"/>
      <c r="EK127"/>
      <c r="EL127"/>
      <c r="EM127"/>
      <c r="EN127"/>
      <c r="EO127"/>
      <c r="EP127"/>
      <c r="EQ127"/>
      <c r="ER127"/>
      <c r="ES127"/>
      <c r="ET127"/>
      <c r="EU127"/>
      <c r="EV127"/>
      <c r="EW127"/>
      <c r="EX127"/>
      <c r="EY127"/>
      <c r="EZ127"/>
      <c r="FA127"/>
      <c r="FB127"/>
      <c r="FC127"/>
      <c r="FD127"/>
      <c r="FE127"/>
      <c r="FF127"/>
      <c r="FG127"/>
      <c r="FH127"/>
      <c r="FI127"/>
      <c r="FJ127"/>
      <c r="FK127"/>
      <c r="FL127"/>
      <c r="FM127"/>
      <c r="FN127"/>
      <c r="FO127"/>
      <c r="FP127"/>
      <c r="FQ127"/>
      <c r="FR127"/>
      <c r="FS127"/>
      <c r="FT127"/>
      <c r="FU127"/>
      <c r="FV127"/>
      <c r="FW127"/>
      <c r="FX127"/>
      <c r="FY127"/>
      <c r="FZ127"/>
      <c r="GA127"/>
      <c r="GB127"/>
      <c r="GC127"/>
      <c r="GD127"/>
      <c r="GE127"/>
      <c r="GF127"/>
      <c r="GG127"/>
      <c r="GH127"/>
      <c r="GI127"/>
      <c r="GJ127"/>
      <c r="GK127"/>
      <c r="GL127"/>
      <c r="GM127"/>
      <c r="GN127"/>
      <c r="GO127"/>
      <c r="GP127"/>
      <c r="GQ127"/>
      <c r="GR127"/>
      <c r="GS127"/>
      <c r="GT127"/>
      <c r="GU127"/>
      <c r="GV127"/>
      <c r="GW127"/>
      <c r="GX127"/>
      <c r="GY127"/>
      <c r="GZ127"/>
      <c r="HA127"/>
      <c r="HB127"/>
      <c r="HC127"/>
      <c r="HD127"/>
      <c r="HE127"/>
      <c r="HF127"/>
      <c r="HG127"/>
      <c r="HH127"/>
      <c r="HI127"/>
      <c r="HJ127"/>
      <c r="HK127"/>
      <c r="HL127"/>
      <c r="HM127"/>
      <c r="HN127"/>
      <c r="HO127"/>
      <c r="HP127"/>
      <c r="HQ127"/>
      <c r="HR127"/>
      <c r="HS127"/>
      <c r="HT127"/>
      <c r="HU127"/>
      <c r="HV127"/>
      <c r="HW127"/>
      <c r="HX127"/>
      <c r="HY127"/>
      <c r="HZ127"/>
      <c r="IA127"/>
      <c r="IB127"/>
      <c r="IC127"/>
      <c r="ID127"/>
      <c r="IE127"/>
      <c r="IF127"/>
      <c r="IG127"/>
      <c r="IH127"/>
      <c r="II127"/>
      <c r="IJ127"/>
      <c r="IK127"/>
      <c r="IL127"/>
      <c r="IM127"/>
      <c r="IN127"/>
      <c r="IO127"/>
      <c r="IP127"/>
      <c r="IQ127"/>
      <c r="IR127"/>
      <c r="IS127"/>
      <c r="IT127"/>
      <c r="IU127"/>
      <c r="IV127"/>
      <c r="IW127"/>
      <c r="IX127"/>
      <c r="IY127"/>
      <c r="IZ127"/>
      <c r="JA127"/>
      <c r="JB127"/>
      <c r="JC127"/>
      <c r="JD127"/>
      <c r="JE127"/>
      <c r="JF127"/>
      <c r="JG127"/>
      <c r="JH127"/>
      <c r="JI127"/>
      <c r="JJ127"/>
      <c r="JK127"/>
      <c r="JL127"/>
      <c r="JM127"/>
      <c r="JN127"/>
      <c r="JO127"/>
      <c r="JP127"/>
      <c r="JQ127"/>
      <c r="JR127"/>
      <c r="JS127"/>
      <c r="JT127"/>
      <c r="JU127"/>
      <c r="JV127"/>
    </row>
    <row r="128" spans="2:282" s="9" customFormat="1" ht="14.5" hidden="1" x14ac:dyDescent="0.35">
      <c r="B128" s="10"/>
      <c r="C128" s="10"/>
      <c r="O128" s="10"/>
      <c r="P128" s="10"/>
      <c r="Q128" s="10"/>
      <c r="R128" s="10"/>
      <c r="S128" s="10"/>
      <c r="T128" s="10"/>
      <c r="U128" s="10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  <c r="DU128"/>
      <c r="DV128"/>
      <c r="DW128"/>
      <c r="DX128"/>
      <c r="DY128"/>
      <c r="DZ128"/>
      <c r="EA128"/>
      <c r="EB128"/>
      <c r="EC128"/>
      <c r="ED128"/>
      <c r="EE128"/>
      <c r="EF128"/>
      <c r="EG128"/>
      <c r="EH128"/>
      <c r="EI128"/>
      <c r="EJ128"/>
      <c r="EK128"/>
      <c r="EL128"/>
      <c r="EM128"/>
      <c r="EN128"/>
      <c r="EO128"/>
      <c r="EP128"/>
      <c r="EQ128"/>
      <c r="ER128"/>
      <c r="ES128"/>
      <c r="ET128"/>
      <c r="EU128"/>
      <c r="EV128"/>
      <c r="EW128"/>
      <c r="EX128"/>
      <c r="EY128"/>
      <c r="EZ128"/>
      <c r="FA128"/>
      <c r="FB128"/>
      <c r="FC128"/>
      <c r="FD128"/>
      <c r="FE128"/>
      <c r="FF128"/>
      <c r="FG128"/>
      <c r="FH128"/>
      <c r="FI128"/>
      <c r="FJ128"/>
      <c r="FK128"/>
      <c r="FL128"/>
      <c r="FM128"/>
      <c r="FN128"/>
      <c r="FO128"/>
      <c r="FP128"/>
      <c r="FQ128"/>
      <c r="FR128"/>
      <c r="FS128"/>
      <c r="FT128"/>
      <c r="FU128"/>
      <c r="FV128"/>
      <c r="FW128"/>
      <c r="FX128"/>
      <c r="FY128"/>
      <c r="FZ128"/>
      <c r="GA128"/>
      <c r="GB128"/>
      <c r="GC128"/>
      <c r="GD128"/>
      <c r="GE128"/>
      <c r="GF128"/>
      <c r="GG128"/>
      <c r="GH128"/>
      <c r="GI128"/>
      <c r="GJ128"/>
      <c r="GK128"/>
      <c r="GL128"/>
      <c r="GM128"/>
      <c r="GN128"/>
      <c r="GO128"/>
      <c r="GP128"/>
      <c r="GQ128"/>
      <c r="GR128"/>
      <c r="GS128"/>
      <c r="GT128"/>
      <c r="GU128"/>
      <c r="GV128"/>
      <c r="GW128"/>
      <c r="GX128"/>
      <c r="GY128"/>
      <c r="GZ128"/>
      <c r="HA128"/>
      <c r="HB128"/>
      <c r="HC128"/>
      <c r="HD128"/>
      <c r="HE128"/>
      <c r="HF128"/>
      <c r="HG128"/>
      <c r="HH128"/>
      <c r="HI128"/>
      <c r="HJ128"/>
      <c r="HK128"/>
      <c r="HL128"/>
      <c r="HM128"/>
      <c r="HN128"/>
      <c r="HO128"/>
      <c r="HP128"/>
      <c r="HQ128"/>
      <c r="HR128"/>
      <c r="HS128"/>
      <c r="HT128"/>
      <c r="HU128"/>
      <c r="HV128"/>
      <c r="HW128"/>
      <c r="HX128"/>
      <c r="HY128"/>
      <c r="HZ128"/>
      <c r="IA128"/>
      <c r="IB128"/>
      <c r="IC128"/>
      <c r="ID128"/>
      <c r="IE128"/>
      <c r="IF128"/>
      <c r="IG128"/>
      <c r="IH128"/>
      <c r="II128"/>
      <c r="IJ128"/>
      <c r="IK128"/>
      <c r="IL128"/>
      <c r="IM128"/>
      <c r="IN128"/>
      <c r="IO128"/>
      <c r="IP128"/>
      <c r="IQ128"/>
      <c r="IR128"/>
      <c r="IS128"/>
      <c r="IT128"/>
      <c r="IU128"/>
      <c r="IV128"/>
      <c r="IW128"/>
      <c r="IX128"/>
      <c r="IY128"/>
      <c r="IZ128"/>
      <c r="JA128"/>
      <c r="JB128"/>
      <c r="JC128"/>
      <c r="JD128"/>
      <c r="JE128"/>
      <c r="JF128"/>
      <c r="JG128"/>
      <c r="JH128"/>
      <c r="JI128"/>
      <c r="JJ128"/>
      <c r="JK128"/>
      <c r="JL128"/>
      <c r="JM128"/>
      <c r="JN128"/>
      <c r="JO128"/>
      <c r="JP128"/>
      <c r="JQ128"/>
      <c r="JR128"/>
      <c r="JS128"/>
      <c r="JT128"/>
      <c r="JU128"/>
      <c r="JV128"/>
    </row>
    <row r="129" spans="2:282" s="9" customFormat="1" ht="14.5" hidden="1" x14ac:dyDescent="0.35">
      <c r="B129" s="10"/>
      <c r="C129" s="10"/>
      <c r="O129" s="10"/>
      <c r="P129" s="10"/>
      <c r="Q129" s="10"/>
      <c r="R129" s="10"/>
      <c r="S129" s="10"/>
      <c r="T129" s="10"/>
      <c r="U129" s="10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  <c r="DU129"/>
      <c r="DV129"/>
      <c r="DW129"/>
      <c r="DX129"/>
      <c r="DY129"/>
      <c r="DZ129"/>
      <c r="EA129"/>
      <c r="EB129"/>
      <c r="EC129"/>
      <c r="ED129"/>
      <c r="EE129"/>
      <c r="EF129"/>
      <c r="EG129"/>
      <c r="EH129"/>
      <c r="EI129"/>
      <c r="EJ129"/>
      <c r="EK129"/>
      <c r="EL129"/>
      <c r="EM129"/>
      <c r="EN129"/>
      <c r="EO129"/>
      <c r="EP129"/>
      <c r="EQ129"/>
      <c r="ER129"/>
      <c r="ES129"/>
      <c r="ET129"/>
      <c r="EU129"/>
      <c r="EV129"/>
      <c r="EW129"/>
      <c r="EX129"/>
      <c r="EY129"/>
      <c r="EZ129"/>
      <c r="FA129"/>
      <c r="FB129"/>
      <c r="FC129"/>
      <c r="FD129"/>
      <c r="FE129"/>
      <c r="FF129"/>
      <c r="FG129"/>
      <c r="FH129"/>
      <c r="FI129"/>
      <c r="FJ129"/>
      <c r="FK129"/>
      <c r="FL129"/>
      <c r="FM129"/>
      <c r="FN129"/>
      <c r="FO129"/>
      <c r="FP129"/>
      <c r="FQ129"/>
      <c r="FR129"/>
      <c r="FS129"/>
      <c r="FT129"/>
      <c r="FU129"/>
      <c r="FV129"/>
      <c r="FW129"/>
      <c r="FX129"/>
      <c r="FY129"/>
      <c r="FZ129"/>
      <c r="GA129"/>
      <c r="GB129"/>
      <c r="GC129"/>
      <c r="GD129"/>
      <c r="GE129"/>
      <c r="GF129"/>
      <c r="GG129"/>
      <c r="GH129"/>
      <c r="GI129"/>
      <c r="GJ129"/>
      <c r="GK129"/>
      <c r="GL129"/>
      <c r="GM129"/>
      <c r="GN129"/>
      <c r="GO129"/>
      <c r="GP129"/>
      <c r="GQ129"/>
      <c r="GR129"/>
      <c r="GS129"/>
      <c r="GT129"/>
      <c r="GU129"/>
      <c r="GV129"/>
      <c r="GW129"/>
      <c r="GX129"/>
      <c r="GY129"/>
      <c r="GZ129"/>
      <c r="HA129"/>
      <c r="HB129"/>
      <c r="HC129"/>
      <c r="HD129"/>
      <c r="HE129"/>
      <c r="HF129"/>
      <c r="HG129"/>
      <c r="HH129"/>
      <c r="HI129"/>
      <c r="HJ129"/>
      <c r="HK129"/>
      <c r="HL129"/>
      <c r="HM129"/>
      <c r="HN129"/>
      <c r="HO129"/>
      <c r="HP129"/>
      <c r="HQ129"/>
      <c r="HR129"/>
      <c r="HS129"/>
      <c r="HT129"/>
      <c r="HU129"/>
      <c r="HV129"/>
      <c r="HW129"/>
      <c r="HX129"/>
      <c r="HY129"/>
      <c r="HZ129"/>
      <c r="IA129"/>
      <c r="IB129"/>
      <c r="IC129"/>
      <c r="ID129"/>
      <c r="IE129"/>
      <c r="IF129"/>
      <c r="IG129"/>
      <c r="IH129"/>
      <c r="II129"/>
      <c r="IJ129"/>
      <c r="IK129"/>
      <c r="IL129"/>
      <c r="IM129"/>
      <c r="IN129"/>
      <c r="IO129"/>
      <c r="IP129"/>
      <c r="IQ129"/>
      <c r="IR129"/>
      <c r="IS129"/>
      <c r="IT129"/>
      <c r="IU129"/>
      <c r="IV129"/>
      <c r="IW129"/>
      <c r="IX129"/>
      <c r="IY129"/>
      <c r="IZ129"/>
      <c r="JA129"/>
      <c r="JB129"/>
      <c r="JC129"/>
      <c r="JD129"/>
      <c r="JE129"/>
      <c r="JF129"/>
      <c r="JG129"/>
      <c r="JH129"/>
      <c r="JI129"/>
      <c r="JJ129"/>
      <c r="JK129"/>
      <c r="JL129"/>
      <c r="JM129"/>
      <c r="JN129"/>
      <c r="JO129"/>
      <c r="JP129"/>
      <c r="JQ129"/>
      <c r="JR129"/>
      <c r="JS129"/>
      <c r="JT129"/>
      <c r="JU129"/>
      <c r="JV129"/>
    </row>
    <row r="130" spans="2:282" s="9" customFormat="1" ht="14.5" hidden="1" x14ac:dyDescent="0.35">
      <c r="B130" s="10"/>
      <c r="C130" s="10"/>
      <c r="O130" s="10"/>
      <c r="P130" s="10"/>
      <c r="Q130" s="10"/>
      <c r="R130" s="10"/>
      <c r="S130" s="10"/>
      <c r="T130" s="10"/>
      <c r="U130" s="1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  <c r="DU130"/>
      <c r="DV130"/>
      <c r="DW130"/>
      <c r="DX130"/>
      <c r="DY130"/>
      <c r="DZ130"/>
      <c r="EA130"/>
      <c r="EB130"/>
      <c r="EC130"/>
      <c r="ED130"/>
      <c r="EE130"/>
      <c r="EF130"/>
      <c r="EG130"/>
      <c r="EH130"/>
      <c r="EI130"/>
      <c r="EJ130"/>
      <c r="EK130"/>
      <c r="EL130"/>
      <c r="EM130"/>
      <c r="EN130"/>
      <c r="EO130"/>
      <c r="EP130"/>
      <c r="EQ130"/>
      <c r="ER130"/>
      <c r="ES130"/>
      <c r="ET130"/>
      <c r="EU130"/>
      <c r="EV130"/>
      <c r="EW130"/>
      <c r="EX130"/>
      <c r="EY130"/>
      <c r="EZ130"/>
      <c r="FA130"/>
      <c r="FB130"/>
      <c r="FC130"/>
      <c r="FD130"/>
      <c r="FE130"/>
      <c r="FF130"/>
      <c r="FG130"/>
      <c r="FH130"/>
      <c r="FI130"/>
      <c r="FJ130"/>
      <c r="FK130"/>
      <c r="FL130"/>
      <c r="FM130"/>
      <c r="FN130"/>
      <c r="FO130"/>
      <c r="FP130"/>
      <c r="FQ130"/>
      <c r="FR130"/>
      <c r="FS130"/>
      <c r="FT130"/>
      <c r="FU130"/>
      <c r="FV130"/>
      <c r="FW130"/>
      <c r="FX130"/>
      <c r="FY130"/>
      <c r="FZ130"/>
      <c r="GA130"/>
      <c r="GB130"/>
      <c r="GC130"/>
      <c r="GD130"/>
      <c r="GE130"/>
      <c r="GF130"/>
      <c r="GG130"/>
      <c r="GH130"/>
      <c r="GI130"/>
      <c r="GJ130"/>
      <c r="GK130"/>
      <c r="GL130"/>
      <c r="GM130"/>
      <c r="GN130"/>
      <c r="GO130"/>
      <c r="GP130"/>
      <c r="GQ130"/>
      <c r="GR130"/>
      <c r="GS130"/>
      <c r="GT130"/>
      <c r="GU130"/>
      <c r="GV130"/>
      <c r="GW130"/>
      <c r="GX130"/>
      <c r="GY130"/>
      <c r="GZ130"/>
      <c r="HA130"/>
      <c r="HB130"/>
      <c r="HC130"/>
      <c r="HD130"/>
      <c r="HE130"/>
      <c r="HF130"/>
      <c r="HG130"/>
      <c r="HH130"/>
      <c r="HI130"/>
      <c r="HJ130"/>
      <c r="HK130"/>
      <c r="HL130"/>
      <c r="HM130"/>
      <c r="HN130"/>
      <c r="HO130"/>
      <c r="HP130"/>
      <c r="HQ130"/>
      <c r="HR130"/>
      <c r="HS130"/>
      <c r="HT130"/>
      <c r="HU130"/>
      <c r="HV130"/>
      <c r="HW130"/>
      <c r="HX130"/>
      <c r="HY130"/>
      <c r="HZ130"/>
      <c r="IA130"/>
      <c r="IB130"/>
      <c r="IC130"/>
      <c r="ID130"/>
      <c r="IE130"/>
      <c r="IF130"/>
      <c r="IG130"/>
      <c r="IH130"/>
      <c r="II130"/>
      <c r="IJ130"/>
      <c r="IK130"/>
      <c r="IL130"/>
      <c r="IM130"/>
      <c r="IN130"/>
      <c r="IO130"/>
      <c r="IP130"/>
      <c r="IQ130"/>
      <c r="IR130"/>
      <c r="IS130"/>
      <c r="IT130"/>
      <c r="IU130"/>
      <c r="IV130"/>
      <c r="IW130"/>
      <c r="IX130"/>
      <c r="IY130"/>
      <c r="IZ130"/>
      <c r="JA130"/>
      <c r="JB130"/>
      <c r="JC130"/>
      <c r="JD130"/>
      <c r="JE130"/>
      <c r="JF130"/>
      <c r="JG130"/>
      <c r="JH130"/>
      <c r="JI130"/>
      <c r="JJ130"/>
      <c r="JK130"/>
      <c r="JL130"/>
      <c r="JM130"/>
      <c r="JN130"/>
      <c r="JO130"/>
      <c r="JP130"/>
      <c r="JQ130"/>
      <c r="JR130"/>
      <c r="JS130"/>
      <c r="JT130"/>
      <c r="JU130"/>
      <c r="JV130"/>
    </row>
    <row r="131" spans="2:282" s="9" customFormat="1" ht="14.5" hidden="1" x14ac:dyDescent="0.35">
      <c r="B131" s="10"/>
      <c r="C131" s="10"/>
      <c r="O131" s="10"/>
      <c r="P131" s="10"/>
      <c r="Q131" s="10"/>
      <c r="R131" s="10"/>
      <c r="S131" s="10"/>
      <c r="T131" s="10"/>
      <c r="U131" s="10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  <c r="DU131"/>
      <c r="DV131"/>
      <c r="DW131"/>
      <c r="DX131"/>
      <c r="DY131"/>
      <c r="DZ131"/>
      <c r="EA131"/>
      <c r="EB131"/>
      <c r="EC131"/>
      <c r="ED131"/>
      <c r="EE131"/>
      <c r="EF131"/>
      <c r="EG131"/>
      <c r="EH131"/>
      <c r="EI131"/>
      <c r="EJ131"/>
      <c r="EK131"/>
      <c r="EL131"/>
      <c r="EM131"/>
      <c r="EN131"/>
      <c r="EO131"/>
      <c r="EP131"/>
      <c r="EQ131"/>
      <c r="ER131"/>
      <c r="ES131"/>
      <c r="ET131"/>
      <c r="EU131"/>
      <c r="EV131"/>
      <c r="EW131"/>
      <c r="EX131"/>
      <c r="EY131"/>
      <c r="EZ131"/>
      <c r="FA131"/>
      <c r="FB131"/>
      <c r="FC131"/>
      <c r="FD131"/>
      <c r="FE131"/>
      <c r="FF131"/>
      <c r="FG131"/>
      <c r="FH131"/>
      <c r="FI131"/>
      <c r="FJ131"/>
      <c r="FK131"/>
      <c r="FL131"/>
      <c r="FM131"/>
      <c r="FN131"/>
      <c r="FO131"/>
      <c r="FP131"/>
      <c r="FQ131"/>
      <c r="FR131"/>
      <c r="FS131"/>
      <c r="FT131"/>
      <c r="FU131"/>
      <c r="FV131"/>
      <c r="FW131"/>
      <c r="FX131"/>
      <c r="FY131"/>
      <c r="FZ131"/>
      <c r="GA131"/>
      <c r="GB131"/>
      <c r="GC131"/>
      <c r="GD131"/>
      <c r="GE131"/>
      <c r="GF131"/>
      <c r="GG131"/>
      <c r="GH131"/>
      <c r="GI131"/>
      <c r="GJ131"/>
      <c r="GK131"/>
      <c r="GL131"/>
      <c r="GM131"/>
      <c r="GN131"/>
      <c r="GO131"/>
      <c r="GP131"/>
      <c r="GQ131"/>
      <c r="GR131"/>
      <c r="GS131"/>
      <c r="GT131"/>
      <c r="GU131"/>
      <c r="GV131"/>
      <c r="GW131"/>
      <c r="GX131"/>
      <c r="GY131"/>
      <c r="GZ131"/>
      <c r="HA131"/>
      <c r="HB131"/>
      <c r="HC131"/>
      <c r="HD131"/>
      <c r="HE131"/>
      <c r="HF131"/>
      <c r="HG131"/>
      <c r="HH131"/>
      <c r="HI131"/>
      <c r="HJ131"/>
      <c r="HK131"/>
      <c r="HL131"/>
      <c r="HM131"/>
      <c r="HN131"/>
      <c r="HO131"/>
      <c r="HP131"/>
      <c r="HQ131"/>
      <c r="HR131"/>
      <c r="HS131"/>
      <c r="HT131"/>
      <c r="HU131"/>
      <c r="HV131"/>
      <c r="HW131"/>
      <c r="HX131"/>
      <c r="HY131"/>
      <c r="HZ131"/>
      <c r="IA131"/>
      <c r="IB131"/>
      <c r="IC131"/>
      <c r="ID131"/>
      <c r="IE131"/>
      <c r="IF131"/>
      <c r="IG131"/>
      <c r="IH131"/>
      <c r="II131"/>
      <c r="IJ131"/>
      <c r="IK131"/>
      <c r="IL131"/>
      <c r="IM131"/>
      <c r="IN131"/>
      <c r="IO131"/>
      <c r="IP131"/>
      <c r="IQ131"/>
      <c r="IR131"/>
      <c r="IS131"/>
      <c r="IT131"/>
      <c r="IU131"/>
      <c r="IV131"/>
      <c r="IW131"/>
      <c r="IX131"/>
      <c r="IY131"/>
      <c r="IZ131"/>
      <c r="JA131"/>
      <c r="JB131"/>
      <c r="JC131"/>
      <c r="JD131"/>
      <c r="JE131"/>
      <c r="JF131"/>
      <c r="JG131"/>
      <c r="JH131"/>
      <c r="JI131"/>
      <c r="JJ131"/>
      <c r="JK131"/>
      <c r="JL131"/>
      <c r="JM131"/>
      <c r="JN131"/>
      <c r="JO131"/>
      <c r="JP131"/>
      <c r="JQ131"/>
      <c r="JR131"/>
      <c r="JS131"/>
      <c r="JT131"/>
      <c r="JU131"/>
      <c r="JV131"/>
    </row>
    <row r="132" spans="2:282" s="9" customFormat="1" ht="14.5" hidden="1" x14ac:dyDescent="0.35">
      <c r="B132" s="10"/>
      <c r="C132" s="10"/>
      <c r="O132" s="10"/>
      <c r="P132" s="10"/>
      <c r="Q132" s="10"/>
      <c r="R132" s="10"/>
      <c r="S132" s="10"/>
      <c r="T132" s="10"/>
      <c r="U132" s="10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  <c r="DU132"/>
      <c r="DV132"/>
      <c r="DW132"/>
      <c r="DX132"/>
      <c r="DY132"/>
      <c r="DZ132"/>
      <c r="EA132"/>
      <c r="EB132"/>
      <c r="EC132"/>
      <c r="ED132"/>
      <c r="EE132"/>
      <c r="EF132"/>
      <c r="EG132"/>
      <c r="EH132"/>
      <c r="EI132"/>
      <c r="EJ132"/>
      <c r="EK132"/>
      <c r="EL132"/>
      <c r="EM132"/>
      <c r="EN132"/>
      <c r="EO132"/>
      <c r="EP132"/>
      <c r="EQ132"/>
      <c r="ER132"/>
      <c r="ES132"/>
      <c r="ET132"/>
      <c r="EU132"/>
      <c r="EV132"/>
      <c r="EW132"/>
      <c r="EX132"/>
      <c r="EY132"/>
      <c r="EZ132"/>
      <c r="FA132"/>
      <c r="FB132"/>
      <c r="FC132"/>
      <c r="FD132"/>
      <c r="FE132"/>
      <c r="FF132"/>
      <c r="FG132"/>
      <c r="FH132"/>
      <c r="FI132"/>
      <c r="FJ132"/>
      <c r="FK132"/>
      <c r="FL132"/>
      <c r="FM132"/>
      <c r="FN132"/>
      <c r="FO132"/>
      <c r="FP132"/>
      <c r="FQ132"/>
      <c r="FR132"/>
      <c r="FS132"/>
      <c r="FT132"/>
      <c r="FU132"/>
      <c r="FV132"/>
      <c r="FW132"/>
      <c r="FX132"/>
      <c r="FY132"/>
      <c r="FZ132"/>
      <c r="GA132"/>
      <c r="GB132"/>
      <c r="GC132"/>
      <c r="GD132"/>
      <c r="GE132"/>
      <c r="GF132"/>
      <c r="GG132"/>
      <c r="GH132"/>
      <c r="GI132"/>
      <c r="GJ132"/>
      <c r="GK132"/>
      <c r="GL132"/>
      <c r="GM132"/>
      <c r="GN132"/>
      <c r="GO132"/>
      <c r="GP132"/>
      <c r="GQ132"/>
      <c r="GR132"/>
      <c r="GS132"/>
      <c r="GT132"/>
      <c r="GU132"/>
      <c r="GV132"/>
      <c r="GW132"/>
      <c r="GX132"/>
      <c r="GY132"/>
      <c r="GZ132"/>
      <c r="HA132"/>
      <c r="HB132"/>
      <c r="HC132"/>
      <c r="HD132"/>
      <c r="HE132"/>
      <c r="HF132"/>
      <c r="HG132"/>
      <c r="HH132"/>
      <c r="HI132"/>
      <c r="HJ132"/>
      <c r="HK132"/>
      <c r="HL132"/>
      <c r="HM132"/>
      <c r="HN132"/>
      <c r="HO132"/>
      <c r="HP132"/>
      <c r="HQ132"/>
      <c r="HR132"/>
      <c r="HS132"/>
      <c r="HT132"/>
      <c r="HU132"/>
      <c r="HV132"/>
      <c r="HW132"/>
      <c r="HX132"/>
      <c r="HY132"/>
      <c r="HZ132"/>
      <c r="IA132"/>
      <c r="IB132"/>
      <c r="IC132"/>
      <c r="ID132"/>
      <c r="IE132"/>
      <c r="IF132"/>
      <c r="IG132"/>
      <c r="IH132"/>
      <c r="II132"/>
      <c r="IJ132"/>
      <c r="IK132"/>
      <c r="IL132"/>
      <c r="IM132"/>
      <c r="IN132"/>
      <c r="IO132"/>
      <c r="IP132"/>
      <c r="IQ132"/>
      <c r="IR132"/>
      <c r="IS132"/>
      <c r="IT132"/>
      <c r="IU132"/>
      <c r="IV132"/>
      <c r="IW132"/>
      <c r="IX132"/>
      <c r="IY132"/>
      <c r="IZ132"/>
      <c r="JA132"/>
      <c r="JB132"/>
      <c r="JC132"/>
      <c r="JD132"/>
      <c r="JE132"/>
      <c r="JF132"/>
      <c r="JG132"/>
      <c r="JH132"/>
      <c r="JI132"/>
      <c r="JJ132"/>
      <c r="JK132"/>
      <c r="JL132"/>
      <c r="JM132"/>
      <c r="JN132"/>
      <c r="JO132"/>
      <c r="JP132"/>
      <c r="JQ132"/>
      <c r="JR132"/>
      <c r="JS132"/>
      <c r="JT132"/>
      <c r="JU132"/>
      <c r="JV132"/>
    </row>
    <row r="133" spans="2:282" s="9" customFormat="1" ht="14.5" hidden="1" x14ac:dyDescent="0.35">
      <c r="B133" s="10"/>
      <c r="C133" s="10"/>
      <c r="O133" s="10"/>
      <c r="P133" s="10"/>
      <c r="Q133" s="10"/>
      <c r="R133" s="10"/>
      <c r="S133" s="10"/>
      <c r="T133" s="10"/>
      <c r="U133" s="10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  <c r="DU133"/>
      <c r="DV133"/>
      <c r="DW133"/>
      <c r="DX133"/>
      <c r="DY133"/>
      <c r="DZ133"/>
      <c r="EA133"/>
      <c r="EB133"/>
      <c r="EC133"/>
      <c r="ED133"/>
      <c r="EE133"/>
      <c r="EF133"/>
      <c r="EG133"/>
      <c r="EH133"/>
      <c r="EI133"/>
      <c r="EJ133"/>
      <c r="EK133"/>
      <c r="EL133"/>
      <c r="EM133"/>
      <c r="EN133"/>
      <c r="EO133"/>
      <c r="EP133"/>
      <c r="EQ133"/>
      <c r="ER133"/>
      <c r="ES133"/>
      <c r="ET133"/>
      <c r="EU133"/>
      <c r="EV133"/>
      <c r="EW133"/>
      <c r="EX133"/>
      <c r="EY133"/>
      <c r="EZ133"/>
      <c r="FA133"/>
      <c r="FB133"/>
      <c r="FC133"/>
      <c r="FD133"/>
      <c r="FE133"/>
      <c r="FF133"/>
      <c r="FG133"/>
      <c r="FH133"/>
      <c r="FI133"/>
      <c r="FJ133"/>
      <c r="FK133"/>
      <c r="FL133"/>
      <c r="FM133"/>
      <c r="FN133"/>
      <c r="FO133"/>
      <c r="FP133"/>
      <c r="FQ133"/>
      <c r="FR133"/>
      <c r="FS133"/>
      <c r="FT133"/>
      <c r="FU133"/>
      <c r="FV133"/>
      <c r="FW133"/>
      <c r="FX133"/>
      <c r="FY133"/>
      <c r="FZ133"/>
      <c r="GA133"/>
      <c r="GB133"/>
      <c r="GC133"/>
      <c r="GD133"/>
      <c r="GE133"/>
      <c r="GF133"/>
      <c r="GG133"/>
      <c r="GH133"/>
      <c r="GI133"/>
      <c r="GJ133"/>
      <c r="GK133"/>
      <c r="GL133"/>
      <c r="GM133"/>
      <c r="GN133"/>
      <c r="GO133"/>
      <c r="GP133"/>
      <c r="GQ133"/>
      <c r="GR133"/>
      <c r="GS133"/>
      <c r="GT133"/>
      <c r="GU133"/>
      <c r="GV133"/>
      <c r="GW133"/>
      <c r="GX133"/>
      <c r="GY133"/>
      <c r="GZ133"/>
      <c r="HA133"/>
      <c r="HB133"/>
      <c r="HC133"/>
      <c r="HD133"/>
      <c r="HE133"/>
      <c r="HF133"/>
      <c r="HG133"/>
      <c r="HH133"/>
      <c r="HI133"/>
      <c r="HJ133"/>
      <c r="HK133"/>
      <c r="HL133"/>
      <c r="HM133"/>
      <c r="HN133"/>
      <c r="HO133"/>
      <c r="HP133"/>
      <c r="HQ133"/>
      <c r="HR133"/>
      <c r="HS133"/>
      <c r="HT133"/>
      <c r="HU133"/>
      <c r="HV133"/>
      <c r="HW133"/>
      <c r="HX133"/>
      <c r="HY133"/>
      <c r="HZ133"/>
      <c r="IA133"/>
      <c r="IB133"/>
      <c r="IC133"/>
      <c r="ID133"/>
      <c r="IE133"/>
      <c r="IF133"/>
      <c r="IG133"/>
      <c r="IH133"/>
      <c r="II133"/>
      <c r="IJ133"/>
      <c r="IK133"/>
      <c r="IL133"/>
      <c r="IM133"/>
      <c r="IN133"/>
      <c r="IO133"/>
      <c r="IP133"/>
      <c r="IQ133"/>
      <c r="IR133"/>
      <c r="IS133"/>
      <c r="IT133"/>
      <c r="IU133"/>
      <c r="IV133"/>
      <c r="IW133"/>
      <c r="IX133"/>
      <c r="IY133"/>
      <c r="IZ133"/>
      <c r="JA133"/>
      <c r="JB133"/>
      <c r="JC133"/>
      <c r="JD133"/>
      <c r="JE133"/>
      <c r="JF133"/>
      <c r="JG133"/>
      <c r="JH133"/>
      <c r="JI133"/>
      <c r="JJ133"/>
      <c r="JK133"/>
      <c r="JL133"/>
      <c r="JM133"/>
      <c r="JN133"/>
      <c r="JO133"/>
      <c r="JP133"/>
      <c r="JQ133"/>
      <c r="JR133"/>
      <c r="JS133"/>
      <c r="JT133"/>
      <c r="JU133"/>
      <c r="JV133"/>
    </row>
    <row r="134" spans="2:282" s="9" customFormat="1" ht="14.5" hidden="1" x14ac:dyDescent="0.35">
      <c r="B134" s="10"/>
      <c r="C134" s="10"/>
      <c r="O134" s="10"/>
      <c r="P134" s="10"/>
      <c r="Q134" s="10"/>
      <c r="R134" s="10"/>
      <c r="S134" s="10"/>
      <c r="T134" s="10"/>
      <c r="U134" s="10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  <c r="DU134"/>
      <c r="DV134"/>
      <c r="DW134"/>
      <c r="DX134"/>
      <c r="DY134"/>
      <c r="DZ134"/>
      <c r="EA134"/>
      <c r="EB134"/>
      <c r="EC134"/>
      <c r="ED134"/>
      <c r="EE134"/>
      <c r="EF134"/>
      <c r="EG134"/>
      <c r="EH134"/>
      <c r="EI134"/>
      <c r="EJ134"/>
      <c r="EK134"/>
      <c r="EL134"/>
      <c r="EM134"/>
      <c r="EN134"/>
      <c r="EO134"/>
      <c r="EP134"/>
      <c r="EQ134"/>
      <c r="ER134"/>
      <c r="ES134"/>
      <c r="ET134"/>
      <c r="EU134"/>
      <c r="EV134"/>
      <c r="EW134"/>
      <c r="EX134"/>
      <c r="EY134"/>
      <c r="EZ134"/>
      <c r="FA134"/>
      <c r="FB134"/>
      <c r="FC134"/>
      <c r="FD134"/>
      <c r="FE134"/>
      <c r="FF134"/>
      <c r="FG134"/>
      <c r="FH134"/>
      <c r="FI134"/>
      <c r="FJ134"/>
      <c r="FK134"/>
      <c r="FL134"/>
      <c r="FM134"/>
      <c r="FN134"/>
      <c r="FO134"/>
      <c r="FP134"/>
      <c r="FQ134"/>
      <c r="FR134"/>
      <c r="FS134"/>
      <c r="FT134"/>
      <c r="FU134"/>
      <c r="FV134"/>
      <c r="FW134"/>
      <c r="FX134"/>
      <c r="FY134"/>
      <c r="FZ134"/>
      <c r="GA134"/>
      <c r="GB134"/>
      <c r="GC134"/>
      <c r="GD134"/>
      <c r="GE134"/>
      <c r="GF134"/>
      <c r="GG134"/>
      <c r="GH134"/>
      <c r="GI134"/>
      <c r="GJ134"/>
      <c r="GK134"/>
      <c r="GL134"/>
      <c r="GM134"/>
      <c r="GN134"/>
      <c r="GO134"/>
      <c r="GP134"/>
      <c r="GQ134"/>
      <c r="GR134"/>
      <c r="GS134"/>
      <c r="GT134"/>
      <c r="GU134"/>
      <c r="GV134"/>
      <c r="GW134"/>
      <c r="GX134"/>
      <c r="GY134"/>
      <c r="GZ134"/>
      <c r="HA134"/>
      <c r="HB134"/>
      <c r="HC134"/>
      <c r="HD134"/>
      <c r="HE134"/>
      <c r="HF134"/>
      <c r="HG134"/>
      <c r="HH134"/>
      <c r="HI134"/>
      <c r="HJ134"/>
      <c r="HK134"/>
      <c r="HL134"/>
      <c r="HM134"/>
      <c r="HN134"/>
      <c r="HO134"/>
      <c r="HP134"/>
      <c r="HQ134"/>
      <c r="HR134"/>
      <c r="HS134"/>
      <c r="HT134"/>
      <c r="HU134"/>
      <c r="HV134"/>
      <c r="HW134"/>
      <c r="HX134"/>
      <c r="HY134"/>
      <c r="HZ134"/>
      <c r="IA134"/>
      <c r="IB134"/>
      <c r="IC134"/>
      <c r="ID134"/>
      <c r="IE134"/>
      <c r="IF134"/>
      <c r="IG134"/>
      <c r="IH134"/>
      <c r="II134"/>
      <c r="IJ134"/>
      <c r="IK134"/>
      <c r="IL134"/>
      <c r="IM134"/>
      <c r="IN134"/>
      <c r="IO134"/>
      <c r="IP134"/>
      <c r="IQ134"/>
      <c r="IR134"/>
      <c r="IS134"/>
      <c r="IT134"/>
      <c r="IU134"/>
      <c r="IV134"/>
      <c r="IW134"/>
      <c r="IX134"/>
      <c r="IY134"/>
      <c r="IZ134"/>
      <c r="JA134"/>
      <c r="JB134"/>
      <c r="JC134"/>
      <c r="JD134"/>
      <c r="JE134"/>
      <c r="JF134"/>
      <c r="JG134"/>
      <c r="JH134"/>
      <c r="JI134"/>
      <c r="JJ134"/>
      <c r="JK134"/>
      <c r="JL134"/>
      <c r="JM134"/>
      <c r="JN134"/>
      <c r="JO134"/>
      <c r="JP134"/>
      <c r="JQ134"/>
      <c r="JR134"/>
      <c r="JS134"/>
      <c r="JT134"/>
      <c r="JU134"/>
      <c r="JV134"/>
    </row>
    <row r="135" spans="2:282" s="9" customFormat="1" ht="14.5" hidden="1" x14ac:dyDescent="0.35">
      <c r="B135" s="10"/>
      <c r="C135" s="10"/>
      <c r="O135" s="10"/>
      <c r="P135" s="10"/>
      <c r="Q135" s="10"/>
      <c r="R135" s="10"/>
      <c r="S135" s="10"/>
      <c r="T135" s="10"/>
      <c r="U135" s="10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  <c r="DU135"/>
      <c r="DV135"/>
      <c r="DW135"/>
      <c r="DX135"/>
      <c r="DY135"/>
      <c r="DZ135"/>
      <c r="EA135"/>
      <c r="EB135"/>
      <c r="EC135"/>
      <c r="ED135"/>
      <c r="EE135"/>
      <c r="EF135"/>
      <c r="EG135"/>
      <c r="EH135"/>
      <c r="EI135"/>
      <c r="EJ135"/>
      <c r="EK135"/>
      <c r="EL135"/>
      <c r="EM135"/>
      <c r="EN135"/>
      <c r="EO135"/>
      <c r="EP135"/>
      <c r="EQ135"/>
      <c r="ER135"/>
      <c r="ES135"/>
      <c r="ET135"/>
      <c r="EU135"/>
      <c r="EV135"/>
      <c r="EW135"/>
      <c r="EX135"/>
      <c r="EY135"/>
      <c r="EZ135"/>
      <c r="FA135"/>
      <c r="FB135"/>
      <c r="FC135"/>
      <c r="FD135"/>
      <c r="FE135"/>
      <c r="FF135"/>
      <c r="FG135"/>
      <c r="FH135"/>
      <c r="FI135"/>
      <c r="FJ135"/>
      <c r="FK135"/>
      <c r="FL135"/>
      <c r="FM135"/>
      <c r="FN135"/>
      <c r="FO135"/>
      <c r="FP135"/>
      <c r="FQ135"/>
      <c r="FR135"/>
      <c r="FS135"/>
      <c r="FT135"/>
      <c r="FU135"/>
      <c r="FV135"/>
      <c r="FW135"/>
      <c r="FX135"/>
      <c r="FY135"/>
      <c r="FZ135"/>
      <c r="GA135"/>
      <c r="GB135"/>
      <c r="GC135"/>
      <c r="GD135"/>
      <c r="GE135"/>
      <c r="GF135"/>
      <c r="GG135"/>
      <c r="GH135"/>
      <c r="GI135"/>
      <c r="GJ135"/>
      <c r="GK135"/>
      <c r="GL135"/>
      <c r="GM135"/>
      <c r="GN135"/>
      <c r="GO135"/>
      <c r="GP135"/>
      <c r="GQ135"/>
      <c r="GR135"/>
      <c r="GS135"/>
      <c r="GT135"/>
      <c r="GU135"/>
      <c r="GV135"/>
      <c r="GW135"/>
      <c r="GX135"/>
      <c r="GY135"/>
      <c r="GZ135"/>
      <c r="HA135"/>
      <c r="HB135"/>
      <c r="HC135"/>
      <c r="HD135"/>
      <c r="HE135"/>
      <c r="HF135"/>
      <c r="HG135"/>
      <c r="HH135"/>
      <c r="HI135"/>
      <c r="HJ135"/>
      <c r="HK135"/>
      <c r="HL135"/>
      <c r="HM135"/>
      <c r="HN135"/>
      <c r="HO135"/>
      <c r="HP135"/>
      <c r="HQ135"/>
      <c r="HR135"/>
      <c r="HS135"/>
      <c r="HT135"/>
      <c r="HU135"/>
      <c r="HV135"/>
      <c r="HW135"/>
      <c r="HX135"/>
      <c r="HY135"/>
      <c r="HZ135"/>
      <c r="IA135"/>
      <c r="IB135"/>
      <c r="IC135"/>
      <c r="ID135"/>
      <c r="IE135"/>
      <c r="IF135"/>
      <c r="IG135"/>
      <c r="IH135"/>
      <c r="II135"/>
      <c r="IJ135"/>
      <c r="IK135"/>
      <c r="IL135"/>
      <c r="IM135"/>
      <c r="IN135"/>
      <c r="IO135"/>
      <c r="IP135"/>
      <c r="IQ135"/>
      <c r="IR135"/>
      <c r="IS135"/>
      <c r="IT135"/>
      <c r="IU135"/>
      <c r="IV135"/>
      <c r="IW135"/>
      <c r="IX135"/>
      <c r="IY135"/>
      <c r="IZ135"/>
      <c r="JA135"/>
      <c r="JB135"/>
      <c r="JC135"/>
      <c r="JD135"/>
      <c r="JE135"/>
      <c r="JF135"/>
      <c r="JG135"/>
      <c r="JH135"/>
      <c r="JI135"/>
      <c r="JJ135"/>
      <c r="JK135"/>
      <c r="JL135"/>
      <c r="JM135"/>
      <c r="JN135"/>
      <c r="JO135"/>
      <c r="JP135"/>
      <c r="JQ135"/>
      <c r="JR135"/>
      <c r="JS135"/>
      <c r="JT135"/>
      <c r="JU135"/>
      <c r="JV135"/>
    </row>
    <row r="136" spans="2:282" s="9" customFormat="1" ht="14.5" hidden="1" x14ac:dyDescent="0.35">
      <c r="B136" s="10"/>
      <c r="C136" s="10"/>
      <c r="O136" s="10"/>
      <c r="P136" s="10"/>
      <c r="Q136" s="10"/>
      <c r="R136" s="10"/>
      <c r="S136" s="10"/>
      <c r="T136" s="10"/>
      <c r="U136" s="10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  <c r="DU136"/>
      <c r="DV136"/>
      <c r="DW136"/>
      <c r="DX136"/>
      <c r="DY136"/>
      <c r="DZ136"/>
      <c r="EA136"/>
      <c r="EB136"/>
      <c r="EC136"/>
      <c r="ED136"/>
      <c r="EE136"/>
      <c r="EF136"/>
      <c r="EG136"/>
      <c r="EH136"/>
      <c r="EI136"/>
      <c r="EJ136"/>
      <c r="EK136"/>
      <c r="EL136"/>
      <c r="EM136"/>
      <c r="EN136"/>
      <c r="EO136"/>
      <c r="EP136"/>
      <c r="EQ136"/>
      <c r="ER136"/>
      <c r="ES136"/>
      <c r="ET136"/>
      <c r="EU136"/>
      <c r="EV136"/>
      <c r="EW136"/>
      <c r="EX136"/>
      <c r="EY136"/>
      <c r="EZ136"/>
      <c r="FA136"/>
      <c r="FB136"/>
      <c r="FC136"/>
      <c r="FD136"/>
      <c r="FE136"/>
      <c r="FF136"/>
      <c r="FG136"/>
      <c r="FH136"/>
      <c r="FI136"/>
      <c r="FJ136"/>
      <c r="FK136"/>
      <c r="FL136"/>
      <c r="FM136"/>
      <c r="FN136"/>
      <c r="FO136"/>
      <c r="FP136"/>
      <c r="FQ136"/>
      <c r="FR136"/>
      <c r="FS136"/>
      <c r="FT136"/>
      <c r="FU136"/>
      <c r="FV136"/>
      <c r="FW136"/>
      <c r="FX136"/>
      <c r="FY136"/>
      <c r="FZ136"/>
      <c r="GA136"/>
      <c r="GB136"/>
      <c r="GC136"/>
      <c r="GD136"/>
      <c r="GE136"/>
      <c r="GF136"/>
      <c r="GG136"/>
      <c r="GH136"/>
      <c r="GI136"/>
      <c r="GJ136"/>
      <c r="GK136"/>
      <c r="GL136"/>
      <c r="GM136"/>
      <c r="GN136"/>
      <c r="GO136"/>
      <c r="GP136"/>
      <c r="GQ136"/>
      <c r="GR136"/>
      <c r="GS136"/>
      <c r="GT136"/>
      <c r="GU136"/>
      <c r="GV136"/>
      <c r="GW136"/>
      <c r="GX136"/>
      <c r="GY136"/>
      <c r="GZ136"/>
      <c r="HA136"/>
      <c r="HB136"/>
      <c r="HC136"/>
      <c r="HD136"/>
      <c r="HE136"/>
      <c r="HF136"/>
      <c r="HG136"/>
      <c r="HH136"/>
      <c r="HI136"/>
      <c r="HJ136"/>
      <c r="HK136"/>
      <c r="HL136"/>
      <c r="HM136"/>
      <c r="HN136"/>
      <c r="HO136"/>
      <c r="HP136"/>
      <c r="HQ136"/>
      <c r="HR136"/>
      <c r="HS136"/>
      <c r="HT136"/>
      <c r="HU136"/>
      <c r="HV136"/>
      <c r="HW136"/>
      <c r="HX136"/>
      <c r="HY136"/>
      <c r="HZ136"/>
      <c r="IA136"/>
      <c r="IB136"/>
      <c r="IC136"/>
      <c r="ID136"/>
      <c r="IE136"/>
      <c r="IF136"/>
      <c r="IG136"/>
      <c r="IH136"/>
      <c r="II136"/>
      <c r="IJ136"/>
      <c r="IK136"/>
      <c r="IL136"/>
      <c r="IM136"/>
      <c r="IN136"/>
      <c r="IO136"/>
      <c r="IP136"/>
      <c r="IQ136"/>
      <c r="IR136"/>
      <c r="IS136"/>
      <c r="IT136"/>
      <c r="IU136"/>
      <c r="IV136"/>
      <c r="IW136"/>
      <c r="IX136"/>
      <c r="IY136"/>
      <c r="IZ136"/>
      <c r="JA136"/>
      <c r="JB136"/>
      <c r="JC136"/>
      <c r="JD136"/>
      <c r="JE136"/>
      <c r="JF136"/>
      <c r="JG136"/>
      <c r="JH136"/>
      <c r="JI136"/>
      <c r="JJ136"/>
      <c r="JK136"/>
      <c r="JL136"/>
      <c r="JM136"/>
      <c r="JN136"/>
      <c r="JO136"/>
      <c r="JP136"/>
      <c r="JQ136"/>
      <c r="JR136"/>
      <c r="JS136"/>
      <c r="JT136"/>
      <c r="JU136"/>
      <c r="JV136"/>
    </row>
    <row r="137" spans="2:282" s="9" customFormat="1" ht="14.5" hidden="1" x14ac:dyDescent="0.35">
      <c r="B137" s="10"/>
      <c r="C137" s="10"/>
      <c r="O137" s="10"/>
      <c r="P137" s="10"/>
      <c r="Q137" s="10"/>
      <c r="R137" s="10"/>
      <c r="S137" s="10"/>
      <c r="T137" s="10"/>
      <c r="U137" s="10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  <c r="DU137"/>
      <c r="DV137"/>
      <c r="DW137"/>
      <c r="DX137"/>
      <c r="DY137"/>
      <c r="DZ137"/>
      <c r="EA137"/>
      <c r="EB137"/>
      <c r="EC137"/>
      <c r="ED137"/>
      <c r="EE137"/>
      <c r="EF137"/>
      <c r="EG137"/>
      <c r="EH137"/>
      <c r="EI137"/>
      <c r="EJ137"/>
      <c r="EK137"/>
      <c r="EL137"/>
      <c r="EM137"/>
      <c r="EN137"/>
      <c r="EO137"/>
      <c r="EP137"/>
      <c r="EQ137"/>
      <c r="ER137"/>
      <c r="ES137"/>
      <c r="ET137"/>
      <c r="EU137"/>
      <c r="EV137"/>
      <c r="EW137"/>
      <c r="EX137"/>
      <c r="EY137"/>
      <c r="EZ137"/>
      <c r="FA137"/>
      <c r="FB137"/>
      <c r="FC137"/>
      <c r="FD137"/>
      <c r="FE137"/>
      <c r="FF137"/>
      <c r="FG137"/>
      <c r="FH137"/>
      <c r="FI137"/>
      <c r="FJ137"/>
      <c r="FK137"/>
      <c r="FL137"/>
      <c r="FM137"/>
      <c r="FN137"/>
      <c r="FO137"/>
      <c r="FP137"/>
      <c r="FQ137"/>
      <c r="FR137"/>
      <c r="FS137"/>
      <c r="FT137"/>
      <c r="FU137"/>
      <c r="FV137"/>
      <c r="FW137"/>
      <c r="FX137"/>
      <c r="FY137"/>
      <c r="FZ137"/>
      <c r="GA137"/>
      <c r="GB137"/>
      <c r="GC137"/>
      <c r="GD137"/>
      <c r="GE137"/>
      <c r="GF137"/>
      <c r="GG137"/>
      <c r="GH137"/>
      <c r="GI137"/>
      <c r="GJ137"/>
      <c r="GK137"/>
      <c r="GL137"/>
      <c r="GM137"/>
      <c r="GN137"/>
      <c r="GO137"/>
      <c r="GP137"/>
      <c r="GQ137"/>
      <c r="GR137"/>
      <c r="GS137"/>
      <c r="GT137"/>
      <c r="GU137"/>
      <c r="GV137"/>
      <c r="GW137"/>
      <c r="GX137"/>
      <c r="GY137"/>
      <c r="GZ137"/>
      <c r="HA137"/>
      <c r="HB137"/>
      <c r="HC137"/>
      <c r="HD137"/>
      <c r="HE137"/>
      <c r="HF137"/>
      <c r="HG137"/>
      <c r="HH137"/>
      <c r="HI137"/>
      <c r="HJ137"/>
      <c r="HK137"/>
      <c r="HL137"/>
      <c r="HM137"/>
      <c r="HN137"/>
      <c r="HO137"/>
      <c r="HP137"/>
      <c r="HQ137"/>
      <c r="HR137"/>
      <c r="HS137"/>
      <c r="HT137"/>
      <c r="HU137"/>
      <c r="HV137"/>
      <c r="HW137"/>
      <c r="HX137"/>
      <c r="HY137"/>
      <c r="HZ137"/>
      <c r="IA137"/>
      <c r="IB137"/>
      <c r="IC137"/>
      <c r="ID137"/>
      <c r="IE137"/>
      <c r="IF137"/>
      <c r="IG137"/>
      <c r="IH137"/>
      <c r="II137"/>
      <c r="IJ137"/>
      <c r="IK137"/>
      <c r="IL137"/>
      <c r="IM137"/>
      <c r="IN137"/>
      <c r="IO137"/>
      <c r="IP137"/>
      <c r="IQ137"/>
      <c r="IR137"/>
      <c r="IS137"/>
      <c r="IT137"/>
      <c r="IU137"/>
      <c r="IV137"/>
      <c r="IW137"/>
      <c r="IX137"/>
      <c r="IY137"/>
      <c r="IZ137"/>
      <c r="JA137"/>
      <c r="JB137"/>
      <c r="JC137"/>
      <c r="JD137"/>
      <c r="JE137"/>
      <c r="JF137"/>
      <c r="JG137"/>
      <c r="JH137"/>
      <c r="JI137"/>
      <c r="JJ137"/>
      <c r="JK137"/>
      <c r="JL137"/>
      <c r="JM137"/>
      <c r="JN137"/>
      <c r="JO137"/>
      <c r="JP137"/>
      <c r="JQ137"/>
      <c r="JR137"/>
      <c r="JS137"/>
      <c r="JT137"/>
      <c r="JU137"/>
      <c r="JV137"/>
    </row>
    <row r="138" spans="2:282" s="9" customFormat="1" ht="14.5" hidden="1" x14ac:dyDescent="0.35">
      <c r="B138" s="10"/>
      <c r="C138" s="10"/>
      <c r="O138" s="10"/>
      <c r="P138" s="10"/>
      <c r="Q138" s="10"/>
      <c r="R138" s="10"/>
      <c r="S138" s="10"/>
      <c r="T138" s="10"/>
      <c r="U138" s="10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  <c r="DU138"/>
      <c r="DV138"/>
      <c r="DW138"/>
      <c r="DX138"/>
      <c r="DY138"/>
      <c r="DZ138"/>
      <c r="EA138"/>
      <c r="EB138"/>
      <c r="EC138"/>
      <c r="ED138"/>
      <c r="EE138"/>
      <c r="EF138"/>
      <c r="EG138"/>
      <c r="EH138"/>
      <c r="EI138"/>
      <c r="EJ138"/>
      <c r="EK138"/>
      <c r="EL138"/>
      <c r="EM138"/>
      <c r="EN138"/>
      <c r="EO138"/>
      <c r="EP138"/>
      <c r="EQ138"/>
      <c r="ER138"/>
      <c r="ES138"/>
      <c r="ET138"/>
      <c r="EU138"/>
      <c r="EV138"/>
      <c r="EW138"/>
      <c r="EX138"/>
      <c r="EY138"/>
      <c r="EZ138"/>
      <c r="FA138"/>
      <c r="FB138"/>
      <c r="FC138"/>
      <c r="FD138"/>
      <c r="FE138"/>
      <c r="FF138"/>
      <c r="FG138"/>
      <c r="FH138"/>
      <c r="FI138"/>
      <c r="FJ138"/>
      <c r="FK138"/>
      <c r="FL138"/>
      <c r="FM138"/>
      <c r="FN138"/>
      <c r="FO138"/>
      <c r="FP138"/>
      <c r="FQ138"/>
      <c r="FR138"/>
      <c r="FS138"/>
      <c r="FT138"/>
      <c r="FU138"/>
      <c r="FV138"/>
      <c r="FW138"/>
      <c r="FX138"/>
      <c r="FY138"/>
      <c r="FZ138"/>
      <c r="GA138"/>
      <c r="GB138"/>
      <c r="GC138"/>
      <c r="GD138"/>
      <c r="GE138"/>
      <c r="GF138"/>
      <c r="GG138"/>
      <c r="GH138"/>
      <c r="GI138"/>
      <c r="GJ138"/>
      <c r="GK138"/>
      <c r="GL138"/>
      <c r="GM138"/>
      <c r="GN138"/>
      <c r="GO138"/>
      <c r="GP138"/>
      <c r="GQ138"/>
      <c r="GR138"/>
      <c r="GS138"/>
      <c r="GT138"/>
      <c r="GU138"/>
      <c r="GV138"/>
      <c r="GW138"/>
      <c r="GX138"/>
      <c r="GY138"/>
      <c r="GZ138"/>
      <c r="HA138"/>
      <c r="HB138"/>
      <c r="HC138"/>
      <c r="HD138"/>
      <c r="HE138"/>
      <c r="HF138"/>
      <c r="HG138"/>
      <c r="HH138"/>
      <c r="HI138"/>
      <c r="HJ138"/>
      <c r="HK138"/>
      <c r="HL138"/>
      <c r="HM138"/>
      <c r="HN138"/>
      <c r="HO138"/>
      <c r="HP138"/>
      <c r="HQ138"/>
      <c r="HR138"/>
      <c r="HS138"/>
      <c r="HT138"/>
      <c r="HU138"/>
      <c r="HV138"/>
      <c r="HW138"/>
      <c r="HX138"/>
      <c r="HY138"/>
      <c r="HZ138"/>
      <c r="IA138"/>
      <c r="IB138"/>
      <c r="IC138"/>
      <c r="ID138"/>
      <c r="IE138"/>
      <c r="IF138"/>
      <c r="IG138"/>
      <c r="IH138"/>
      <c r="II138"/>
      <c r="IJ138"/>
      <c r="IK138"/>
      <c r="IL138"/>
      <c r="IM138"/>
      <c r="IN138"/>
      <c r="IO138"/>
      <c r="IP138"/>
      <c r="IQ138"/>
      <c r="IR138"/>
      <c r="IS138"/>
      <c r="IT138"/>
      <c r="IU138"/>
      <c r="IV138"/>
      <c r="IW138"/>
      <c r="IX138"/>
      <c r="IY138"/>
      <c r="IZ138"/>
      <c r="JA138"/>
      <c r="JB138"/>
      <c r="JC138"/>
      <c r="JD138"/>
      <c r="JE138"/>
      <c r="JF138"/>
      <c r="JG138"/>
      <c r="JH138"/>
      <c r="JI138"/>
      <c r="JJ138"/>
      <c r="JK138"/>
      <c r="JL138"/>
      <c r="JM138"/>
      <c r="JN138"/>
      <c r="JO138"/>
      <c r="JP138"/>
      <c r="JQ138"/>
      <c r="JR138"/>
      <c r="JS138"/>
      <c r="JT138"/>
      <c r="JU138"/>
      <c r="JV138"/>
    </row>
    <row r="139" spans="2:282" s="9" customFormat="1" ht="14.5" hidden="1" x14ac:dyDescent="0.35">
      <c r="B139" s="10"/>
      <c r="C139" s="10"/>
      <c r="O139" s="10"/>
      <c r="P139" s="10"/>
      <c r="Q139" s="10"/>
      <c r="R139" s="10"/>
      <c r="S139" s="10"/>
      <c r="T139" s="10"/>
      <c r="U139" s="10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  <c r="DD139"/>
      <c r="DE139"/>
      <c r="DF139"/>
      <c r="DG139"/>
      <c r="DH139"/>
      <c r="DI139"/>
      <c r="DJ139"/>
      <c r="DK139"/>
      <c r="DL139"/>
      <c r="DM139"/>
      <c r="DN139"/>
      <c r="DO139"/>
      <c r="DP139"/>
      <c r="DQ139"/>
      <c r="DR139"/>
      <c r="DS139"/>
      <c r="DT139"/>
      <c r="DU139"/>
      <c r="DV139"/>
      <c r="DW139"/>
      <c r="DX139"/>
      <c r="DY139"/>
      <c r="DZ139"/>
      <c r="EA139"/>
      <c r="EB139"/>
      <c r="EC139"/>
      <c r="ED139"/>
      <c r="EE139"/>
      <c r="EF139"/>
      <c r="EG139"/>
      <c r="EH139"/>
      <c r="EI139"/>
      <c r="EJ139"/>
      <c r="EK139"/>
      <c r="EL139"/>
      <c r="EM139"/>
      <c r="EN139"/>
      <c r="EO139"/>
      <c r="EP139"/>
      <c r="EQ139"/>
      <c r="ER139"/>
      <c r="ES139"/>
      <c r="ET139"/>
      <c r="EU139"/>
      <c r="EV139"/>
      <c r="EW139"/>
      <c r="EX139"/>
      <c r="EY139"/>
      <c r="EZ139"/>
      <c r="FA139"/>
      <c r="FB139"/>
      <c r="FC139"/>
      <c r="FD139"/>
      <c r="FE139"/>
      <c r="FF139"/>
      <c r="FG139"/>
      <c r="FH139"/>
      <c r="FI139"/>
      <c r="FJ139"/>
      <c r="FK139"/>
      <c r="FL139"/>
      <c r="FM139"/>
      <c r="FN139"/>
      <c r="FO139"/>
      <c r="FP139"/>
      <c r="FQ139"/>
      <c r="FR139"/>
      <c r="FS139"/>
      <c r="FT139"/>
      <c r="FU139"/>
      <c r="FV139"/>
      <c r="FW139"/>
      <c r="FX139"/>
      <c r="FY139"/>
      <c r="FZ139"/>
      <c r="GA139"/>
      <c r="GB139"/>
      <c r="GC139"/>
      <c r="GD139"/>
      <c r="GE139"/>
      <c r="GF139"/>
      <c r="GG139"/>
      <c r="GH139"/>
      <c r="GI139"/>
      <c r="GJ139"/>
      <c r="GK139"/>
      <c r="GL139"/>
      <c r="GM139"/>
      <c r="GN139"/>
      <c r="GO139"/>
      <c r="GP139"/>
      <c r="GQ139"/>
      <c r="GR139"/>
      <c r="GS139"/>
      <c r="GT139"/>
      <c r="GU139"/>
      <c r="GV139"/>
      <c r="GW139"/>
      <c r="GX139"/>
      <c r="GY139"/>
      <c r="GZ139"/>
      <c r="HA139"/>
      <c r="HB139"/>
      <c r="HC139"/>
      <c r="HD139"/>
      <c r="HE139"/>
      <c r="HF139"/>
      <c r="HG139"/>
      <c r="HH139"/>
      <c r="HI139"/>
      <c r="HJ139"/>
      <c r="HK139"/>
      <c r="HL139"/>
      <c r="HM139"/>
      <c r="HN139"/>
      <c r="HO139"/>
      <c r="HP139"/>
      <c r="HQ139"/>
      <c r="HR139"/>
      <c r="HS139"/>
      <c r="HT139"/>
      <c r="HU139"/>
      <c r="HV139"/>
      <c r="HW139"/>
      <c r="HX139"/>
      <c r="HY139"/>
      <c r="HZ139"/>
      <c r="IA139"/>
      <c r="IB139"/>
      <c r="IC139"/>
      <c r="ID139"/>
      <c r="IE139"/>
      <c r="IF139"/>
      <c r="IG139"/>
      <c r="IH139"/>
      <c r="II139"/>
      <c r="IJ139"/>
      <c r="IK139"/>
      <c r="IL139"/>
      <c r="IM139"/>
      <c r="IN139"/>
      <c r="IO139"/>
      <c r="IP139"/>
      <c r="IQ139"/>
      <c r="IR139"/>
      <c r="IS139"/>
      <c r="IT139"/>
      <c r="IU139"/>
      <c r="IV139"/>
      <c r="IW139"/>
      <c r="IX139"/>
      <c r="IY139"/>
      <c r="IZ139"/>
      <c r="JA139"/>
      <c r="JB139"/>
      <c r="JC139"/>
      <c r="JD139"/>
      <c r="JE139"/>
      <c r="JF139"/>
      <c r="JG139"/>
      <c r="JH139"/>
      <c r="JI139"/>
      <c r="JJ139"/>
      <c r="JK139"/>
      <c r="JL139"/>
      <c r="JM139"/>
      <c r="JN139"/>
      <c r="JO139"/>
      <c r="JP139"/>
      <c r="JQ139"/>
      <c r="JR139"/>
      <c r="JS139"/>
      <c r="JT139"/>
      <c r="JU139"/>
      <c r="JV139"/>
    </row>
    <row r="140" spans="2:282" s="9" customFormat="1" ht="14.5" hidden="1" x14ac:dyDescent="0.35">
      <c r="B140" s="10"/>
      <c r="C140" s="10"/>
      <c r="O140" s="10"/>
      <c r="P140" s="10"/>
      <c r="Q140" s="10"/>
      <c r="R140" s="10"/>
      <c r="S140" s="10"/>
      <c r="T140" s="10"/>
      <c r="U140" s="1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  <c r="DU140"/>
      <c r="DV140"/>
      <c r="DW140"/>
      <c r="DX140"/>
      <c r="DY140"/>
      <c r="DZ140"/>
      <c r="EA140"/>
      <c r="EB140"/>
      <c r="EC140"/>
      <c r="ED140"/>
      <c r="EE140"/>
      <c r="EF140"/>
      <c r="EG140"/>
      <c r="EH140"/>
      <c r="EI140"/>
      <c r="EJ140"/>
      <c r="EK140"/>
      <c r="EL140"/>
      <c r="EM140"/>
      <c r="EN140"/>
      <c r="EO140"/>
      <c r="EP140"/>
      <c r="EQ140"/>
      <c r="ER140"/>
      <c r="ES140"/>
      <c r="ET140"/>
      <c r="EU140"/>
      <c r="EV140"/>
      <c r="EW140"/>
      <c r="EX140"/>
      <c r="EY140"/>
      <c r="EZ140"/>
      <c r="FA140"/>
      <c r="FB140"/>
      <c r="FC140"/>
      <c r="FD140"/>
      <c r="FE140"/>
      <c r="FF140"/>
      <c r="FG140"/>
      <c r="FH140"/>
      <c r="FI140"/>
      <c r="FJ140"/>
      <c r="FK140"/>
      <c r="FL140"/>
      <c r="FM140"/>
      <c r="FN140"/>
      <c r="FO140"/>
      <c r="FP140"/>
      <c r="FQ140"/>
      <c r="FR140"/>
      <c r="FS140"/>
      <c r="FT140"/>
      <c r="FU140"/>
      <c r="FV140"/>
      <c r="FW140"/>
      <c r="FX140"/>
      <c r="FY140"/>
      <c r="FZ140"/>
      <c r="GA140"/>
      <c r="GB140"/>
      <c r="GC140"/>
      <c r="GD140"/>
      <c r="GE140"/>
      <c r="GF140"/>
      <c r="GG140"/>
      <c r="GH140"/>
      <c r="GI140"/>
      <c r="GJ140"/>
      <c r="GK140"/>
      <c r="GL140"/>
      <c r="GM140"/>
      <c r="GN140"/>
      <c r="GO140"/>
      <c r="GP140"/>
      <c r="GQ140"/>
      <c r="GR140"/>
      <c r="GS140"/>
      <c r="GT140"/>
      <c r="GU140"/>
      <c r="GV140"/>
      <c r="GW140"/>
      <c r="GX140"/>
      <c r="GY140"/>
      <c r="GZ140"/>
      <c r="HA140"/>
      <c r="HB140"/>
      <c r="HC140"/>
      <c r="HD140"/>
      <c r="HE140"/>
      <c r="HF140"/>
      <c r="HG140"/>
      <c r="HH140"/>
      <c r="HI140"/>
      <c r="HJ140"/>
      <c r="HK140"/>
      <c r="HL140"/>
      <c r="HM140"/>
      <c r="HN140"/>
      <c r="HO140"/>
      <c r="HP140"/>
      <c r="HQ140"/>
      <c r="HR140"/>
      <c r="HS140"/>
      <c r="HT140"/>
      <c r="HU140"/>
      <c r="HV140"/>
      <c r="HW140"/>
      <c r="HX140"/>
      <c r="HY140"/>
      <c r="HZ140"/>
      <c r="IA140"/>
      <c r="IB140"/>
      <c r="IC140"/>
      <c r="ID140"/>
      <c r="IE140"/>
      <c r="IF140"/>
      <c r="IG140"/>
      <c r="IH140"/>
      <c r="II140"/>
      <c r="IJ140"/>
      <c r="IK140"/>
      <c r="IL140"/>
      <c r="IM140"/>
      <c r="IN140"/>
      <c r="IO140"/>
      <c r="IP140"/>
      <c r="IQ140"/>
      <c r="IR140"/>
      <c r="IS140"/>
      <c r="IT140"/>
      <c r="IU140"/>
      <c r="IV140"/>
      <c r="IW140"/>
      <c r="IX140"/>
      <c r="IY140"/>
      <c r="IZ140"/>
      <c r="JA140"/>
      <c r="JB140"/>
      <c r="JC140"/>
      <c r="JD140"/>
      <c r="JE140"/>
      <c r="JF140"/>
      <c r="JG140"/>
      <c r="JH140"/>
      <c r="JI140"/>
      <c r="JJ140"/>
      <c r="JK140"/>
      <c r="JL140"/>
      <c r="JM140"/>
      <c r="JN140"/>
      <c r="JO140"/>
      <c r="JP140"/>
      <c r="JQ140"/>
      <c r="JR140"/>
      <c r="JS140"/>
      <c r="JT140"/>
      <c r="JU140"/>
      <c r="JV140"/>
    </row>
    <row r="141" spans="2:282" s="9" customFormat="1" ht="14.5" hidden="1" x14ac:dyDescent="0.35">
      <c r="B141" s="10"/>
      <c r="C141" s="10"/>
      <c r="O141" s="10"/>
      <c r="P141" s="10"/>
      <c r="Q141" s="10"/>
      <c r="R141" s="10"/>
      <c r="S141" s="10"/>
      <c r="T141" s="10"/>
      <c r="U141" s="10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  <c r="CN141"/>
      <c r="CO141"/>
      <c r="CP141"/>
      <c r="CQ141"/>
      <c r="CR141"/>
      <c r="CS141"/>
      <c r="CT141"/>
      <c r="CU141"/>
      <c r="CV141"/>
      <c r="CW141"/>
      <c r="CX141"/>
      <c r="CY141"/>
      <c r="CZ141"/>
      <c r="DA141"/>
      <c r="DB141"/>
      <c r="DC141"/>
      <c r="DD141"/>
      <c r="DE141"/>
      <c r="DF141"/>
      <c r="DG141"/>
      <c r="DH141"/>
      <c r="DI141"/>
      <c r="DJ141"/>
      <c r="DK141"/>
      <c r="DL141"/>
      <c r="DM141"/>
      <c r="DN141"/>
      <c r="DO141"/>
      <c r="DP141"/>
      <c r="DQ141"/>
      <c r="DR141"/>
      <c r="DS141"/>
      <c r="DT141"/>
      <c r="DU141"/>
      <c r="DV141"/>
      <c r="DW141"/>
      <c r="DX141"/>
      <c r="DY141"/>
      <c r="DZ141"/>
      <c r="EA141"/>
      <c r="EB141"/>
      <c r="EC141"/>
      <c r="ED141"/>
      <c r="EE141"/>
      <c r="EF141"/>
      <c r="EG141"/>
      <c r="EH141"/>
      <c r="EI141"/>
      <c r="EJ141"/>
      <c r="EK141"/>
      <c r="EL141"/>
      <c r="EM141"/>
      <c r="EN141"/>
      <c r="EO141"/>
      <c r="EP141"/>
      <c r="EQ141"/>
      <c r="ER141"/>
      <c r="ES141"/>
      <c r="ET141"/>
      <c r="EU141"/>
      <c r="EV141"/>
      <c r="EW141"/>
      <c r="EX141"/>
      <c r="EY141"/>
      <c r="EZ141"/>
      <c r="FA141"/>
      <c r="FB141"/>
      <c r="FC141"/>
      <c r="FD141"/>
      <c r="FE141"/>
      <c r="FF141"/>
      <c r="FG141"/>
      <c r="FH141"/>
      <c r="FI141"/>
      <c r="FJ141"/>
      <c r="FK141"/>
      <c r="FL141"/>
      <c r="FM141"/>
      <c r="FN141"/>
      <c r="FO141"/>
      <c r="FP141"/>
      <c r="FQ141"/>
      <c r="FR141"/>
      <c r="FS141"/>
      <c r="FT141"/>
      <c r="FU141"/>
      <c r="FV141"/>
      <c r="FW141"/>
      <c r="FX141"/>
      <c r="FY141"/>
      <c r="FZ141"/>
      <c r="GA141"/>
      <c r="GB141"/>
      <c r="GC141"/>
      <c r="GD141"/>
      <c r="GE141"/>
      <c r="GF141"/>
      <c r="GG141"/>
      <c r="GH141"/>
      <c r="GI141"/>
      <c r="GJ141"/>
      <c r="GK141"/>
      <c r="GL141"/>
      <c r="GM141"/>
      <c r="GN141"/>
      <c r="GO141"/>
      <c r="GP141"/>
      <c r="GQ141"/>
      <c r="GR141"/>
      <c r="GS141"/>
      <c r="GT141"/>
      <c r="GU141"/>
      <c r="GV141"/>
      <c r="GW141"/>
      <c r="GX141"/>
      <c r="GY141"/>
      <c r="GZ141"/>
      <c r="HA141"/>
      <c r="HB141"/>
      <c r="HC141"/>
      <c r="HD141"/>
      <c r="HE141"/>
      <c r="HF141"/>
      <c r="HG141"/>
      <c r="HH141"/>
      <c r="HI141"/>
      <c r="HJ141"/>
      <c r="HK141"/>
      <c r="HL141"/>
      <c r="HM141"/>
      <c r="HN141"/>
      <c r="HO141"/>
      <c r="HP141"/>
      <c r="HQ141"/>
      <c r="HR141"/>
      <c r="HS141"/>
      <c r="HT141"/>
      <c r="HU141"/>
      <c r="HV141"/>
      <c r="HW141"/>
      <c r="HX141"/>
      <c r="HY141"/>
      <c r="HZ141"/>
      <c r="IA141"/>
      <c r="IB141"/>
      <c r="IC141"/>
      <c r="ID141"/>
      <c r="IE141"/>
      <c r="IF141"/>
      <c r="IG141"/>
      <c r="IH141"/>
      <c r="II141"/>
      <c r="IJ141"/>
      <c r="IK141"/>
      <c r="IL141"/>
      <c r="IM141"/>
      <c r="IN141"/>
      <c r="IO141"/>
      <c r="IP141"/>
      <c r="IQ141"/>
      <c r="IR141"/>
      <c r="IS141"/>
      <c r="IT141"/>
      <c r="IU141"/>
      <c r="IV141"/>
      <c r="IW141"/>
      <c r="IX141"/>
      <c r="IY141"/>
      <c r="IZ141"/>
      <c r="JA141"/>
      <c r="JB141"/>
      <c r="JC141"/>
      <c r="JD141"/>
      <c r="JE141"/>
      <c r="JF141"/>
      <c r="JG141"/>
      <c r="JH141"/>
      <c r="JI141"/>
      <c r="JJ141"/>
      <c r="JK141"/>
      <c r="JL141"/>
      <c r="JM141"/>
      <c r="JN141"/>
      <c r="JO141"/>
      <c r="JP141"/>
      <c r="JQ141"/>
      <c r="JR141"/>
      <c r="JS141"/>
      <c r="JT141"/>
      <c r="JU141"/>
      <c r="JV141"/>
    </row>
    <row r="142" spans="2:282" s="9" customFormat="1" ht="14.5" hidden="1" x14ac:dyDescent="0.35">
      <c r="B142" s="10"/>
      <c r="C142" s="10"/>
      <c r="O142" s="10"/>
      <c r="P142" s="10"/>
      <c r="Q142" s="10"/>
      <c r="R142" s="10"/>
      <c r="S142" s="10"/>
      <c r="T142" s="10"/>
      <c r="U142" s="10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  <c r="DU142"/>
      <c r="DV142"/>
      <c r="DW142"/>
      <c r="DX142"/>
      <c r="DY142"/>
      <c r="DZ142"/>
      <c r="EA142"/>
      <c r="EB142"/>
      <c r="EC142"/>
      <c r="ED142"/>
      <c r="EE142"/>
      <c r="EF142"/>
      <c r="EG142"/>
      <c r="EH142"/>
      <c r="EI142"/>
      <c r="EJ142"/>
      <c r="EK142"/>
      <c r="EL142"/>
      <c r="EM142"/>
      <c r="EN142"/>
      <c r="EO142"/>
      <c r="EP142"/>
      <c r="EQ142"/>
      <c r="ER142"/>
      <c r="ES142"/>
      <c r="ET142"/>
      <c r="EU142"/>
      <c r="EV142"/>
      <c r="EW142"/>
      <c r="EX142"/>
      <c r="EY142"/>
      <c r="EZ142"/>
      <c r="FA142"/>
      <c r="FB142"/>
      <c r="FC142"/>
      <c r="FD142"/>
      <c r="FE142"/>
      <c r="FF142"/>
      <c r="FG142"/>
      <c r="FH142"/>
      <c r="FI142"/>
      <c r="FJ142"/>
      <c r="FK142"/>
      <c r="FL142"/>
      <c r="FM142"/>
      <c r="FN142"/>
      <c r="FO142"/>
      <c r="FP142"/>
      <c r="FQ142"/>
      <c r="FR142"/>
      <c r="FS142"/>
      <c r="FT142"/>
      <c r="FU142"/>
      <c r="FV142"/>
      <c r="FW142"/>
      <c r="FX142"/>
      <c r="FY142"/>
      <c r="FZ142"/>
      <c r="GA142"/>
      <c r="GB142"/>
      <c r="GC142"/>
      <c r="GD142"/>
      <c r="GE142"/>
      <c r="GF142"/>
      <c r="GG142"/>
      <c r="GH142"/>
      <c r="GI142"/>
      <c r="GJ142"/>
      <c r="GK142"/>
      <c r="GL142"/>
      <c r="GM142"/>
      <c r="GN142"/>
      <c r="GO142"/>
      <c r="GP142"/>
      <c r="GQ142"/>
      <c r="GR142"/>
      <c r="GS142"/>
      <c r="GT142"/>
      <c r="GU142"/>
      <c r="GV142"/>
      <c r="GW142"/>
      <c r="GX142"/>
      <c r="GY142"/>
      <c r="GZ142"/>
      <c r="HA142"/>
      <c r="HB142"/>
      <c r="HC142"/>
      <c r="HD142"/>
      <c r="HE142"/>
      <c r="HF142"/>
      <c r="HG142"/>
      <c r="HH142"/>
      <c r="HI142"/>
      <c r="HJ142"/>
      <c r="HK142"/>
      <c r="HL142"/>
      <c r="HM142"/>
      <c r="HN142"/>
      <c r="HO142"/>
      <c r="HP142"/>
      <c r="HQ142"/>
      <c r="HR142"/>
      <c r="HS142"/>
      <c r="HT142"/>
      <c r="HU142"/>
      <c r="HV142"/>
      <c r="HW142"/>
      <c r="HX142"/>
      <c r="HY142"/>
      <c r="HZ142"/>
      <c r="IA142"/>
      <c r="IB142"/>
      <c r="IC142"/>
      <c r="ID142"/>
      <c r="IE142"/>
      <c r="IF142"/>
      <c r="IG142"/>
      <c r="IH142"/>
      <c r="II142"/>
      <c r="IJ142"/>
      <c r="IK142"/>
      <c r="IL142"/>
      <c r="IM142"/>
      <c r="IN142"/>
      <c r="IO142"/>
      <c r="IP142"/>
      <c r="IQ142"/>
      <c r="IR142"/>
      <c r="IS142"/>
      <c r="IT142"/>
      <c r="IU142"/>
      <c r="IV142"/>
      <c r="IW142"/>
      <c r="IX142"/>
      <c r="IY142"/>
      <c r="IZ142"/>
      <c r="JA142"/>
      <c r="JB142"/>
      <c r="JC142"/>
      <c r="JD142"/>
      <c r="JE142"/>
      <c r="JF142"/>
      <c r="JG142"/>
      <c r="JH142"/>
      <c r="JI142"/>
      <c r="JJ142"/>
      <c r="JK142"/>
      <c r="JL142"/>
      <c r="JM142"/>
      <c r="JN142"/>
      <c r="JO142"/>
      <c r="JP142"/>
      <c r="JQ142"/>
      <c r="JR142"/>
      <c r="JS142"/>
      <c r="JT142"/>
      <c r="JU142"/>
      <c r="JV142"/>
    </row>
    <row r="143" spans="2:282" s="9" customFormat="1" ht="14.5" hidden="1" x14ac:dyDescent="0.35">
      <c r="B143" s="10"/>
      <c r="C143" s="10"/>
      <c r="O143" s="10"/>
      <c r="P143" s="10"/>
      <c r="Q143" s="10"/>
      <c r="R143" s="10"/>
      <c r="S143" s="10"/>
      <c r="T143" s="10"/>
      <c r="U143" s="10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  <c r="DU143"/>
      <c r="DV143"/>
      <c r="DW143"/>
      <c r="DX143"/>
      <c r="DY143"/>
      <c r="DZ143"/>
      <c r="EA143"/>
      <c r="EB143"/>
      <c r="EC143"/>
      <c r="ED143"/>
      <c r="EE143"/>
      <c r="EF143"/>
      <c r="EG143"/>
      <c r="EH143"/>
      <c r="EI143"/>
      <c r="EJ143"/>
      <c r="EK143"/>
      <c r="EL143"/>
      <c r="EM143"/>
      <c r="EN143"/>
      <c r="EO143"/>
      <c r="EP143"/>
      <c r="EQ143"/>
      <c r="ER143"/>
      <c r="ES143"/>
      <c r="ET143"/>
      <c r="EU143"/>
      <c r="EV143"/>
      <c r="EW143"/>
      <c r="EX143"/>
      <c r="EY143"/>
      <c r="EZ143"/>
      <c r="FA143"/>
      <c r="FB143"/>
      <c r="FC143"/>
      <c r="FD143"/>
      <c r="FE143"/>
      <c r="FF143"/>
      <c r="FG143"/>
      <c r="FH143"/>
      <c r="FI143"/>
      <c r="FJ143"/>
      <c r="FK143"/>
      <c r="FL143"/>
      <c r="FM143"/>
      <c r="FN143"/>
      <c r="FO143"/>
      <c r="FP143"/>
      <c r="FQ143"/>
      <c r="FR143"/>
      <c r="FS143"/>
      <c r="FT143"/>
      <c r="FU143"/>
      <c r="FV143"/>
      <c r="FW143"/>
      <c r="FX143"/>
      <c r="FY143"/>
      <c r="FZ143"/>
      <c r="GA143"/>
      <c r="GB143"/>
      <c r="GC143"/>
      <c r="GD143"/>
      <c r="GE143"/>
      <c r="GF143"/>
      <c r="GG143"/>
      <c r="GH143"/>
      <c r="GI143"/>
      <c r="GJ143"/>
      <c r="GK143"/>
      <c r="GL143"/>
      <c r="GM143"/>
      <c r="GN143"/>
      <c r="GO143"/>
      <c r="GP143"/>
      <c r="GQ143"/>
      <c r="GR143"/>
      <c r="GS143"/>
      <c r="GT143"/>
      <c r="GU143"/>
      <c r="GV143"/>
      <c r="GW143"/>
      <c r="GX143"/>
      <c r="GY143"/>
      <c r="GZ143"/>
      <c r="HA143"/>
      <c r="HB143"/>
      <c r="HC143"/>
      <c r="HD143"/>
      <c r="HE143"/>
      <c r="HF143"/>
      <c r="HG143"/>
      <c r="HH143"/>
      <c r="HI143"/>
      <c r="HJ143"/>
      <c r="HK143"/>
      <c r="HL143"/>
      <c r="HM143"/>
      <c r="HN143"/>
      <c r="HO143"/>
      <c r="HP143"/>
      <c r="HQ143"/>
      <c r="HR143"/>
      <c r="HS143"/>
      <c r="HT143"/>
      <c r="HU143"/>
      <c r="HV143"/>
      <c r="HW143"/>
      <c r="HX143"/>
      <c r="HY143"/>
      <c r="HZ143"/>
      <c r="IA143"/>
      <c r="IB143"/>
      <c r="IC143"/>
      <c r="ID143"/>
      <c r="IE143"/>
      <c r="IF143"/>
      <c r="IG143"/>
      <c r="IH143"/>
      <c r="II143"/>
      <c r="IJ143"/>
      <c r="IK143"/>
      <c r="IL143"/>
      <c r="IM143"/>
      <c r="IN143"/>
      <c r="IO143"/>
      <c r="IP143"/>
      <c r="IQ143"/>
      <c r="IR143"/>
      <c r="IS143"/>
      <c r="IT143"/>
      <c r="IU143"/>
      <c r="IV143"/>
      <c r="IW143"/>
      <c r="IX143"/>
      <c r="IY143"/>
      <c r="IZ143"/>
      <c r="JA143"/>
      <c r="JB143"/>
      <c r="JC143"/>
      <c r="JD143"/>
      <c r="JE143"/>
      <c r="JF143"/>
      <c r="JG143"/>
      <c r="JH143"/>
      <c r="JI143"/>
      <c r="JJ143"/>
      <c r="JK143"/>
      <c r="JL143"/>
      <c r="JM143"/>
      <c r="JN143"/>
      <c r="JO143"/>
      <c r="JP143"/>
      <c r="JQ143"/>
      <c r="JR143"/>
      <c r="JS143"/>
      <c r="JT143"/>
      <c r="JU143"/>
      <c r="JV143"/>
    </row>
    <row r="144" spans="2:282" s="9" customFormat="1" ht="14.5" hidden="1" x14ac:dyDescent="0.35">
      <c r="B144" s="10"/>
      <c r="C144" s="10"/>
      <c r="O144" s="10"/>
      <c r="P144" s="10"/>
      <c r="Q144" s="10"/>
      <c r="R144" s="10"/>
      <c r="S144" s="10"/>
      <c r="T144" s="10"/>
      <c r="U144" s="10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  <c r="DU144"/>
      <c r="DV144"/>
      <c r="DW144"/>
      <c r="DX144"/>
      <c r="DY144"/>
      <c r="DZ144"/>
      <c r="EA144"/>
      <c r="EB144"/>
      <c r="EC144"/>
      <c r="ED144"/>
      <c r="EE144"/>
      <c r="EF144"/>
      <c r="EG144"/>
      <c r="EH144"/>
      <c r="EI144"/>
      <c r="EJ144"/>
      <c r="EK144"/>
      <c r="EL144"/>
      <c r="EM144"/>
      <c r="EN144"/>
      <c r="EO144"/>
      <c r="EP144"/>
      <c r="EQ144"/>
      <c r="ER144"/>
      <c r="ES144"/>
      <c r="ET144"/>
      <c r="EU144"/>
      <c r="EV144"/>
      <c r="EW144"/>
      <c r="EX144"/>
      <c r="EY144"/>
      <c r="EZ144"/>
      <c r="FA144"/>
      <c r="FB144"/>
      <c r="FC144"/>
      <c r="FD144"/>
      <c r="FE144"/>
      <c r="FF144"/>
      <c r="FG144"/>
      <c r="FH144"/>
      <c r="FI144"/>
      <c r="FJ144"/>
      <c r="FK144"/>
      <c r="FL144"/>
      <c r="FM144"/>
      <c r="FN144"/>
      <c r="FO144"/>
      <c r="FP144"/>
      <c r="FQ144"/>
      <c r="FR144"/>
      <c r="FS144"/>
      <c r="FT144"/>
      <c r="FU144"/>
      <c r="FV144"/>
      <c r="FW144"/>
      <c r="FX144"/>
      <c r="FY144"/>
      <c r="FZ144"/>
      <c r="GA144"/>
      <c r="GB144"/>
      <c r="GC144"/>
      <c r="GD144"/>
      <c r="GE144"/>
      <c r="GF144"/>
      <c r="GG144"/>
      <c r="GH144"/>
      <c r="GI144"/>
      <c r="GJ144"/>
      <c r="GK144"/>
      <c r="GL144"/>
      <c r="GM144"/>
      <c r="GN144"/>
      <c r="GO144"/>
      <c r="GP144"/>
      <c r="GQ144"/>
      <c r="GR144"/>
      <c r="GS144"/>
      <c r="GT144"/>
      <c r="GU144"/>
      <c r="GV144"/>
      <c r="GW144"/>
      <c r="GX144"/>
      <c r="GY144"/>
      <c r="GZ144"/>
      <c r="HA144"/>
      <c r="HB144"/>
      <c r="HC144"/>
      <c r="HD144"/>
      <c r="HE144"/>
      <c r="HF144"/>
      <c r="HG144"/>
      <c r="HH144"/>
      <c r="HI144"/>
      <c r="HJ144"/>
      <c r="HK144"/>
      <c r="HL144"/>
      <c r="HM144"/>
      <c r="HN144"/>
      <c r="HO144"/>
      <c r="HP144"/>
      <c r="HQ144"/>
      <c r="HR144"/>
      <c r="HS144"/>
      <c r="HT144"/>
      <c r="HU144"/>
      <c r="HV144"/>
      <c r="HW144"/>
      <c r="HX144"/>
      <c r="HY144"/>
      <c r="HZ144"/>
      <c r="IA144"/>
      <c r="IB144"/>
      <c r="IC144"/>
      <c r="ID144"/>
      <c r="IE144"/>
      <c r="IF144"/>
      <c r="IG144"/>
      <c r="IH144"/>
      <c r="II144"/>
      <c r="IJ144"/>
      <c r="IK144"/>
      <c r="IL144"/>
      <c r="IM144"/>
      <c r="IN144"/>
      <c r="IO144"/>
      <c r="IP144"/>
      <c r="IQ144"/>
      <c r="IR144"/>
      <c r="IS144"/>
      <c r="IT144"/>
      <c r="IU144"/>
      <c r="IV144"/>
      <c r="IW144"/>
      <c r="IX144"/>
      <c r="IY144"/>
      <c r="IZ144"/>
      <c r="JA144"/>
      <c r="JB144"/>
      <c r="JC144"/>
      <c r="JD144"/>
      <c r="JE144"/>
      <c r="JF144"/>
      <c r="JG144"/>
      <c r="JH144"/>
      <c r="JI144"/>
      <c r="JJ144"/>
      <c r="JK144"/>
      <c r="JL144"/>
      <c r="JM144"/>
      <c r="JN144"/>
      <c r="JO144"/>
      <c r="JP144"/>
      <c r="JQ144"/>
      <c r="JR144"/>
      <c r="JS144"/>
      <c r="JT144"/>
      <c r="JU144"/>
      <c r="JV144"/>
    </row>
    <row r="145" spans="2:282" s="9" customFormat="1" ht="14.5" hidden="1" x14ac:dyDescent="0.35">
      <c r="B145" s="10"/>
      <c r="C145" s="10"/>
      <c r="O145" s="10"/>
      <c r="P145" s="10"/>
      <c r="Q145" s="10"/>
      <c r="R145" s="10"/>
      <c r="S145" s="10"/>
      <c r="T145" s="10"/>
      <c r="U145" s="10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  <c r="CN145"/>
      <c r="CO145"/>
      <c r="CP145"/>
      <c r="CQ145"/>
      <c r="CR145"/>
      <c r="CS145"/>
      <c r="CT145"/>
      <c r="CU145"/>
      <c r="CV145"/>
      <c r="CW145"/>
      <c r="CX145"/>
      <c r="CY145"/>
      <c r="CZ145"/>
      <c r="DA145"/>
      <c r="DB145"/>
      <c r="DC145"/>
      <c r="DD145"/>
      <c r="DE145"/>
      <c r="DF145"/>
      <c r="DG145"/>
      <c r="DH145"/>
      <c r="DI145"/>
      <c r="DJ145"/>
      <c r="DK145"/>
      <c r="DL145"/>
      <c r="DM145"/>
      <c r="DN145"/>
      <c r="DO145"/>
      <c r="DP145"/>
      <c r="DQ145"/>
      <c r="DR145"/>
      <c r="DS145"/>
      <c r="DT145"/>
      <c r="DU145"/>
      <c r="DV145"/>
      <c r="DW145"/>
      <c r="DX145"/>
      <c r="DY145"/>
      <c r="DZ145"/>
      <c r="EA145"/>
      <c r="EB145"/>
      <c r="EC145"/>
      <c r="ED145"/>
      <c r="EE145"/>
      <c r="EF145"/>
      <c r="EG145"/>
      <c r="EH145"/>
      <c r="EI145"/>
      <c r="EJ145"/>
      <c r="EK145"/>
      <c r="EL145"/>
      <c r="EM145"/>
      <c r="EN145"/>
      <c r="EO145"/>
      <c r="EP145"/>
      <c r="EQ145"/>
      <c r="ER145"/>
      <c r="ES145"/>
      <c r="ET145"/>
      <c r="EU145"/>
      <c r="EV145"/>
      <c r="EW145"/>
      <c r="EX145"/>
      <c r="EY145"/>
      <c r="EZ145"/>
      <c r="FA145"/>
      <c r="FB145"/>
      <c r="FC145"/>
      <c r="FD145"/>
      <c r="FE145"/>
      <c r="FF145"/>
      <c r="FG145"/>
      <c r="FH145"/>
      <c r="FI145"/>
      <c r="FJ145"/>
      <c r="FK145"/>
      <c r="FL145"/>
      <c r="FM145"/>
      <c r="FN145"/>
      <c r="FO145"/>
      <c r="FP145"/>
      <c r="FQ145"/>
      <c r="FR145"/>
      <c r="FS145"/>
      <c r="FT145"/>
      <c r="FU145"/>
      <c r="FV145"/>
      <c r="FW145"/>
      <c r="FX145"/>
      <c r="FY145"/>
      <c r="FZ145"/>
      <c r="GA145"/>
      <c r="GB145"/>
      <c r="GC145"/>
      <c r="GD145"/>
      <c r="GE145"/>
      <c r="GF145"/>
      <c r="GG145"/>
      <c r="GH145"/>
      <c r="GI145"/>
      <c r="GJ145"/>
      <c r="GK145"/>
      <c r="GL145"/>
      <c r="GM145"/>
      <c r="GN145"/>
      <c r="GO145"/>
      <c r="GP145"/>
      <c r="GQ145"/>
      <c r="GR145"/>
      <c r="GS145"/>
      <c r="GT145"/>
      <c r="GU145"/>
      <c r="GV145"/>
      <c r="GW145"/>
      <c r="GX145"/>
      <c r="GY145"/>
      <c r="GZ145"/>
      <c r="HA145"/>
      <c r="HB145"/>
      <c r="HC145"/>
      <c r="HD145"/>
      <c r="HE145"/>
      <c r="HF145"/>
      <c r="HG145"/>
      <c r="HH145"/>
      <c r="HI145"/>
      <c r="HJ145"/>
      <c r="HK145"/>
      <c r="HL145"/>
      <c r="HM145"/>
      <c r="HN145"/>
      <c r="HO145"/>
      <c r="HP145"/>
      <c r="HQ145"/>
      <c r="HR145"/>
      <c r="HS145"/>
      <c r="HT145"/>
      <c r="HU145"/>
      <c r="HV145"/>
      <c r="HW145"/>
      <c r="HX145"/>
      <c r="HY145"/>
      <c r="HZ145"/>
      <c r="IA145"/>
      <c r="IB145"/>
      <c r="IC145"/>
      <c r="ID145"/>
      <c r="IE145"/>
      <c r="IF145"/>
      <c r="IG145"/>
      <c r="IH145"/>
      <c r="II145"/>
      <c r="IJ145"/>
      <c r="IK145"/>
      <c r="IL145"/>
      <c r="IM145"/>
      <c r="IN145"/>
      <c r="IO145"/>
      <c r="IP145"/>
      <c r="IQ145"/>
      <c r="IR145"/>
      <c r="IS145"/>
      <c r="IT145"/>
      <c r="IU145"/>
      <c r="IV145"/>
      <c r="IW145"/>
      <c r="IX145"/>
      <c r="IY145"/>
      <c r="IZ145"/>
      <c r="JA145"/>
      <c r="JB145"/>
      <c r="JC145"/>
      <c r="JD145"/>
      <c r="JE145"/>
      <c r="JF145"/>
      <c r="JG145"/>
      <c r="JH145"/>
      <c r="JI145"/>
      <c r="JJ145"/>
      <c r="JK145"/>
      <c r="JL145"/>
      <c r="JM145"/>
      <c r="JN145"/>
      <c r="JO145"/>
      <c r="JP145"/>
      <c r="JQ145"/>
      <c r="JR145"/>
      <c r="JS145"/>
      <c r="JT145"/>
      <c r="JU145"/>
      <c r="JV145"/>
    </row>
    <row r="146" spans="2:282" s="9" customFormat="1" ht="14.5" hidden="1" x14ac:dyDescent="0.35">
      <c r="B146" s="10"/>
      <c r="C146" s="10"/>
      <c r="O146" s="10"/>
      <c r="P146" s="10"/>
      <c r="Q146" s="10"/>
      <c r="R146" s="10"/>
      <c r="S146" s="10"/>
      <c r="T146" s="10"/>
      <c r="U146" s="10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  <c r="CN146"/>
      <c r="CO146"/>
      <c r="CP146"/>
      <c r="CQ146"/>
      <c r="CR146"/>
      <c r="CS146"/>
      <c r="CT146"/>
      <c r="CU146"/>
      <c r="CV146"/>
      <c r="CW146"/>
      <c r="CX146"/>
      <c r="CY146"/>
      <c r="CZ146"/>
      <c r="DA146"/>
      <c r="DB146"/>
      <c r="DC146"/>
      <c r="DD146"/>
      <c r="DE146"/>
      <c r="DF146"/>
      <c r="DG146"/>
      <c r="DH146"/>
      <c r="DI146"/>
      <c r="DJ146"/>
      <c r="DK146"/>
      <c r="DL146"/>
      <c r="DM146"/>
      <c r="DN146"/>
      <c r="DO146"/>
      <c r="DP146"/>
      <c r="DQ146"/>
      <c r="DR146"/>
      <c r="DS146"/>
      <c r="DT146"/>
      <c r="DU146"/>
      <c r="DV146"/>
      <c r="DW146"/>
      <c r="DX146"/>
      <c r="DY146"/>
      <c r="DZ146"/>
      <c r="EA146"/>
      <c r="EB146"/>
      <c r="EC146"/>
      <c r="ED146"/>
      <c r="EE146"/>
      <c r="EF146"/>
      <c r="EG146"/>
      <c r="EH146"/>
      <c r="EI146"/>
      <c r="EJ146"/>
      <c r="EK146"/>
      <c r="EL146"/>
      <c r="EM146"/>
      <c r="EN146"/>
      <c r="EO146"/>
      <c r="EP146"/>
      <c r="EQ146"/>
      <c r="ER146"/>
      <c r="ES146"/>
      <c r="ET146"/>
      <c r="EU146"/>
      <c r="EV146"/>
      <c r="EW146"/>
      <c r="EX146"/>
      <c r="EY146"/>
      <c r="EZ146"/>
      <c r="FA146"/>
      <c r="FB146"/>
      <c r="FC146"/>
      <c r="FD146"/>
      <c r="FE146"/>
      <c r="FF146"/>
      <c r="FG146"/>
      <c r="FH146"/>
      <c r="FI146"/>
      <c r="FJ146"/>
      <c r="FK146"/>
      <c r="FL146"/>
      <c r="FM146"/>
      <c r="FN146"/>
      <c r="FO146"/>
      <c r="FP146"/>
      <c r="FQ146"/>
      <c r="FR146"/>
      <c r="FS146"/>
      <c r="FT146"/>
      <c r="FU146"/>
      <c r="FV146"/>
      <c r="FW146"/>
      <c r="FX146"/>
      <c r="FY146"/>
      <c r="FZ146"/>
      <c r="GA146"/>
      <c r="GB146"/>
      <c r="GC146"/>
      <c r="GD146"/>
      <c r="GE146"/>
      <c r="GF146"/>
      <c r="GG146"/>
      <c r="GH146"/>
      <c r="GI146"/>
      <c r="GJ146"/>
      <c r="GK146"/>
      <c r="GL146"/>
      <c r="GM146"/>
      <c r="GN146"/>
      <c r="GO146"/>
      <c r="GP146"/>
      <c r="GQ146"/>
      <c r="GR146"/>
      <c r="GS146"/>
      <c r="GT146"/>
      <c r="GU146"/>
      <c r="GV146"/>
      <c r="GW146"/>
      <c r="GX146"/>
      <c r="GY146"/>
      <c r="GZ146"/>
      <c r="HA146"/>
      <c r="HB146"/>
      <c r="HC146"/>
      <c r="HD146"/>
      <c r="HE146"/>
      <c r="HF146"/>
      <c r="HG146"/>
      <c r="HH146"/>
      <c r="HI146"/>
      <c r="HJ146"/>
      <c r="HK146"/>
      <c r="HL146"/>
      <c r="HM146"/>
      <c r="HN146"/>
      <c r="HO146"/>
      <c r="HP146"/>
      <c r="HQ146"/>
      <c r="HR146"/>
      <c r="HS146"/>
      <c r="HT146"/>
      <c r="HU146"/>
      <c r="HV146"/>
      <c r="HW146"/>
      <c r="HX146"/>
      <c r="HY146"/>
      <c r="HZ146"/>
      <c r="IA146"/>
      <c r="IB146"/>
      <c r="IC146"/>
      <c r="ID146"/>
      <c r="IE146"/>
      <c r="IF146"/>
      <c r="IG146"/>
      <c r="IH146"/>
      <c r="II146"/>
      <c r="IJ146"/>
      <c r="IK146"/>
      <c r="IL146"/>
      <c r="IM146"/>
      <c r="IN146"/>
      <c r="IO146"/>
      <c r="IP146"/>
      <c r="IQ146"/>
      <c r="IR146"/>
      <c r="IS146"/>
      <c r="IT146"/>
      <c r="IU146"/>
      <c r="IV146"/>
      <c r="IW146"/>
      <c r="IX146"/>
      <c r="IY146"/>
      <c r="IZ146"/>
      <c r="JA146"/>
      <c r="JB146"/>
      <c r="JC146"/>
      <c r="JD146"/>
      <c r="JE146"/>
      <c r="JF146"/>
      <c r="JG146"/>
      <c r="JH146"/>
      <c r="JI146"/>
      <c r="JJ146"/>
      <c r="JK146"/>
      <c r="JL146"/>
      <c r="JM146"/>
      <c r="JN146"/>
      <c r="JO146"/>
      <c r="JP146"/>
      <c r="JQ146"/>
      <c r="JR146"/>
      <c r="JS146"/>
      <c r="JT146"/>
      <c r="JU146"/>
      <c r="JV146"/>
    </row>
    <row r="147" spans="2:282" s="9" customFormat="1" ht="14.5" hidden="1" x14ac:dyDescent="0.35">
      <c r="B147" s="10"/>
      <c r="C147" s="10"/>
      <c r="O147" s="10"/>
      <c r="P147" s="10"/>
      <c r="Q147" s="10"/>
      <c r="R147" s="10"/>
      <c r="S147" s="10"/>
      <c r="T147" s="10"/>
      <c r="U147" s="10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  <c r="CN147"/>
      <c r="CO147"/>
      <c r="CP147"/>
      <c r="CQ147"/>
      <c r="CR147"/>
      <c r="CS147"/>
      <c r="CT147"/>
      <c r="CU147"/>
      <c r="CV147"/>
      <c r="CW147"/>
      <c r="CX147"/>
      <c r="CY147"/>
      <c r="CZ147"/>
      <c r="DA147"/>
      <c r="DB147"/>
      <c r="DC147"/>
      <c r="DD147"/>
      <c r="DE147"/>
      <c r="DF147"/>
      <c r="DG147"/>
      <c r="DH147"/>
      <c r="DI147"/>
      <c r="DJ147"/>
      <c r="DK147"/>
      <c r="DL147"/>
      <c r="DM147"/>
      <c r="DN147"/>
      <c r="DO147"/>
      <c r="DP147"/>
      <c r="DQ147"/>
      <c r="DR147"/>
      <c r="DS147"/>
      <c r="DT147"/>
      <c r="DU147"/>
      <c r="DV147"/>
      <c r="DW147"/>
      <c r="DX147"/>
      <c r="DY147"/>
      <c r="DZ147"/>
      <c r="EA147"/>
      <c r="EB147"/>
      <c r="EC147"/>
      <c r="ED147"/>
      <c r="EE147"/>
      <c r="EF147"/>
      <c r="EG147"/>
      <c r="EH147"/>
      <c r="EI147"/>
      <c r="EJ147"/>
      <c r="EK147"/>
      <c r="EL147"/>
      <c r="EM147"/>
      <c r="EN147"/>
      <c r="EO147"/>
      <c r="EP147"/>
      <c r="EQ147"/>
      <c r="ER147"/>
      <c r="ES147"/>
      <c r="ET147"/>
      <c r="EU147"/>
      <c r="EV147"/>
      <c r="EW147"/>
      <c r="EX147"/>
      <c r="EY147"/>
      <c r="EZ147"/>
      <c r="FA147"/>
      <c r="FB147"/>
      <c r="FC147"/>
      <c r="FD147"/>
      <c r="FE147"/>
      <c r="FF147"/>
      <c r="FG147"/>
      <c r="FH147"/>
      <c r="FI147"/>
      <c r="FJ147"/>
      <c r="FK147"/>
      <c r="FL147"/>
      <c r="FM147"/>
      <c r="FN147"/>
      <c r="FO147"/>
      <c r="FP147"/>
      <c r="FQ147"/>
      <c r="FR147"/>
      <c r="FS147"/>
      <c r="FT147"/>
      <c r="FU147"/>
      <c r="FV147"/>
      <c r="FW147"/>
      <c r="FX147"/>
      <c r="FY147"/>
      <c r="FZ147"/>
      <c r="GA147"/>
      <c r="GB147"/>
      <c r="GC147"/>
      <c r="GD147"/>
      <c r="GE147"/>
      <c r="GF147"/>
      <c r="GG147"/>
      <c r="GH147"/>
      <c r="GI147"/>
      <c r="GJ147"/>
      <c r="GK147"/>
      <c r="GL147"/>
      <c r="GM147"/>
      <c r="GN147"/>
      <c r="GO147"/>
      <c r="GP147"/>
      <c r="GQ147"/>
      <c r="GR147"/>
      <c r="GS147"/>
      <c r="GT147"/>
      <c r="GU147"/>
      <c r="GV147"/>
      <c r="GW147"/>
      <c r="GX147"/>
      <c r="GY147"/>
      <c r="GZ147"/>
      <c r="HA147"/>
      <c r="HB147"/>
      <c r="HC147"/>
      <c r="HD147"/>
      <c r="HE147"/>
      <c r="HF147"/>
      <c r="HG147"/>
      <c r="HH147"/>
      <c r="HI147"/>
      <c r="HJ147"/>
      <c r="HK147"/>
      <c r="HL147"/>
      <c r="HM147"/>
      <c r="HN147"/>
      <c r="HO147"/>
      <c r="HP147"/>
      <c r="HQ147"/>
      <c r="HR147"/>
      <c r="HS147"/>
      <c r="HT147"/>
      <c r="HU147"/>
      <c r="HV147"/>
      <c r="HW147"/>
      <c r="HX147"/>
      <c r="HY147"/>
      <c r="HZ147"/>
      <c r="IA147"/>
      <c r="IB147"/>
      <c r="IC147"/>
      <c r="ID147"/>
      <c r="IE147"/>
      <c r="IF147"/>
      <c r="IG147"/>
      <c r="IH147"/>
      <c r="II147"/>
      <c r="IJ147"/>
      <c r="IK147"/>
      <c r="IL147"/>
      <c r="IM147"/>
      <c r="IN147"/>
      <c r="IO147"/>
      <c r="IP147"/>
      <c r="IQ147"/>
      <c r="IR147"/>
      <c r="IS147"/>
      <c r="IT147"/>
      <c r="IU147"/>
      <c r="IV147"/>
      <c r="IW147"/>
      <c r="IX147"/>
      <c r="IY147"/>
      <c r="IZ147"/>
      <c r="JA147"/>
      <c r="JB147"/>
      <c r="JC147"/>
      <c r="JD147"/>
      <c r="JE147"/>
      <c r="JF147"/>
      <c r="JG147"/>
      <c r="JH147"/>
      <c r="JI147"/>
      <c r="JJ147"/>
      <c r="JK147"/>
      <c r="JL147"/>
      <c r="JM147"/>
      <c r="JN147"/>
      <c r="JO147"/>
      <c r="JP147"/>
      <c r="JQ147"/>
      <c r="JR147"/>
      <c r="JS147"/>
      <c r="JT147"/>
      <c r="JU147"/>
      <c r="JV147"/>
    </row>
    <row r="148" spans="2:282" s="9" customFormat="1" ht="14.5" hidden="1" x14ac:dyDescent="0.35">
      <c r="B148" s="10"/>
      <c r="C148" s="10"/>
      <c r="O148" s="10"/>
      <c r="P148" s="10"/>
      <c r="Q148" s="10"/>
      <c r="R148" s="10"/>
      <c r="S148" s="10"/>
      <c r="T148" s="10"/>
      <c r="U148" s="10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  <c r="CN148"/>
      <c r="CO148"/>
      <c r="CP148"/>
      <c r="CQ148"/>
      <c r="CR148"/>
      <c r="CS148"/>
      <c r="CT148"/>
      <c r="CU148"/>
      <c r="CV148"/>
      <c r="CW148"/>
      <c r="CX148"/>
      <c r="CY148"/>
      <c r="CZ148"/>
      <c r="DA148"/>
      <c r="DB148"/>
      <c r="DC148"/>
      <c r="DD148"/>
      <c r="DE148"/>
      <c r="DF148"/>
      <c r="DG148"/>
      <c r="DH148"/>
      <c r="DI148"/>
      <c r="DJ148"/>
      <c r="DK148"/>
      <c r="DL148"/>
      <c r="DM148"/>
      <c r="DN148"/>
      <c r="DO148"/>
      <c r="DP148"/>
      <c r="DQ148"/>
      <c r="DR148"/>
      <c r="DS148"/>
      <c r="DT148"/>
      <c r="DU148"/>
      <c r="DV148"/>
      <c r="DW148"/>
      <c r="DX148"/>
      <c r="DY148"/>
      <c r="DZ148"/>
      <c r="EA148"/>
      <c r="EB148"/>
      <c r="EC148"/>
      <c r="ED148"/>
      <c r="EE148"/>
      <c r="EF148"/>
      <c r="EG148"/>
      <c r="EH148"/>
      <c r="EI148"/>
      <c r="EJ148"/>
      <c r="EK148"/>
      <c r="EL148"/>
      <c r="EM148"/>
      <c r="EN148"/>
      <c r="EO148"/>
      <c r="EP148"/>
      <c r="EQ148"/>
      <c r="ER148"/>
      <c r="ES148"/>
      <c r="ET148"/>
      <c r="EU148"/>
      <c r="EV148"/>
      <c r="EW148"/>
      <c r="EX148"/>
      <c r="EY148"/>
      <c r="EZ148"/>
      <c r="FA148"/>
      <c r="FB148"/>
      <c r="FC148"/>
      <c r="FD148"/>
      <c r="FE148"/>
      <c r="FF148"/>
      <c r="FG148"/>
      <c r="FH148"/>
      <c r="FI148"/>
      <c r="FJ148"/>
      <c r="FK148"/>
      <c r="FL148"/>
      <c r="FM148"/>
      <c r="FN148"/>
      <c r="FO148"/>
      <c r="FP148"/>
      <c r="FQ148"/>
      <c r="FR148"/>
      <c r="FS148"/>
      <c r="FT148"/>
      <c r="FU148"/>
      <c r="FV148"/>
      <c r="FW148"/>
      <c r="FX148"/>
      <c r="FY148"/>
      <c r="FZ148"/>
      <c r="GA148"/>
      <c r="GB148"/>
      <c r="GC148"/>
      <c r="GD148"/>
      <c r="GE148"/>
      <c r="GF148"/>
      <c r="GG148"/>
      <c r="GH148"/>
      <c r="GI148"/>
      <c r="GJ148"/>
      <c r="GK148"/>
      <c r="GL148"/>
      <c r="GM148"/>
      <c r="GN148"/>
      <c r="GO148"/>
      <c r="GP148"/>
      <c r="GQ148"/>
      <c r="GR148"/>
      <c r="GS148"/>
      <c r="GT148"/>
      <c r="GU148"/>
      <c r="GV148"/>
      <c r="GW148"/>
      <c r="GX148"/>
      <c r="GY148"/>
      <c r="GZ148"/>
      <c r="HA148"/>
      <c r="HB148"/>
      <c r="HC148"/>
      <c r="HD148"/>
      <c r="HE148"/>
      <c r="HF148"/>
      <c r="HG148"/>
      <c r="HH148"/>
      <c r="HI148"/>
      <c r="HJ148"/>
      <c r="HK148"/>
      <c r="HL148"/>
      <c r="HM148"/>
      <c r="HN148"/>
      <c r="HO148"/>
      <c r="HP148"/>
      <c r="HQ148"/>
      <c r="HR148"/>
      <c r="HS148"/>
      <c r="HT148"/>
      <c r="HU148"/>
      <c r="HV148"/>
      <c r="HW148"/>
      <c r="HX148"/>
      <c r="HY148"/>
      <c r="HZ148"/>
      <c r="IA148"/>
      <c r="IB148"/>
      <c r="IC148"/>
      <c r="ID148"/>
      <c r="IE148"/>
      <c r="IF148"/>
      <c r="IG148"/>
      <c r="IH148"/>
      <c r="II148"/>
      <c r="IJ148"/>
      <c r="IK148"/>
      <c r="IL148"/>
      <c r="IM148"/>
      <c r="IN148"/>
      <c r="IO148"/>
      <c r="IP148"/>
      <c r="IQ148"/>
      <c r="IR148"/>
      <c r="IS148"/>
      <c r="IT148"/>
      <c r="IU148"/>
      <c r="IV148"/>
      <c r="IW148"/>
      <c r="IX148"/>
      <c r="IY148"/>
      <c r="IZ148"/>
      <c r="JA148"/>
      <c r="JB148"/>
      <c r="JC148"/>
      <c r="JD148"/>
      <c r="JE148"/>
      <c r="JF148"/>
      <c r="JG148"/>
      <c r="JH148"/>
      <c r="JI148"/>
      <c r="JJ148"/>
      <c r="JK148"/>
      <c r="JL148"/>
      <c r="JM148"/>
      <c r="JN148"/>
      <c r="JO148"/>
      <c r="JP148"/>
      <c r="JQ148"/>
      <c r="JR148"/>
      <c r="JS148"/>
      <c r="JT148"/>
      <c r="JU148"/>
      <c r="JV148"/>
    </row>
    <row r="149" spans="2:282" s="9" customFormat="1" ht="14.5" hidden="1" x14ac:dyDescent="0.35">
      <c r="B149" s="10"/>
      <c r="C149" s="10"/>
      <c r="O149" s="10"/>
      <c r="P149" s="10"/>
      <c r="Q149" s="10"/>
      <c r="R149" s="10"/>
      <c r="S149" s="10"/>
      <c r="T149" s="10"/>
      <c r="U149" s="10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  <c r="CN149"/>
      <c r="CO149"/>
      <c r="CP149"/>
      <c r="CQ149"/>
      <c r="CR149"/>
      <c r="CS149"/>
      <c r="CT149"/>
      <c r="CU149"/>
      <c r="CV149"/>
      <c r="CW149"/>
      <c r="CX149"/>
      <c r="CY149"/>
      <c r="CZ149"/>
      <c r="DA149"/>
      <c r="DB149"/>
      <c r="DC149"/>
      <c r="DD149"/>
      <c r="DE149"/>
      <c r="DF149"/>
      <c r="DG149"/>
      <c r="DH149"/>
      <c r="DI149"/>
      <c r="DJ149"/>
      <c r="DK149"/>
      <c r="DL149"/>
      <c r="DM149"/>
      <c r="DN149"/>
      <c r="DO149"/>
      <c r="DP149"/>
      <c r="DQ149"/>
      <c r="DR149"/>
      <c r="DS149"/>
      <c r="DT149"/>
      <c r="DU149"/>
      <c r="DV149"/>
      <c r="DW149"/>
      <c r="DX149"/>
      <c r="DY149"/>
      <c r="DZ149"/>
      <c r="EA149"/>
      <c r="EB149"/>
      <c r="EC149"/>
      <c r="ED149"/>
      <c r="EE149"/>
      <c r="EF149"/>
      <c r="EG149"/>
      <c r="EH149"/>
      <c r="EI149"/>
      <c r="EJ149"/>
      <c r="EK149"/>
      <c r="EL149"/>
      <c r="EM149"/>
      <c r="EN149"/>
      <c r="EO149"/>
      <c r="EP149"/>
      <c r="EQ149"/>
      <c r="ER149"/>
      <c r="ES149"/>
      <c r="ET149"/>
      <c r="EU149"/>
      <c r="EV149"/>
      <c r="EW149"/>
      <c r="EX149"/>
      <c r="EY149"/>
      <c r="EZ149"/>
      <c r="FA149"/>
      <c r="FB149"/>
      <c r="FC149"/>
      <c r="FD149"/>
      <c r="FE149"/>
      <c r="FF149"/>
      <c r="FG149"/>
      <c r="FH149"/>
      <c r="FI149"/>
      <c r="FJ149"/>
      <c r="FK149"/>
      <c r="FL149"/>
      <c r="FM149"/>
      <c r="FN149"/>
      <c r="FO149"/>
      <c r="FP149"/>
      <c r="FQ149"/>
      <c r="FR149"/>
      <c r="FS149"/>
      <c r="FT149"/>
      <c r="FU149"/>
      <c r="FV149"/>
      <c r="FW149"/>
      <c r="FX149"/>
      <c r="FY149"/>
      <c r="FZ149"/>
      <c r="GA149"/>
      <c r="GB149"/>
      <c r="GC149"/>
      <c r="GD149"/>
      <c r="GE149"/>
      <c r="GF149"/>
      <c r="GG149"/>
      <c r="GH149"/>
      <c r="GI149"/>
      <c r="GJ149"/>
      <c r="GK149"/>
      <c r="GL149"/>
      <c r="GM149"/>
      <c r="GN149"/>
      <c r="GO149"/>
      <c r="GP149"/>
      <c r="GQ149"/>
      <c r="GR149"/>
      <c r="GS149"/>
      <c r="GT149"/>
      <c r="GU149"/>
      <c r="GV149"/>
      <c r="GW149"/>
      <c r="GX149"/>
      <c r="GY149"/>
      <c r="GZ149"/>
      <c r="HA149"/>
      <c r="HB149"/>
      <c r="HC149"/>
      <c r="HD149"/>
      <c r="HE149"/>
      <c r="HF149"/>
      <c r="HG149"/>
      <c r="HH149"/>
      <c r="HI149"/>
      <c r="HJ149"/>
      <c r="HK149"/>
      <c r="HL149"/>
      <c r="HM149"/>
      <c r="HN149"/>
      <c r="HO149"/>
      <c r="HP149"/>
      <c r="HQ149"/>
      <c r="HR149"/>
      <c r="HS149"/>
      <c r="HT149"/>
      <c r="HU149"/>
      <c r="HV149"/>
      <c r="HW149"/>
      <c r="HX149"/>
      <c r="HY149"/>
      <c r="HZ149"/>
      <c r="IA149"/>
      <c r="IB149"/>
      <c r="IC149"/>
      <c r="ID149"/>
      <c r="IE149"/>
      <c r="IF149"/>
      <c r="IG149"/>
      <c r="IH149"/>
      <c r="II149"/>
      <c r="IJ149"/>
      <c r="IK149"/>
      <c r="IL149"/>
      <c r="IM149"/>
      <c r="IN149"/>
      <c r="IO149"/>
      <c r="IP149"/>
      <c r="IQ149"/>
      <c r="IR149"/>
      <c r="IS149"/>
      <c r="IT149"/>
      <c r="IU149"/>
      <c r="IV149"/>
      <c r="IW149"/>
      <c r="IX149"/>
      <c r="IY149"/>
      <c r="IZ149"/>
      <c r="JA149"/>
      <c r="JB149"/>
      <c r="JC149"/>
      <c r="JD149"/>
      <c r="JE149"/>
      <c r="JF149"/>
      <c r="JG149"/>
      <c r="JH149"/>
      <c r="JI149"/>
      <c r="JJ149"/>
      <c r="JK149"/>
      <c r="JL149"/>
      <c r="JM149"/>
      <c r="JN149"/>
      <c r="JO149"/>
      <c r="JP149"/>
      <c r="JQ149"/>
      <c r="JR149"/>
      <c r="JS149"/>
      <c r="JT149"/>
      <c r="JU149"/>
      <c r="JV149"/>
    </row>
    <row r="150" spans="2:282" s="9" customFormat="1" ht="14.5" hidden="1" x14ac:dyDescent="0.35">
      <c r="B150" s="10"/>
      <c r="C150" s="10"/>
      <c r="O150" s="10"/>
      <c r="P150" s="10"/>
      <c r="Q150" s="10"/>
      <c r="R150" s="10"/>
      <c r="S150" s="10"/>
      <c r="T150" s="10"/>
      <c r="U150" s="1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  <c r="CN150"/>
      <c r="CO150"/>
      <c r="CP150"/>
      <c r="CQ150"/>
      <c r="CR150"/>
      <c r="CS150"/>
      <c r="CT150"/>
      <c r="CU150"/>
      <c r="CV150"/>
      <c r="CW150"/>
      <c r="CX150"/>
      <c r="CY150"/>
      <c r="CZ150"/>
      <c r="DA150"/>
      <c r="DB150"/>
      <c r="DC150"/>
      <c r="DD150"/>
      <c r="DE150"/>
      <c r="DF150"/>
      <c r="DG150"/>
      <c r="DH150"/>
      <c r="DI150"/>
      <c r="DJ150"/>
      <c r="DK150"/>
      <c r="DL150"/>
      <c r="DM150"/>
      <c r="DN150"/>
      <c r="DO150"/>
      <c r="DP150"/>
      <c r="DQ150"/>
      <c r="DR150"/>
      <c r="DS150"/>
      <c r="DT150"/>
      <c r="DU150"/>
      <c r="DV150"/>
      <c r="DW150"/>
      <c r="DX150"/>
      <c r="DY150"/>
      <c r="DZ150"/>
      <c r="EA150"/>
      <c r="EB150"/>
      <c r="EC150"/>
      <c r="ED150"/>
      <c r="EE150"/>
      <c r="EF150"/>
      <c r="EG150"/>
      <c r="EH150"/>
      <c r="EI150"/>
      <c r="EJ150"/>
      <c r="EK150"/>
      <c r="EL150"/>
      <c r="EM150"/>
      <c r="EN150"/>
      <c r="EO150"/>
      <c r="EP150"/>
      <c r="EQ150"/>
      <c r="ER150"/>
      <c r="ES150"/>
      <c r="ET150"/>
      <c r="EU150"/>
      <c r="EV150"/>
      <c r="EW150"/>
      <c r="EX150"/>
      <c r="EY150"/>
      <c r="EZ150"/>
      <c r="FA150"/>
      <c r="FB150"/>
      <c r="FC150"/>
      <c r="FD150"/>
      <c r="FE150"/>
      <c r="FF150"/>
      <c r="FG150"/>
      <c r="FH150"/>
      <c r="FI150"/>
      <c r="FJ150"/>
      <c r="FK150"/>
      <c r="FL150"/>
      <c r="FM150"/>
      <c r="FN150"/>
      <c r="FO150"/>
      <c r="FP150"/>
      <c r="FQ150"/>
      <c r="FR150"/>
      <c r="FS150"/>
      <c r="FT150"/>
      <c r="FU150"/>
      <c r="FV150"/>
      <c r="FW150"/>
      <c r="FX150"/>
      <c r="FY150"/>
      <c r="FZ150"/>
      <c r="GA150"/>
      <c r="GB150"/>
      <c r="GC150"/>
      <c r="GD150"/>
      <c r="GE150"/>
      <c r="GF150"/>
      <c r="GG150"/>
      <c r="GH150"/>
      <c r="GI150"/>
      <c r="GJ150"/>
      <c r="GK150"/>
      <c r="GL150"/>
      <c r="GM150"/>
      <c r="GN150"/>
      <c r="GO150"/>
      <c r="GP150"/>
      <c r="GQ150"/>
      <c r="GR150"/>
      <c r="GS150"/>
      <c r="GT150"/>
      <c r="GU150"/>
      <c r="GV150"/>
      <c r="GW150"/>
      <c r="GX150"/>
      <c r="GY150"/>
      <c r="GZ150"/>
      <c r="HA150"/>
      <c r="HB150"/>
      <c r="HC150"/>
      <c r="HD150"/>
      <c r="HE150"/>
      <c r="HF150"/>
      <c r="HG150"/>
      <c r="HH150"/>
      <c r="HI150"/>
      <c r="HJ150"/>
      <c r="HK150"/>
      <c r="HL150"/>
      <c r="HM150"/>
      <c r="HN150"/>
      <c r="HO150"/>
      <c r="HP150"/>
      <c r="HQ150"/>
      <c r="HR150"/>
      <c r="HS150"/>
      <c r="HT150"/>
      <c r="HU150"/>
      <c r="HV150"/>
      <c r="HW150"/>
      <c r="HX150"/>
      <c r="HY150"/>
      <c r="HZ150"/>
      <c r="IA150"/>
      <c r="IB150"/>
      <c r="IC150"/>
      <c r="ID150"/>
      <c r="IE150"/>
      <c r="IF150"/>
      <c r="IG150"/>
      <c r="IH150"/>
      <c r="II150"/>
      <c r="IJ150"/>
      <c r="IK150"/>
      <c r="IL150"/>
      <c r="IM150"/>
      <c r="IN150"/>
      <c r="IO150"/>
      <c r="IP150"/>
      <c r="IQ150"/>
      <c r="IR150"/>
      <c r="IS150"/>
      <c r="IT150"/>
      <c r="IU150"/>
      <c r="IV150"/>
      <c r="IW150"/>
      <c r="IX150"/>
      <c r="IY150"/>
      <c r="IZ150"/>
      <c r="JA150"/>
      <c r="JB150"/>
      <c r="JC150"/>
      <c r="JD150"/>
      <c r="JE150"/>
      <c r="JF150"/>
      <c r="JG150"/>
      <c r="JH150"/>
      <c r="JI150"/>
      <c r="JJ150"/>
      <c r="JK150"/>
      <c r="JL150"/>
      <c r="JM150"/>
      <c r="JN150"/>
      <c r="JO150"/>
      <c r="JP150"/>
      <c r="JQ150"/>
      <c r="JR150"/>
      <c r="JS150"/>
      <c r="JT150"/>
      <c r="JU150"/>
      <c r="JV150"/>
    </row>
    <row r="151" spans="2:282" s="9" customFormat="1" ht="14.5" hidden="1" x14ac:dyDescent="0.35">
      <c r="B151" s="10"/>
      <c r="C151" s="10"/>
      <c r="O151" s="10"/>
      <c r="P151" s="10"/>
      <c r="Q151" s="10"/>
      <c r="R151" s="10"/>
      <c r="S151" s="10"/>
      <c r="T151" s="10"/>
      <c r="U151" s="10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  <c r="CN151"/>
      <c r="CO151"/>
      <c r="CP151"/>
      <c r="CQ151"/>
      <c r="CR151"/>
      <c r="CS151"/>
      <c r="CT151"/>
      <c r="CU151"/>
      <c r="CV151"/>
      <c r="CW151"/>
      <c r="CX151"/>
      <c r="CY151"/>
      <c r="CZ151"/>
      <c r="DA151"/>
      <c r="DB151"/>
      <c r="DC151"/>
      <c r="DD151"/>
      <c r="DE151"/>
      <c r="DF151"/>
      <c r="DG151"/>
      <c r="DH151"/>
      <c r="DI151"/>
      <c r="DJ151"/>
      <c r="DK151"/>
      <c r="DL151"/>
      <c r="DM151"/>
      <c r="DN151"/>
      <c r="DO151"/>
      <c r="DP151"/>
      <c r="DQ151"/>
      <c r="DR151"/>
      <c r="DS151"/>
      <c r="DT151"/>
      <c r="DU151"/>
      <c r="DV151"/>
      <c r="DW151"/>
      <c r="DX151"/>
      <c r="DY151"/>
      <c r="DZ151"/>
      <c r="EA151"/>
      <c r="EB151"/>
      <c r="EC151"/>
      <c r="ED151"/>
      <c r="EE151"/>
      <c r="EF151"/>
      <c r="EG151"/>
      <c r="EH151"/>
      <c r="EI151"/>
      <c r="EJ151"/>
      <c r="EK151"/>
      <c r="EL151"/>
      <c r="EM151"/>
      <c r="EN151"/>
      <c r="EO151"/>
      <c r="EP151"/>
      <c r="EQ151"/>
      <c r="ER151"/>
      <c r="ES151"/>
      <c r="ET151"/>
      <c r="EU151"/>
      <c r="EV151"/>
      <c r="EW151"/>
      <c r="EX151"/>
      <c r="EY151"/>
      <c r="EZ151"/>
      <c r="FA151"/>
      <c r="FB151"/>
      <c r="FC151"/>
      <c r="FD151"/>
      <c r="FE151"/>
      <c r="FF151"/>
      <c r="FG151"/>
      <c r="FH151"/>
      <c r="FI151"/>
      <c r="FJ151"/>
      <c r="FK151"/>
      <c r="FL151"/>
      <c r="FM151"/>
      <c r="FN151"/>
      <c r="FO151"/>
      <c r="FP151"/>
      <c r="FQ151"/>
      <c r="FR151"/>
      <c r="FS151"/>
      <c r="FT151"/>
      <c r="FU151"/>
      <c r="FV151"/>
      <c r="FW151"/>
      <c r="FX151"/>
      <c r="FY151"/>
      <c r="FZ151"/>
      <c r="GA151"/>
      <c r="GB151"/>
      <c r="GC151"/>
      <c r="GD151"/>
      <c r="GE151"/>
      <c r="GF151"/>
      <c r="GG151"/>
      <c r="GH151"/>
      <c r="GI151"/>
      <c r="GJ151"/>
      <c r="GK151"/>
      <c r="GL151"/>
      <c r="GM151"/>
      <c r="GN151"/>
      <c r="GO151"/>
      <c r="GP151"/>
      <c r="GQ151"/>
      <c r="GR151"/>
      <c r="GS151"/>
      <c r="GT151"/>
      <c r="GU151"/>
      <c r="GV151"/>
      <c r="GW151"/>
      <c r="GX151"/>
      <c r="GY151"/>
      <c r="GZ151"/>
      <c r="HA151"/>
      <c r="HB151"/>
      <c r="HC151"/>
      <c r="HD151"/>
      <c r="HE151"/>
      <c r="HF151"/>
      <c r="HG151"/>
      <c r="HH151"/>
      <c r="HI151"/>
      <c r="HJ151"/>
      <c r="HK151"/>
      <c r="HL151"/>
      <c r="HM151"/>
      <c r="HN151"/>
      <c r="HO151"/>
      <c r="HP151"/>
      <c r="HQ151"/>
      <c r="HR151"/>
      <c r="HS151"/>
      <c r="HT151"/>
      <c r="HU151"/>
      <c r="HV151"/>
      <c r="HW151"/>
      <c r="HX151"/>
      <c r="HY151"/>
      <c r="HZ151"/>
      <c r="IA151"/>
      <c r="IB151"/>
      <c r="IC151"/>
      <c r="ID151"/>
      <c r="IE151"/>
      <c r="IF151"/>
      <c r="IG151"/>
      <c r="IH151"/>
      <c r="II151"/>
      <c r="IJ151"/>
      <c r="IK151"/>
      <c r="IL151"/>
      <c r="IM151"/>
      <c r="IN151"/>
      <c r="IO151"/>
      <c r="IP151"/>
      <c r="IQ151"/>
      <c r="IR151"/>
      <c r="IS151"/>
      <c r="IT151"/>
      <c r="IU151"/>
      <c r="IV151"/>
      <c r="IW151"/>
      <c r="IX151"/>
      <c r="IY151"/>
      <c r="IZ151"/>
      <c r="JA151"/>
      <c r="JB151"/>
      <c r="JC151"/>
      <c r="JD151"/>
      <c r="JE151"/>
      <c r="JF151"/>
      <c r="JG151"/>
      <c r="JH151"/>
      <c r="JI151"/>
      <c r="JJ151"/>
      <c r="JK151"/>
      <c r="JL151"/>
      <c r="JM151"/>
      <c r="JN151"/>
      <c r="JO151"/>
      <c r="JP151"/>
      <c r="JQ151"/>
      <c r="JR151"/>
      <c r="JS151"/>
      <c r="JT151"/>
      <c r="JU151"/>
      <c r="JV151"/>
    </row>
    <row r="152" spans="2:282" s="9" customFormat="1" ht="14.5" hidden="1" x14ac:dyDescent="0.35">
      <c r="B152" s="10"/>
      <c r="C152" s="10"/>
      <c r="O152" s="10"/>
      <c r="P152" s="10"/>
      <c r="Q152" s="10"/>
      <c r="R152" s="10"/>
      <c r="S152" s="10"/>
      <c r="T152" s="10"/>
      <c r="U152" s="10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  <c r="CW152"/>
      <c r="CX152"/>
      <c r="CY152"/>
      <c r="CZ152"/>
      <c r="DA152"/>
      <c r="DB152"/>
      <c r="DC152"/>
      <c r="DD152"/>
      <c r="DE152"/>
      <c r="DF152"/>
      <c r="DG152"/>
      <c r="DH152"/>
      <c r="DI152"/>
      <c r="DJ152"/>
      <c r="DK152"/>
      <c r="DL152"/>
      <c r="DM152"/>
      <c r="DN152"/>
      <c r="DO152"/>
      <c r="DP152"/>
      <c r="DQ152"/>
      <c r="DR152"/>
      <c r="DS152"/>
      <c r="DT152"/>
      <c r="DU152"/>
      <c r="DV152"/>
      <c r="DW152"/>
      <c r="DX152"/>
      <c r="DY152"/>
      <c r="DZ152"/>
      <c r="EA152"/>
      <c r="EB152"/>
      <c r="EC152"/>
      <c r="ED152"/>
      <c r="EE152"/>
      <c r="EF152"/>
      <c r="EG152"/>
      <c r="EH152"/>
      <c r="EI152"/>
      <c r="EJ152"/>
      <c r="EK152"/>
      <c r="EL152"/>
      <c r="EM152"/>
      <c r="EN152"/>
      <c r="EO152"/>
      <c r="EP152"/>
      <c r="EQ152"/>
      <c r="ER152"/>
      <c r="ES152"/>
      <c r="ET152"/>
      <c r="EU152"/>
      <c r="EV152"/>
      <c r="EW152"/>
      <c r="EX152"/>
      <c r="EY152"/>
      <c r="EZ152"/>
      <c r="FA152"/>
      <c r="FB152"/>
      <c r="FC152"/>
      <c r="FD152"/>
      <c r="FE152"/>
      <c r="FF152"/>
      <c r="FG152"/>
      <c r="FH152"/>
      <c r="FI152"/>
      <c r="FJ152"/>
      <c r="FK152"/>
      <c r="FL152"/>
      <c r="FM152"/>
      <c r="FN152"/>
      <c r="FO152"/>
      <c r="FP152"/>
      <c r="FQ152"/>
      <c r="FR152"/>
      <c r="FS152"/>
      <c r="FT152"/>
      <c r="FU152"/>
      <c r="FV152"/>
      <c r="FW152"/>
      <c r="FX152"/>
      <c r="FY152"/>
      <c r="FZ152"/>
      <c r="GA152"/>
      <c r="GB152"/>
      <c r="GC152"/>
      <c r="GD152"/>
      <c r="GE152"/>
      <c r="GF152"/>
      <c r="GG152"/>
      <c r="GH152"/>
      <c r="GI152"/>
      <c r="GJ152"/>
      <c r="GK152"/>
      <c r="GL152"/>
      <c r="GM152"/>
      <c r="GN152"/>
      <c r="GO152"/>
      <c r="GP152"/>
      <c r="GQ152"/>
      <c r="GR152"/>
      <c r="GS152"/>
      <c r="GT152"/>
      <c r="GU152"/>
      <c r="GV152"/>
      <c r="GW152"/>
      <c r="GX152"/>
      <c r="GY152"/>
      <c r="GZ152"/>
      <c r="HA152"/>
      <c r="HB152"/>
      <c r="HC152"/>
      <c r="HD152"/>
      <c r="HE152"/>
      <c r="HF152"/>
      <c r="HG152"/>
      <c r="HH152"/>
      <c r="HI152"/>
      <c r="HJ152"/>
      <c r="HK152"/>
      <c r="HL152"/>
      <c r="HM152"/>
      <c r="HN152"/>
      <c r="HO152"/>
      <c r="HP152"/>
      <c r="HQ152"/>
      <c r="HR152"/>
      <c r="HS152"/>
      <c r="HT152"/>
      <c r="HU152"/>
      <c r="HV152"/>
      <c r="HW152"/>
      <c r="HX152"/>
      <c r="HY152"/>
      <c r="HZ152"/>
      <c r="IA152"/>
      <c r="IB152"/>
      <c r="IC152"/>
      <c r="ID152"/>
      <c r="IE152"/>
      <c r="IF152"/>
      <c r="IG152"/>
      <c r="IH152"/>
      <c r="II152"/>
      <c r="IJ152"/>
      <c r="IK152"/>
      <c r="IL152"/>
      <c r="IM152"/>
      <c r="IN152"/>
      <c r="IO152"/>
      <c r="IP152"/>
      <c r="IQ152"/>
      <c r="IR152"/>
      <c r="IS152"/>
      <c r="IT152"/>
      <c r="IU152"/>
      <c r="IV152"/>
      <c r="IW152"/>
      <c r="IX152"/>
      <c r="IY152"/>
      <c r="IZ152"/>
      <c r="JA152"/>
      <c r="JB152"/>
      <c r="JC152"/>
      <c r="JD152"/>
      <c r="JE152"/>
      <c r="JF152"/>
      <c r="JG152"/>
      <c r="JH152"/>
      <c r="JI152"/>
      <c r="JJ152"/>
      <c r="JK152"/>
      <c r="JL152"/>
      <c r="JM152"/>
      <c r="JN152"/>
      <c r="JO152"/>
      <c r="JP152"/>
      <c r="JQ152"/>
      <c r="JR152"/>
      <c r="JS152"/>
      <c r="JT152"/>
      <c r="JU152"/>
      <c r="JV152"/>
    </row>
    <row r="153" spans="2:282" s="9" customFormat="1" ht="14.5" hidden="1" x14ac:dyDescent="0.35">
      <c r="B153" s="10"/>
      <c r="C153" s="10"/>
      <c r="O153" s="10"/>
      <c r="P153" s="10"/>
      <c r="Q153" s="10"/>
      <c r="R153" s="10"/>
      <c r="S153" s="10"/>
      <c r="T153" s="10"/>
      <c r="U153" s="10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  <c r="CN153"/>
      <c r="CO153"/>
      <c r="CP153"/>
      <c r="CQ153"/>
      <c r="CR153"/>
      <c r="CS153"/>
      <c r="CT153"/>
      <c r="CU153"/>
      <c r="CV153"/>
      <c r="CW153"/>
      <c r="CX153"/>
      <c r="CY153"/>
      <c r="CZ153"/>
      <c r="DA153"/>
      <c r="DB153"/>
      <c r="DC153"/>
      <c r="DD153"/>
      <c r="DE153"/>
      <c r="DF153"/>
      <c r="DG153"/>
      <c r="DH153"/>
      <c r="DI153"/>
      <c r="DJ153"/>
      <c r="DK153"/>
      <c r="DL153"/>
      <c r="DM153"/>
      <c r="DN153"/>
      <c r="DO153"/>
      <c r="DP153"/>
      <c r="DQ153"/>
      <c r="DR153"/>
      <c r="DS153"/>
      <c r="DT153"/>
      <c r="DU153"/>
      <c r="DV153"/>
      <c r="DW153"/>
      <c r="DX153"/>
      <c r="DY153"/>
      <c r="DZ153"/>
      <c r="EA153"/>
      <c r="EB153"/>
      <c r="EC153"/>
      <c r="ED153"/>
      <c r="EE153"/>
      <c r="EF153"/>
      <c r="EG153"/>
      <c r="EH153"/>
      <c r="EI153"/>
      <c r="EJ153"/>
      <c r="EK153"/>
      <c r="EL153"/>
      <c r="EM153"/>
      <c r="EN153"/>
      <c r="EO153"/>
      <c r="EP153"/>
      <c r="EQ153"/>
      <c r="ER153"/>
      <c r="ES153"/>
      <c r="ET153"/>
      <c r="EU153"/>
      <c r="EV153"/>
      <c r="EW153"/>
      <c r="EX153"/>
      <c r="EY153"/>
      <c r="EZ153"/>
      <c r="FA153"/>
      <c r="FB153"/>
      <c r="FC153"/>
      <c r="FD153"/>
      <c r="FE153"/>
      <c r="FF153"/>
      <c r="FG153"/>
      <c r="FH153"/>
      <c r="FI153"/>
      <c r="FJ153"/>
      <c r="FK153"/>
      <c r="FL153"/>
      <c r="FM153"/>
      <c r="FN153"/>
      <c r="FO153"/>
      <c r="FP153"/>
      <c r="FQ153"/>
      <c r="FR153"/>
      <c r="FS153"/>
      <c r="FT153"/>
      <c r="FU153"/>
      <c r="FV153"/>
      <c r="FW153"/>
      <c r="FX153"/>
      <c r="FY153"/>
      <c r="FZ153"/>
      <c r="GA153"/>
      <c r="GB153"/>
      <c r="GC153"/>
      <c r="GD153"/>
      <c r="GE153"/>
      <c r="GF153"/>
      <c r="GG153"/>
      <c r="GH153"/>
      <c r="GI153"/>
      <c r="GJ153"/>
      <c r="GK153"/>
      <c r="GL153"/>
      <c r="GM153"/>
      <c r="GN153"/>
      <c r="GO153"/>
      <c r="GP153"/>
      <c r="GQ153"/>
      <c r="GR153"/>
      <c r="GS153"/>
      <c r="GT153"/>
      <c r="GU153"/>
      <c r="GV153"/>
      <c r="GW153"/>
      <c r="GX153"/>
      <c r="GY153"/>
      <c r="GZ153"/>
      <c r="HA153"/>
      <c r="HB153"/>
      <c r="HC153"/>
      <c r="HD153"/>
      <c r="HE153"/>
      <c r="HF153"/>
      <c r="HG153"/>
      <c r="HH153"/>
      <c r="HI153"/>
      <c r="HJ153"/>
      <c r="HK153"/>
      <c r="HL153"/>
      <c r="HM153"/>
      <c r="HN153"/>
      <c r="HO153"/>
      <c r="HP153"/>
      <c r="HQ153"/>
      <c r="HR153"/>
      <c r="HS153"/>
      <c r="HT153"/>
      <c r="HU153"/>
      <c r="HV153"/>
      <c r="HW153"/>
      <c r="HX153"/>
      <c r="HY153"/>
      <c r="HZ153"/>
      <c r="IA153"/>
      <c r="IB153"/>
      <c r="IC153"/>
      <c r="ID153"/>
      <c r="IE153"/>
      <c r="IF153"/>
      <c r="IG153"/>
      <c r="IH153"/>
      <c r="II153"/>
      <c r="IJ153"/>
      <c r="IK153"/>
      <c r="IL153"/>
      <c r="IM153"/>
      <c r="IN153"/>
      <c r="IO153"/>
      <c r="IP153"/>
      <c r="IQ153"/>
      <c r="IR153"/>
      <c r="IS153"/>
      <c r="IT153"/>
      <c r="IU153"/>
      <c r="IV153"/>
      <c r="IW153"/>
      <c r="IX153"/>
      <c r="IY153"/>
      <c r="IZ153"/>
      <c r="JA153"/>
      <c r="JB153"/>
      <c r="JC153"/>
      <c r="JD153"/>
      <c r="JE153"/>
      <c r="JF153"/>
      <c r="JG153"/>
      <c r="JH153"/>
      <c r="JI153"/>
      <c r="JJ153"/>
      <c r="JK153"/>
      <c r="JL153"/>
      <c r="JM153"/>
      <c r="JN153"/>
      <c r="JO153"/>
      <c r="JP153"/>
      <c r="JQ153"/>
      <c r="JR153"/>
      <c r="JS153"/>
      <c r="JT153"/>
      <c r="JU153"/>
      <c r="JV153"/>
    </row>
    <row r="154" spans="2:282" s="9" customFormat="1" ht="14.5" hidden="1" x14ac:dyDescent="0.35">
      <c r="B154" s="10"/>
      <c r="C154" s="10"/>
      <c r="O154" s="10"/>
      <c r="P154" s="10"/>
      <c r="Q154" s="10"/>
      <c r="R154" s="10"/>
      <c r="S154" s="10"/>
      <c r="T154" s="10"/>
      <c r="U154" s="10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  <c r="CN154"/>
      <c r="CO154"/>
      <c r="CP154"/>
      <c r="CQ154"/>
      <c r="CR154"/>
      <c r="CS154"/>
      <c r="CT154"/>
      <c r="CU154"/>
      <c r="CV154"/>
      <c r="CW154"/>
      <c r="CX154"/>
      <c r="CY154"/>
      <c r="CZ154"/>
      <c r="DA154"/>
      <c r="DB154"/>
      <c r="DC154"/>
      <c r="DD154"/>
      <c r="DE154"/>
      <c r="DF154"/>
      <c r="DG154"/>
      <c r="DH154"/>
      <c r="DI154"/>
      <c r="DJ154"/>
      <c r="DK154"/>
      <c r="DL154"/>
      <c r="DM154"/>
      <c r="DN154"/>
      <c r="DO154"/>
      <c r="DP154"/>
      <c r="DQ154"/>
      <c r="DR154"/>
      <c r="DS154"/>
      <c r="DT154"/>
      <c r="DU154"/>
      <c r="DV154"/>
      <c r="DW154"/>
      <c r="DX154"/>
      <c r="DY154"/>
      <c r="DZ154"/>
      <c r="EA154"/>
      <c r="EB154"/>
      <c r="EC154"/>
      <c r="ED154"/>
      <c r="EE154"/>
      <c r="EF154"/>
      <c r="EG154"/>
      <c r="EH154"/>
      <c r="EI154"/>
      <c r="EJ154"/>
      <c r="EK154"/>
      <c r="EL154"/>
      <c r="EM154"/>
      <c r="EN154"/>
      <c r="EO154"/>
      <c r="EP154"/>
      <c r="EQ154"/>
      <c r="ER154"/>
      <c r="ES154"/>
      <c r="ET154"/>
      <c r="EU154"/>
      <c r="EV154"/>
      <c r="EW154"/>
      <c r="EX154"/>
      <c r="EY154"/>
      <c r="EZ154"/>
      <c r="FA154"/>
      <c r="FB154"/>
      <c r="FC154"/>
      <c r="FD154"/>
      <c r="FE154"/>
      <c r="FF154"/>
      <c r="FG154"/>
      <c r="FH154"/>
      <c r="FI154"/>
      <c r="FJ154"/>
      <c r="FK154"/>
      <c r="FL154"/>
      <c r="FM154"/>
      <c r="FN154"/>
      <c r="FO154"/>
      <c r="FP154"/>
      <c r="FQ154"/>
      <c r="FR154"/>
      <c r="FS154"/>
      <c r="FT154"/>
      <c r="FU154"/>
      <c r="FV154"/>
      <c r="FW154"/>
      <c r="FX154"/>
      <c r="FY154"/>
      <c r="FZ154"/>
      <c r="GA154"/>
      <c r="GB154"/>
      <c r="GC154"/>
      <c r="GD154"/>
      <c r="GE154"/>
      <c r="GF154"/>
      <c r="GG154"/>
      <c r="GH154"/>
      <c r="GI154"/>
      <c r="GJ154"/>
      <c r="GK154"/>
      <c r="GL154"/>
      <c r="GM154"/>
      <c r="GN154"/>
      <c r="GO154"/>
      <c r="GP154"/>
      <c r="GQ154"/>
      <c r="GR154"/>
      <c r="GS154"/>
      <c r="GT154"/>
      <c r="GU154"/>
      <c r="GV154"/>
      <c r="GW154"/>
      <c r="GX154"/>
      <c r="GY154"/>
      <c r="GZ154"/>
      <c r="HA154"/>
      <c r="HB154"/>
      <c r="HC154"/>
      <c r="HD154"/>
      <c r="HE154"/>
      <c r="HF154"/>
      <c r="HG154"/>
      <c r="HH154"/>
      <c r="HI154"/>
      <c r="HJ154"/>
      <c r="HK154"/>
      <c r="HL154"/>
      <c r="HM154"/>
      <c r="HN154"/>
      <c r="HO154"/>
      <c r="HP154"/>
      <c r="HQ154"/>
      <c r="HR154"/>
      <c r="HS154"/>
      <c r="HT154"/>
      <c r="HU154"/>
      <c r="HV154"/>
      <c r="HW154"/>
      <c r="HX154"/>
      <c r="HY154"/>
      <c r="HZ154"/>
      <c r="IA154"/>
      <c r="IB154"/>
      <c r="IC154"/>
      <c r="ID154"/>
      <c r="IE154"/>
      <c r="IF154"/>
      <c r="IG154"/>
      <c r="IH154"/>
      <c r="II154"/>
      <c r="IJ154"/>
      <c r="IK154"/>
      <c r="IL154"/>
      <c r="IM154"/>
      <c r="IN154"/>
      <c r="IO154"/>
      <c r="IP154"/>
      <c r="IQ154"/>
      <c r="IR154"/>
      <c r="IS154"/>
      <c r="IT154"/>
      <c r="IU154"/>
      <c r="IV154"/>
      <c r="IW154"/>
      <c r="IX154"/>
      <c r="IY154"/>
      <c r="IZ154"/>
      <c r="JA154"/>
      <c r="JB154"/>
      <c r="JC154"/>
      <c r="JD154"/>
      <c r="JE154"/>
      <c r="JF154"/>
      <c r="JG154"/>
      <c r="JH154"/>
      <c r="JI154"/>
      <c r="JJ154"/>
      <c r="JK154"/>
      <c r="JL154"/>
      <c r="JM154"/>
      <c r="JN154"/>
      <c r="JO154"/>
      <c r="JP154"/>
      <c r="JQ154"/>
      <c r="JR154"/>
      <c r="JS154"/>
      <c r="JT154"/>
      <c r="JU154"/>
      <c r="JV154"/>
    </row>
    <row r="155" spans="2:282" s="9" customFormat="1" ht="14.5" hidden="1" x14ac:dyDescent="0.35">
      <c r="B155" s="10"/>
      <c r="C155" s="10"/>
      <c r="O155" s="10"/>
      <c r="P155" s="10"/>
      <c r="Q155" s="10"/>
      <c r="R155" s="10"/>
      <c r="S155" s="10"/>
      <c r="T155" s="10"/>
      <c r="U155" s="10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  <c r="CN155"/>
      <c r="CO155"/>
      <c r="CP155"/>
      <c r="CQ155"/>
      <c r="CR155"/>
      <c r="CS155"/>
      <c r="CT155"/>
      <c r="CU155"/>
      <c r="CV155"/>
      <c r="CW155"/>
      <c r="CX155"/>
      <c r="CY155"/>
      <c r="CZ155"/>
      <c r="DA155"/>
      <c r="DB155"/>
      <c r="DC155"/>
      <c r="DD155"/>
      <c r="DE155"/>
      <c r="DF155"/>
      <c r="DG155"/>
      <c r="DH155"/>
      <c r="DI155"/>
      <c r="DJ155"/>
      <c r="DK155"/>
      <c r="DL155"/>
      <c r="DM155"/>
      <c r="DN155"/>
      <c r="DO155"/>
      <c r="DP155"/>
      <c r="DQ155"/>
      <c r="DR155"/>
      <c r="DS155"/>
      <c r="DT155"/>
      <c r="DU155"/>
      <c r="DV155"/>
      <c r="DW155"/>
      <c r="DX155"/>
      <c r="DY155"/>
      <c r="DZ155"/>
      <c r="EA155"/>
      <c r="EB155"/>
      <c r="EC155"/>
      <c r="ED155"/>
      <c r="EE155"/>
      <c r="EF155"/>
      <c r="EG155"/>
      <c r="EH155"/>
      <c r="EI155"/>
      <c r="EJ155"/>
      <c r="EK155"/>
      <c r="EL155"/>
      <c r="EM155"/>
      <c r="EN155"/>
      <c r="EO155"/>
      <c r="EP155"/>
      <c r="EQ155"/>
      <c r="ER155"/>
      <c r="ES155"/>
      <c r="ET155"/>
      <c r="EU155"/>
      <c r="EV155"/>
      <c r="EW155"/>
      <c r="EX155"/>
      <c r="EY155"/>
      <c r="EZ155"/>
      <c r="FA155"/>
      <c r="FB155"/>
      <c r="FC155"/>
      <c r="FD155"/>
      <c r="FE155"/>
      <c r="FF155"/>
      <c r="FG155"/>
      <c r="FH155"/>
      <c r="FI155"/>
      <c r="FJ155"/>
      <c r="FK155"/>
      <c r="FL155"/>
      <c r="FM155"/>
      <c r="FN155"/>
      <c r="FO155"/>
      <c r="FP155"/>
      <c r="FQ155"/>
      <c r="FR155"/>
      <c r="FS155"/>
      <c r="FT155"/>
      <c r="FU155"/>
      <c r="FV155"/>
      <c r="FW155"/>
      <c r="FX155"/>
      <c r="FY155"/>
      <c r="FZ155"/>
      <c r="GA155"/>
      <c r="GB155"/>
      <c r="GC155"/>
      <c r="GD155"/>
      <c r="GE155"/>
      <c r="GF155"/>
      <c r="GG155"/>
      <c r="GH155"/>
      <c r="GI155"/>
      <c r="GJ155"/>
      <c r="GK155"/>
      <c r="GL155"/>
      <c r="GM155"/>
      <c r="GN155"/>
      <c r="GO155"/>
      <c r="GP155"/>
      <c r="GQ155"/>
      <c r="GR155"/>
      <c r="GS155"/>
      <c r="GT155"/>
      <c r="GU155"/>
      <c r="GV155"/>
      <c r="GW155"/>
      <c r="GX155"/>
      <c r="GY155"/>
      <c r="GZ155"/>
      <c r="HA155"/>
      <c r="HB155"/>
      <c r="HC155"/>
      <c r="HD155"/>
      <c r="HE155"/>
      <c r="HF155"/>
      <c r="HG155"/>
      <c r="HH155"/>
      <c r="HI155"/>
      <c r="HJ155"/>
      <c r="HK155"/>
      <c r="HL155"/>
      <c r="HM155"/>
      <c r="HN155"/>
      <c r="HO155"/>
      <c r="HP155"/>
      <c r="HQ155"/>
      <c r="HR155"/>
      <c r="HS155"/>
      <c r="HT155"/>
      <c r="HU155"/>
      <c r="HV155"/>
      <c r="HW155"/>
      <c r="HX155"/>
      <c r="HY155"/>
      <c r="HZ155"/>
      <c r="IA155"/>
      <c r="IB155"/>
      <c r="IC155"/>
      <c r="ID155"/>
      <c r="IE155"/>
      <c r="IF155"/>
      <c r="IG155"/>
      <c r="IH155"/>
      <c r="II155"/>
      <c r="IJ155"/>
      <c r="IK155"/>
      <c r="IL155"/>
      <c r="IM155"/>
      <c r="IN155"/>
      <c r="IO155"/>
      <c r="IP155"/>
      <c r="IQ155"/>
      <c r="IR155"/>
      <c r="IS155"/>
      <c r="IT155"/>
      <c r="IU155"/>
      <c r="IV155"/>
      <c r="IW155"/>
      <c r="IX155"/>
      <c r="IY155"/>
      <c r="IZ155"/>
      <c r="JA155"/>
      <c r="JB155"/>
      <c r="JC155"/>
      <c r="JD155"/>
      <c r="JE155"/>
      <c r="JF155"/>
      <c r="JG155"/>
      <c r="JH155"/>
      <c r="JI155"/>
      <c r="JJ155"/>
      <c r="JK155"/>
      <c r="JL155"/>
      <c r="JM155"/>
      <c r="JN155"/>
      <c r="JO155"/>
      <c r="JP155"/>
      <c r="JQ155"/>
      <c r="JR155"/>
      <c r="JS155"/>
      <c r="JT155"/>
      <c r="JU155"/>
      <c r="JV155"/>
    </row>
    <row r="156" spans="2:282" s="9" customFormat="1" ht="14.5" hidden="1" x14ac:dyDescent="0.35">
      <c r="B156" s="10"/>
      <c r="C156" s="10"/>
      <c r="O156" s="10"/>
      <c r="P156" s="10"/>
      <c r="Q156" s="10"/>
      <c r="R156" s="10"/>
      <c r="S156" s="10"/>
      <c r="T156" s="10"/>
      <c r="U156" s="10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  <c r="CN156"/>
      <c r="CO156"/>
      <c r="CP156"/>
      <c r="CQ156"/>
      <c r="CR156"/>
      <c r="CS156"/>
      <c r="CT156"/>
      <c r="CU156"/>
      <c r="CV156"/>
      <c r="CW156"/>
      <c r="CX156"/>
      <c r="CY156"/>
      <c r="CZ156"/>
      <c r="DA156"/>
      <c r="DB156"/>
      <c r="DC156"/>
      <c r="DD156"/>
      <c r="DE156"/>
      <c r="DF156"/>
      <c r="DG156"/>
      <c r="DH156"/>
      <c r="DI156"/>
      <c r="DJ156"/>
      <c r="DK156"/>
      <c r="DL156"/>
      <c r="DM156"/>
      <c r="DN156"/>
      <c r="DO156"/>
      <c r="DP156"/>
      <c r="DQ156"/>
      <c r="DR156"/>
      <c r="DS156"/>
      <c r="DT156"/>
      <c r="DU156"/>
      <c r="DV156"/>
      <c r="DW156"/>
      <c r="DX156"/>
      <c r="DY156"/>
      <c r="DZ156"/>
      <c r="EA156"/>
      <c r="EB156"/>
      <c r="EC156"/>
      <c r="ED156"/>
      <c r="EE156"/>
      <c r="EF156"/>
      <c r="EG156"/>
      <c r="EH156"/>
      <c r="EI156"/>
      <c r="EJ156"/>
      <c r="EK156"/>
      <c r="EL156"/>
      <c r="EM156"/>
      <c r="EN156"/>
      <c r="EO156"/>
      <c r="EP156"/>
      <c r="EQ156"/>
      <c r="ER156"/>
      <c r="ES156"/>
      <c r="ET156"/>
      <c r="EU156"/>
      <c r="EV156"/>
      <c r="EW156"/>
      <c r="EX156"/>
      <c r="EY156"/>
      <c r="EZ156"/>
      <c r="FA156"/>
      <c r="FB156"/>
      <c r="FC156"/>
      <c r="FD156"/>
      <c r="FE156"/>
      <c r="FF156"/>
      <c r="FG156"/>
      <c r="FH156"/>
      <c r="FI156"/>
      <c r="FJ156"/>
      <c r="FK156"/>
      <c r="FL156"/>
      <c r="FM156"/>
      <c r="FN156"/>
      <c r="FO156"/>
      <c r="FP156"/>
      <c r="FQ156"/>
      <c r="FR156"/>
      <c r="FS156"/>
      <c r="FT156"/>
      <c r="FU156"/>
      <c r="FV156"/>
      <c r="FW156"/>
      <c r="FX156"/>
      <c r="FY156"/>
      <c r="FZ156"/>
      <c r="GA156"/>
      <c r="GB156"/>
      <c r="GC156"/>
      <c r="GD156"/>
      <c r="GE156"/>
      <c r="GF156"/>
      <c r="GG156"/>
      <c r="GH156"/>
      <c r="GI156"/>
      <c r="GJ156"/>
      <c r="GK156"/>
      <c r="GL156"/>
      <c r="GM156"/>
      <c r="GN156"/>
      <c r="GO156"/>
      <c r="GP156"/>
      <c r="GQ156"/>
      <c r="GR156"/>
      <c r="GS156"/>
      <c r="GT156"/>
      <c r="GU156"/>
      <c r="GV156"/>
      <c r="GW156"/>
      <c r="GX156"/>
      <c r="GY156"/>
      <c r="GZ156"/>
      <c r="HA156"/>
      <c r="HB156"/>
      <c r="HC156"/>
      <c r="HD156"/>
      <c r="HE156"/>
      <c r="HF156"/>
      <c r="HG156"/>
      <c r="HH156"/>
      <c r="HI156"/>
      <c r="HJ156"/>
      <c r="HK156"/>
      <c r="HL156"/>
      <c r="HM156"/>
      <c r="HN156"/>
      <c r="HO156"/>
      <c r="HP156"/>
      <c r="HQ156"/>
      <c r="HR156"/>
      <c r="HS156"/>
      <c r="HT156"/>
      <c r="HU156"/>
      <c r="HV156"/>
      <c r="HW156"/>
      <c r="HX156"/>
      <c r="HY156"/>
      <c r="HZ156"/>
      <c r="IA156"/>
      <c r="IB156"/>
      <c r="IC156"/>
      <c r="ID156"/>
      <c r="IE156"/>
      <c r="IF156"/>
      <c r="IG156"/>
      <c r="IH156"/>
      <c r="II156"/>
      <c r="IJ156"/>
      <c r="IK156"/>
      <c r="IL156"/>
      <c r="IM156"/>
      <c r="IN156"/>
      <c r="IO156"/>
      <c r="IP156"/>
      <c r="IQ156"/>
      <c r="IR156"/>
      <c r="IS156"/>
      <c r="IT156"/>
      <c r="IU156"/>
      <c r="IV156"/>
      <c r="IW156"/>
      <c r="IX156"/>
      <c r="IY156"/>
      <c r="IZ156"/>
      <c r="JA156"/>
      <c r="JB156"/>
      <c r="JC156"/>
      <c r="JD156"/>
      <c r="JE156"/>
      <c r="JF156"/>
      <c r="JG156"/>
      <c r="JH156"/>
      <c r="JI156"/>
      <c r="JJ156"/>
      <c r="JK156"/>
      <c r="JL156"/>
      <c r="JM156"/>
      <c r="JN156"/>
      <c r="JO156"/>
      <c r="JP156"/>
      <c r="JQ156"/>
      <c r="JR156"/>
      <c r="JS156"/>
      <c r="JT156"/>
      <c r="JU156"/>
      <c r="JV156"/>
    </row>
    <row r="157" spans="2:282" s="9" customFormat="1" ht="14.5" hidden="1" x14ac:dyDescent="0.35">
      <c r="B157" s="10"/>
      <c r="C157" s="10"/>
      <c r="O157" s="10"/>
      <c r="P157" s="10"/>
      <c r="Q157" s="10"/>
      <c r="R157" s="10"/>
      <c r="S157" s="10"/>
      <c r="T157" s="10"/>
      <c r="U157" s="10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  <c r="CN157"/>
      <c r="CO157"/>
      <c r="CP157"/>
      <c r="CQ157"/>
      <c r="CR157"/>
      <c r="CS157"/>
      <c r="CT157"/>
      <c r="CU157"/>
      <c r="CV157"/>
      <c r="CW157"/>
      <c r="CX157"/>
      <c r="CY157"/>
      <c r="CZ157"/>
      <c r="DA157"/>
      <c r="DB157"/>
      <c r="DC157"/>
      <c r="DD157"/>
      <c r="DE157"/>
      <c r="DF157"/>
      <c r="DG157"/>
      <c r="DH157"/>
      <c r="DI157"/>
      <c r="DJ157"/>
      <c r="DK157"/>
      <c r="DL157"/>
      <c r="DM157"/>
      <c r="DN157"/>
      <c r="DO157"/>
      <c r="DP157"/>
      <c r="DQ157"/>
      <c r="DR157"/>
      <c r="DS157"/>
      <c r="DT157"/>
      <c r="DU157"/>
      <c r="DV157"/>
      <c r="DW157"/>
      <c r="DX157"/>
      <c r="DY157"/>
      <c r="DZ157"/>
      <c r="EA157"/>
      <c r="EB157"/>
      <c r="EC157"/>
      <c r="ED157"/>
      <c r="EE157"/>
      <c r="EF157"/>
      <c r="EG157"/>
      <c r="EH157"/>
      <c r="EI157"/>
      <c r="EJ157"/>
      <c r="EK157"/>
      <c r="EL157"/>
      <c r="EM157"/>
      <c r="EN157"/>
      <c r="EO157"/>
      <c r="EP157"/>
      <c r="EQ157"/>
      <c r="ER157"/>
      <c r="ES157"/>
      <c r="ET157"/>
      <c r="EU157"/>
      <c r="EV157"/>
      <c r="EW157"/>
      <c r="EX157"/>
      <c r="EY157"/>
      <c r="EZ157"/>
      <c r="FA157"/>
      <c r="FB157"/>
      <c r="FC157"/>
      <c r="FD157"/>
      <c r="FE157"/>
      <c r="FF157"/>
      <c r="FG157"/>
      <c r="FH157"/>
      <c r="FI157"/>
      <c r="FJ157"/>
      <c r="FK157"/>
      <c r="FL157"/>
      <c r="FM157"/>
      <c r="FN157"/>
      <c r="FO157"/>
      <c r="FP157"/>
      <c r="FQ157"/>
      <c r="FR157"/>
      <c r="FS157"/>
      <c r="FT157"/>
      <c r="FU157"/>
      <c r="FV157"/>
      <c r="FW157"/>
      <c r="FX157"/>
      <c r="FY157"/>
      <c r="FZ157"/>
      <c r="GA157"/>
      <c r="GB157"/>
      <c r="GC157"/>
      <c r="GD157"/>
      <c r="GE157"/>
      <c r="GF157"/>
      <c r="GG157"/>
      <c r="GH157"/>
      <c r="GI157"/>
      <c r="GJ157"/>
      <c r="GK157"/>
      <c r="GL157"/>
      <c r="GM157"/>
      <c r="GN157"/>
      <c r="GO157"/>
      <c r="GP157"/>
      <c r="GQ157"/>
      <c r="GR157"/>
      <c r="GS157"/>
      <c r="GT157"/>
      <c r="GU157"/>
      <c r="GV157"/>
      <c r="GW157"/>
      <c r="GX157"/>
      <c r="GY157"/>
      <c r="GZ157"/>
      <c r="HA157"/>
      <c r="HB157"/>
      <c r="HC157"/>
      <c r="HD157"/>
      <c r="HE157"/>
      <c r="HF157"/>
      <c r="HG157"/>
      <c r="HH157"/>
      <c r="HI157"/>
      <c r="HJ157"/>
      <c r="HK157"/>
      <c r="HL157"/>
      <c r="HM157"/>
      <c r="HN157"/>
      <c r="HO157"/>
      <c r="HP157"/>
      <c r="HQ157"/>
      <c r="HR157"/>
      <c r="HS157"/>
      <c r="HT157"/>
      <c r="HU157"/>
      <c r="HV157"/>
      <c r="HW157"/>
      <c r="HX157"/>
      <c r="HY157"/>
      <c r="HZ157"/>
      <c r="IA157"/>
      <c r="IB157"/>
      <c r="IC157"/>
      <c r="ID157"/>
      <c r="IE157"/>
      <c r="IF157"/>
      <c r="IG157"/>
      <c r="IH157"/>
      <c r="II157"/>
      <c r="IJ157"/>
      <c r="IK157"/>
      <c r="IL157"/>
      <c r="IM157"/>
      <c r="IN157"/>
      <c r="IO157"/>
      <c r="IP157"/>
      <c r="IQ157"/>
      <c r="IR157"/>
      <c r="IS157"/>
      <c r="IT157"/>
      <c r="IU157"/>
      <c r="IV157"/>
      <c r="IW157"/>
      <c r="IX157"/>
      <c r="IY157"/>
      <c r="IZ157"/>
      <c r="JA157"/>
      <c r="JB157"/>
      <c r="JC157"/>
      <c r="JD157"/>
      <c r="JE157"/>
      <c r="JF157"/>
      <c r="JG157"/>
      <c r="JH157"/>
      <c r="JI157"/>
      <c r="JJ157"/>
      <c r="JK157"/>
      <c r="JL157"/>
      <c r="JM157"/>
      <c r="JN157"/>
      <c r="JO157"/>
      <c r="JP157"/>
      <c r="JQ157"/>
      <c r="JR157"/>
      <c r="JS157"/>
      <c r="JT157"/>
      <c r="JU157"/>
      <c r="JV157"/>
    </row>
    <row r="158" spans="2:282" s="9" customFormat="1" ht="14.5" hidden="1" x14ac:dyDescent="0.35">
      <c r="B158" s="10"/>
      <c r="C158" s="10"/>
      <c r="O158" s="10"/>
      <c r="P158" s="10"/>
      <c r="Q158" s="10"/>
      <c r="R158" s="10"/>
      <c r="S158" s="10"/>
      <c r="T158" s="10"/>
      <c r="U158" s="10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  <c r="CN158"/>
      <c r="CO158"/>
      <c r="CP158"/>
      <c r="CQ158"/>
      <c r="CR158"/>
      <c r="CS158"/>
      <c r="CT158"/>
      <c r="CU158"/>
      <c r="CV158"/>
      <c r="CW158"/>
      <c r="CX158"/>
      <c r="CY158"/>
      <c r="CZ158"/>
      <c r="DA158"/>
      <c r="DB158"/>
      <c r="DC158"/>
      <c r="DD158"/>
      <c r="DE158"/>
      <c r="DF158"/>
      <c r="DG158"/>
      <c r="DH158"/>
      <c r="DI158"/>
      <c r="DJ158"/>
      <c r="DK158"/>
      <c r="DL158"/>
      <c r="DM158"/>
      <c r="DN158"/>
      <c r="DO158"/>
      <c r="DP158"/>
      <c r="DQ158"/>
      <c r="DR158"/>
      <c r="DS158"/>
      <c r="DT158"/>
      <c r="DU158"/>
      <c r="DV158"/>
      <c r="DW158"/>
      <c r="DX158"/>
      <c r="DY158"/>
      <c r="DZ158"/>
      <c r="EA158"/>
      <c r="EB158"/>
      <c r="EC158"/>
      <c r="ED158"/>
      <c r="EE158"/>
      <c r="EF158"/>
      <c r="EG158"/>
      <c r="EH158"/>
      <c r="EI158"/>
      <c r="EJ158"/>
      <c r="EK158"/>
      <c r="EL158"/>
      <c r="EM158"/>
      <c r="EN158"/>
      <c r="EO158"/>
      <c r="EP158"/>
      <c r="EQ158"/>
      <c r="ER158"/>
      <c r="ES158"/>
      <c r="ET158"/>
      <c r="EU158"/>
      <c r="EV158"/>
      <c r="EW158"/>
      <c r="EX158"/>
      <c r="EY158"/>
      <c r="EZ158"/>
      <c r="FA158"/>
      <c r="FB158"/>
      <c r="FC158"/>
      <c r="FD158"/>
      <c r="FE158"/>
      <c r="FF158"/>
      <c r="FG158"/>
      <c r="FH158"/>
      <c r="FI158"/>
      <c r="FJ158"/>
      <c r="FK158"/>
      <c r="FL158"/>
      <c r="FM158"/>
      <c r="FN158"/>
      <c r="FO158"/>
      <c r="FP158"/>
      <c r="FQ158"/>
      <c r="FR158"/>
      <c r="FS158"/>
      <c r="FT158"/>
      <c r="FU158"/>
      <c r="FV158"/>
      <c r="FW158"/>
      <c r="FX158"/>
      <c r="FY158"/>
      <c r="FZ158"/>
      <c r="GA158"/>
      <c r="GB158"/>
      <c r="GC158"/>
      <c r="GD158"/>
      <c r="GE158"/>
      <c r="GF158"/>
      <c r="GG158"/>
      <c r="GH158"/>
      <c r="GI158"/>
      <c r="GJ158"/>
      <c r="GK158"/>
      <c r="GL158"/>
      <c r="GM158"/>
      <c r="GN158"/>
      <c r="GO158"/>
      <c r="GP158"/>
      <c r="GQ158"/>
      <c r="GR158"/>
      <c r="GS158"/>
      <c r="GT158"/>
      <c r="GU158"/>
      <c r="GV158"/>
      <c r="GW158"/>
      <c r="GX158"/>
      <c r="GY158"/>
      <c r="GZ158"/>
      <c r="HA158"/>
      <c r="HB158"/>
      <c r="HC158"/>
      <c r="HD158"/>
      <c r="HE158"/>
      <c r="HF158"/>
      <c r="HG158"/>
      <c r="HH158"/>
      <c r="HI158"/>
      <c r="HJ158"/>
      <c r="HK158"/>
      <c r="HL158"/>
      <c r="HM158"/>
      <c r="HN158"/>
      <c r="HO158"/>
      <c r="HP158"/>
      <c r="HQ158"/>
      <c r="HR158"/>
      <c r="HS158"/>
      <c r="HT158"/>
      <c r="HU158"/>
      <c r="HV158"/>
      <c r="HW158"/>
      <c r="HX158"/>
      <c r="HY158"/>
      <c r="HZ158"/>
      <c r="IA158"/>
      <c r="IB158"/>
      <c r="IC158"/>
      <c r="ID158"/>
      <c r="IE158"/>
      <c r="IF158"/>
      <c r="IG158"/>
      <c r="IH158"/>
      <c r="II158"/>
      <c r="IJ158"/>
      <c r="IK158"/>
      <c r="IL158"/>
      <c r="IM158"/>
      <c r="IN158"/>
      <c r="IO158"/>
      <c r="IP158"/>
      <c r="IQ158"/>
      <c r="IR158"/>
      <c r="IS158"/>
      <c r="IT158"/>
      <c r="IU158"/>
      <c r="IV158"/>
      <c r="IW158"/>
      <c r="IX158"/>
      <c r="IY158"/>
      <c r="IZ158"/>
      <c r="JA158"/>
      <c r="JB158"/>
      <c r="JC158"/>
      <c r="JD158"/>
      <c r="JE158"/>
      <c r="JF158"/>
      <c r="JG158"/>
      <c r="JH158"/>
      <c r="JI158"/>
      <c r="JJ158"/>
      <c r="JK158"/>
      <c r="JL158"/>
      <c r="JM158"/>
      <c r="JN158"/>
      <c r="JO158"/>
      <c r="JP158"/>
      <c r="JQ158"/>
      <c r="JR158"/>
      <c r="JS158"/>
      <c r="JT158"/>
      <c r="JU158"/>
      <c r="JV158"/>
    </row>
    <row r="159" spans="2:282" s="9" customFormat="1" ht="14.5" hidden="1" x14ac:dyDescent="0.35">
      <c r="B159" s="10"/>
      <c r="C159" s="10"/>
      <c r="O159" s="10"/>
      <c r="P159" s="10"/>
      <c r="Q159" s="10"/>
      <c r="R159" s="10"/>
      <c r="S159" s="10"/>
      <c r="T159" s="10"/>
      <c r="U159" s="10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  <c r="DU159"/>
      <c r="DV159"/>
      <c r="DW159"/>
      <c r="DX159"/>
      <c r="DY159"/>
      <c r="DZ159"/>
      <c r="EA159"/>
      <c r="EB159"/>
      <c r="EC159"/>
      <c r="ED159"/>
      <c r="EE159"/>
      <c r="EF159"/>
      <c r="EG159"/>
      <c r="EH159"/>
      <c r="EI159"/>
      <c r="EJ159"/>
      <c r="EK159"/>
      <c r="EL159"/>
      <c r="EM159"/>
      <c r="EN159"/>
      <c r="EO159"/>
      <c r="EP159"/>
      <c r="EQ159"/>
      <c r="ER159"/>
      <c r="ES159"/>
      <c r="ET159"/>
      <c r="EU159"/>
      <c r="EV159"/>
      <c r="EW159"/>
      <c r="EX159"/>
      <c r="EY159"/>
      <c r="EZ159"/>
      <c r="FA159"/>
      <c r="FB159"/>
      <c r="FC159"/>
      <c r="FD159"/>
      <c r="FE159"/>
      <c r="FF159"/>
      <c r="FG159"/>
      <c r="FH159"/>
      <c r="FI159"/>
      <c r="FJ159"/>
      <c r="FK159"/>
      <c r="FL159"/>
      <c r="FM159"/>
      <c r="FN159"/>
      <c r="FO159"/>
      <c r="FP159"/>
      <c r="FQ159"/>
      <c r="FR159"/>
      <c r="FS159"/>
      <c r="FT159"/>
      <c r="FU159"/>
      <c r="FV159"/>
      <c r="FW159"/>
      <c r="FX159"/>
      <c r="FY159"/>
      <c r="FZ159"/>
      <c r="GA159"/>
      <c r="GB159"/>
      <c r="GC159"/>
      <c r="GD159"/>
      <c r="GE159"/>
      <c r="GF159"/>
      <c r="GG159"/>
      <c r="GH159"/>
      <c r="GI159"/>
      <c r="GJ159"/>
      <c r="GK159"/>
      <c r="GL159"/>
      <c r="GM159"/>
      <c r="GN159"/>
      <c r="GO159"/>
      <c r="GP159"/>
      <c r="GQ159"/>
      <c r="GR159"/>
      <c r="GS159"/>
      <c r="GT159"/>
      <c r="GU159"/>
      <c r="GV159"/>
      <c r="GW159"/>
      <c r="GX159"/>
      <c r="GY159"/>
      <c r="GZ159"/>
      <c r="HA159"/>
      <c r="HB159"/>
      <c r="HC159"/>
      <c r="HD159"/>
      <c r="HE159"/>
      <c r="HF159"/>
      <c r="HG159"/>
      <c r="HH159"/>
      <c r="HI159"/>
      <c r="HJ159"/>
      <c r="HK159"/>
      <c r="HL159"/>
      <c r="HM159"/>
      <c r="HN159"/>
      <c r="HO159"/>
      <c r="HP159"/>
      <c r="HQ159"/>
      <c r="HR159"/>
      <c r="HS159"/>
      <c r="HT159"/>
      <c r="HU159"/>
      <c r="HV159"/>
      <c r="HW159"/>
      <c r="HX159"/>
      <c r="HY159"/>
      <c r="HZ159"/>
      <c r="IA159"/>
      <c r="IB159"/>
      <c r="IC159"/>
      <c r="ID159"/>
      <c r="IE159"/>
      <c r="IF159"/>
      <c r="IG159"/>
      <c r="IH159"/>
      <c r="II159"/>
      <c r="IJ159"/>
      <c r="IK159"/>
      <c r="IL159"/>
      <c r="IM159"/>
      <c r="IN159"/>
      <c r="IO159"/>
      <c r="IP159"/>
      <c r="IQ159"/>
      <c r="IR159"/>
      <c r="IS159"/>
      <c r="IT159"/>
      <c r="IU159"/>
      <c r="IV159"/>
      <c r="IW159"/>
      <c r="IX159"/>
      <c r="IY159"/>
      <c r="IZ159"/>
      <c r="JA159"/>
      <c r="JB159"/>
      <c r="JC159"/>
      <c r="JD159"/>
      <c r="JE159"/>
      <c r="JF159"/>
      <c r="JG159"/>
      <c r="JH159"/>
      <c r="JI159"/>
      <c r="JJ159"/>
      <c r="JK159"/>
      <c r="JL159"/>
      <c r="JM159"/>
      <c r="JN159"/>
      <c r="JO159"/>
      <c r="JP159"/>
      <c r="JQ159"/>
      <c r="JR159"/>
      <c r="JS159"/>
      <c r="JT159"/>
      <c r="JU159"/>
      <c r="JV159"/>
    </row>
    <row r="160" spans="2:282" s="9" customFormat="1" ht="14.5" hidden="1" x14ac:dyDescent="0.35">
      <c r="B160" s="10"/>
      <c r="C160" s="10"/>
      <c r="O160" s="10"/>
      <c r="P160" s="10"/>
      <c r="Q160" s="10"/>
      <c r="R160" s="10"/>
      <c r="S160" s="10"/>
      <c r="T160" s="10"/>
      <c r="U160" s="1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  <c r="DU160"/>
      <c r="DV160"/>
      <c r="DW160"/>
      <c r="DX160"/>
      <c r="DY160"/>
      <c r="DZ160"/>
      <c r="EA160"/>
      <c r="EB160"/>
      <c r="EC160"/>
      <c r="ED160"/>
      <c r="EE160"/>
      <c r="EF160"/>
      <c r="EG160"/>
      <c r="EH160"/>
      <c r="EI160"/>
      <c r="EJ160"/>
      <c r="EK160"/>
      <c r="EL160"/>
      <c r="EM160"/>
      <c r="EN160"/>
      <c r="EO160"/>
      <c r="EP160"/>
      <c r="EQ160"/>
      <c r="ER160"/>
      <c r="ES160"/>
      <c r="ET160"/>
      <c r="EU160"/>
      <c r="EV160"/>
      <c r="EW160"/>
      <c r="EX160"/>
      <c r="EY160"/>
      <c r="EZ160"/>
      <c r="FA160"/>
      <c r="FB160"/>
      <c r="FC160"/>
      <c r="FD160"/>
      <c r="FE160"/>
      <c r="FF160"/>
      <c r="FG160"/>
      <c r="FH160"/>
      <c r="FI160"/>
      <c r="FJ160"/>
      <c r="FK160"/>
      <c r="FL160"/>
      <c r="FM160"/>
      <c r="FN160"/>
      <c r="FO160"/>
      <c r="FP160"/>
      <c r="FQ160"/>
      <c r="FR160"/>
      <c r="FS160"/>
      <c r="FT160"/>
      <c r="FU160"/>
      <c r="FV160"/>
      <c r="FW160"/>
      <c r="FX160"/>
      <c r="FY160"/>
      <c r="FZ160"/>
      <c r="GA160"/>
      <c r="GB160"/>
      <c r="GC160"/>
      <c r="GD160"/>
      <c r="GE160"/>
      <c r="GF160"/>
      <c r="GG160"/>
      <c r="GH160"/>
      <c r="GI160"/>
      <c r="GJ160"/>
      <c r="GK160"/>
      <c r="GL160"/>
      <c r="GM160"/>
      <c r="GN160"/>
      <c r="GO160"/>
      <c r="GP160"/>
      <c r="GQ160"/>
      <c r="GR160"/>
      <c r="GS160"/>
      <c r="GT160"/>
      <c r="GU160"/>
      <c r="GV160"/>
      <c r="GW160"/>
      <c r="GX160"/>
      <c r="GY160"/>
      <c r="GZ160"/>
      <c r="HA160"/>
      <c r="HB160"/>
      <c r="HC160"/>
      <c r="HD160"/>
      <c r="HE160"/>
      <c r="HF160"/>
      <c r="HG160"/>
      <c r="HH160"/>
      <c r="HI160"/>
      <c r="HJ160"/>
      <c r="HK160"/>
      <c r="HL160"/>
      <c r="HM160"/>
      <c r="HN160"/>
      <c r="HO160"/>
      <c r="HP160"/>
      <c r="HQ160"/>
      <c r="HR160"/>
      <c r="HS160"/>
      <c r="HT160"/>
      <c r="HU160"/>
      <c r="HV160"/>
      <c r="HW160"/>
      <c r="HX160"/>
      <c r="HY160"/>
      <c r="HZ160"/>
      <c r="IA160"/>
      <c r="IB160"/>
      <c r="IC160"/>
      <c r="ID160"/>
      <c r="IE160"/>
      <c r="IF160"/>
      <c r="IG160"/>
      <c r="IH160"/>
      <c r="II160"/>
      <c r="IJ160"/>
      <c r="IK160"/>
      <c r="IL160"/>
      <c r="IM160"/>
      <c r="IN160"/>
      <c r="IO160"/>
      <c r="IP160"/>
      <c r="IQ160"/>
      <c r="IR160"/>
      <c r="IS160"/>
      <c r="IT160"/>
      <c r="IU160"/>
      <c r="IV160"/>
      <c r="IW160"/>
      <c r="IX160"/>
      <c r="IY160"/>
      <c r="IZ160"/>
      <c r="JA160"/>
      <c r="JB160"/>
      <c r="JC160"/>
      <c r="JD160"/>
      <c r="JE160"/>
      <c r="JF160"/>
      <c r="JG160"/>
      <c r="JH160"/>
      <c r="JI160"/>
      <c r="JJ160"/>
      <c r="JK160"/>
      <c r="JL160"/>
      <c r="JM160"/>
      <c r="JN160"/>
      <c r="JO160"/>
      <c r="JP160"/>
      <c r="JQ160"/>
      <c r="JR160"/>
      <c r="JS160"/>
      <c r="JT160"/>
      <c r="JU160"/>
      <c r="JV160"/>
    </row>
    <row r="161" spans="2:282" s="9" customFormat="1" ht="14.5" hidden="1" x14ac:dyDescent="0.35">
      <c r="B161" s="10"/>
      <c r="C161" s="10"/>
      <c r="O161" s="10"/>
      <c r="P161" s="10"/>
      <c r="Q161" s="10"/>
      <c r="R161" s="10"/>
      <c r="S161" s="10"/>
      <c r="T161" s="10"/>
      <c r="U161" s="10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  <c r="DU161"/>
      <c r="DV161"/>
      <c r="DW161"/>
      <c r="DX161"/>
      <c r="DY161"/>
      <c r="DZ161"/>
      <c r="EA161"/>
      <c r="EB161"/>
      <c r="EC161"/>
      <c r="ED161"/>
      <c r="EE161"/>
      <c r="EF161"/>
      <c r="EG161"/>
      <c r="EH161"/>
      <c r="EI161"/>
      <c r="EJ161"/>
      <c r="EK161"/>
      <c r="EL161"/>
      <c r="EM161"/>
      <c r="EN161"/>
      <c r="EO161"/>
      <c r="EP161"/>
      <c r="EQ161"/>
      <c r="ER161"/>
      <c r="ES161"/>
      <c r="ET161"/>
      <c r="EU161"/>
      <c r="EV161"/>
      <c r="EW161"/>
      <c r="EX161"/>
      <c r="EY161"/>
      <c r="EZ161"/>
      <c r="FA161"/>
      <c r="FB161"/>
      <c r="FC161"/>
      <c r="FD161"/>
      <c r="FE161"/>
      <c r="FF161"/>
      <c r="FG161"/>
      <c r="FH161"/>
      <c r="FI161"/>
      <c r="FJ161"/>
      <c r="FK161"/>
      <c r="FL161"/>
      <c r="FM161"/>
      <c r="FN161"/>
      <c r="FO161"/>
      <c r="FP161"/>
      <c r="FQ161"/>
      <c r="FR161"/>
      <c r="FS161"/>
      <c r="FT161"/>
      <c r="FU161"/>
      <c r="FV161"/>
      <c r="FW161"/>
      <c r="FX161"/>
      <c r="FY161"/>
      <c r="FZ161"/>
      <c r="GA161"/>
      <c r="GB161"/>
      <c r="GC161"/>
      <c r="GD161"/>
      <c r="GE161"/>
      <c r="GF161"/>
      <c r="GG161"/>
      <c r="GH161"/>
      <c r="GI161"/>
      <c r="GJ161"/>
      <c r="GK161"/>
      <c r="GL161"/>
      <c r="GM161"/>
      <c r="GN161"/>
      <c r="GO161"/>
      <c r="GP161"/>
      <c r="GQ161"/>
      <c r="GR161"/>
      <c r="GS161"/>
      <c r="GT161"/>
      <c r="GU161"/>
      <c r="GV161"/>
      <c r="GW161"/>
      <c r="GX161"/>
      <c r="GY161"/>
      <c r="GZ161"/>
      <c r="HA161"/>
      <c r="HB161"/>
      <c r="HC161"/>
      <c r="HD161"/>
      <c r="HE161"/>
      <c r="HF161"/>
      <c r="HG161"/>
      <c r="HH161"/>
      <c r="HI161"/>
      <c r="HJ161"/>
      <c r="HK161"/>
      <c r="HL161"/>
      <c r="HM161"/>
      <c r="HN161"/>
      <c r="HO161"/>
      <c r="HP161"/>
      <c r="HQ161"/>
      <c r="HR161"/>
      <c r="HS161"/>
      <c r="HT161"/>
      <c r="HU161"/>
      <c r="HV161"/>
      <c r="HW161"/>
      <c r="HX161"/>
      <c r="HY161"/>
      <c r="HZ161"/>
      <c r="IA161"/>
      <c r="IB161"/>
      <c r="IC161"/>
      <c r="ID161"/>
      <c r="IE161"/>
      <c r="IF161"/>
      <c r="IG161"/>
      <c r="IH161"/>
      <c r="II161"/>
      <c r="IJ161"/>
      <c r="IK161"/>
      <c r="IL161"/>
      <c r="IM161"/>
      <c r="IN161"/>
      <c r="IO161"/>
      <c r="IP161"/>
      <c r="IQ161"/>
      <c r="IR161"/>
      <c r="IS161"/>
      <c r="IT161"/>
      <c r="IU161"/>
      <c r="IV161"/>
      <c r="IW161"/>
      <c r="IX161"/>
      <c r="IY161"/>
      <c r="IZ161"/>
      <c r="JA161"/>
      <c r="JB161"/>
      <c r="JC161"/>
      <c r="JD161"/>
      <c r="JE161"/>
      <c r="JF161"/>
      <c r="JG161"/>
      <c r="JH161"/>
      <c r="JI161"/>
      <c r="JJ161"/>
      <c r="JK161"/>
      <c r="JL161"/>
      <c r="JM161"/>
      <c r="JN161"/>
      <c r="JO161"/>
      <c r="JP161"/>
      <c r="JQ161"/>
      <c r="JR161"/>
      <c r="JS161"/>
      <c r="JT161"/>
      <c r="JU161"/>
      <c r="JV161"/>
    </row>
    <row r="162" spans="2:282" s="9" customFormat="1" ht="14.5" hidden="1" x14ac:dyDescent="0.35">
      <c r="B162" s="10"/>
      <c r="C162" s="10"/>
      <c r="O162" s="10"/>
      <c r="P162" s="10"/>
      <c r="Q162" s="10"/>
      <c r="R162" s="10"/>
      <c r="S162" s="10"/>
      <c r="T162" s="10"/>
      <c r="U162" s="10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  <c r="DU162"/>
      <c r="DV162"/>
      <c r="DW162"/>
      <c r="DX162"/>
      <c r="DY162"/>
      <c r="DZ162"/>
      <c r="EA162"/>
      <c r="EB162"/>
      <c r="EC162"/>
      <c r="ED162"/>
      <c r="EE162"/>
      <c r="EF162"/>
      <c r="EG162"/>
      <c r="EH162"/>
      <c r="EI162"/>
      <c r="EJ162"/>
      <c r="EK162"/>
      <c r="EL162"/>
      <c r="EM162"/>
      <c r="EN162"/>
      <c r="EO162"/>
      <c r="EP162"/>
      <c r="EQ162"/>
      <c r="ER162"/>
      <c r="ES162"/>
      <c r="ET162"/>
      <c r="EU162"/>
      <c r="EV162"/>
      <c r="EW162"/>
      <c r="EX162"/>
      <c r="EY162"/>
      <c r="EZ162"/>
      <c r="FA162"/>
      <c r="FB162"/>
      <c r="FC162"/>
      <c r="FD162"/>
      <c r="FE162"/>
      <c r="FF162"/>
      <c r="FG162"/>
      <c r="FH162"/>
      <c r="FI162"/>
      <c r="FJ162"/>
      <c r="FK162"/>
      <c r="FL162"/>
      <c r="FM162"/>
      <c r="FN162"/>
      <c r="FO162"/>
      <c r="FP162"/>
      <c r="FQ162"/>
      <c r="FR162"/>
      <c r="FS162"/>
      <c r="FT162"/>
      <c r="FU162"/>
      <c r="FV162"/>
      <c r="FW162"/>
      <c r="FX162"/>
      <c r="FY162"/>
      <c r="FZ162"/>
      <c r="GA162"/>
      <c r="GB162"/>
      <c r="GC162"/>
      <c r="GD162"/>
      <c r="GE162"/>
      <c r="GF162"/>
      <c r="GG162"/>
      <c r="GH162"/>
      <c r="GI162"/>
      <c r="GJ162"/>
      <c r="GK162"/>
      <c r="GL162"/>
      <c r="GM162"/>
      <c r="GN162"/>
      <c r="GO162"/>
      <c r="GP162"/>
      <c r="GQ162"/>
      <c r="GR162"/>
      <c r="GS162"/>
      <c r="GT162"/>
      <c r="GU162"/>
      <c r="GV162"/>
      <c r="GW162"/>
      <c r="GX162"/>
      <c r="GY162"/>
      <c r="GZ162"/>
      <c r="HA162"/>
      <c r="HB162"/>
      <c r="HC162"/>
      <c r="HD162"/>
      <c r="HE162"/>
      <c r="HF162"/>
      <c r="HG162"/>
      <c r="HH162"/>
      <c r="HI162"/>
      <c r="HJ162"/>
      <c r="HK162"/>
      <c r="HL162"/>
      <c r="HM162"/>
      <c r="HN162"/>
      <c r="HO162"/>
      <c r="HP162"/>
      <c r="HQ162"/>
      <c r="HR162"/>
      <c r="HS162"/>
      <c r="HT162"/>
      <c r="HU162"/>
      <c r="HV162"/>
      <c r="HW162"/>
      <c r="HX162"/>
      <c r="HY162"/>
      <c r="HZ162"/>
      <c r="IA162"/>
      <c r="IB162"/>
      <c r="IC162"/>
      <c r="ID162"/>
      <c r="IE162"/>
      <c r="IF162"/>
      <c r="IG162"/>
      <c r="IH162"/>
      <c r="II162"/>
      <c r="IJ162"/>
      <c r="IK162"/>
      <c r="IL162"/>
      <c r="IM162"/>
      <c r="IN162"/>
      <c r="IO162"/>
      <c r="IP162"/>
      <c r="IQ162"/>
      <c r="IR162"/>
      <c r="IS162"/>
      <c r="IT162"/>
      <c r="IU162"/>
      <c r="IV162"/>
      <c r="IW162"/>
      <c r="IX162"/>
      <c r="IY162"/>
      <c r="IZ162"/>
      <c r="JA162"/>
      <c r="JB162"/>
      <c r="JC162"/>
      <c r="JD162"/>
      <c r="JE162"/>
      <c r="JF162"/>
      <c r="JG162"/>
      <c r="JH162"/>
      <c r="JI162"/>
      <c r="JJ162"/>
      <c r="JK162"/>
      <c r="JL162"/>
      <c r="JM162"/>
      <c r="JN162"/>
      <c r="JO162"/>
      <c r="JP162"/>
      <c r="JQ162"/>
      <c r="JR162"/>
      <c r="JS162"/>
      <c r="JT162"/>
      <c r="JU162"/>
      <c r="JV162"/>
    </row>
    <row r="163" spans="2:282" s="9" customFormat="1" ht="14.5" hidden="1" x14ac:dyDescent="0.35">
      <c r="B163" s="10"/>
      <c r="C163" s="10"/>
      <c r="O163" s="10"/>
      <c r="P163" s="10"/>
      <c r="Q163" s="10"/>
      <c r="R163" s="10"/>
      <c r="S163" s="10"/>
      <c r="T163" s="10"/>
      <c r="U163" s="10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  <c r="DU163"/>
      <c r="DV163"/>
      <c r="DW163"/>
      <c r="DX163"/>
      <c r="DY163"/>
      <c r="DZ163"/>
      <c r="EA163"/>
      <c r="EB163"/>
      <c r="EC163"/>
      <c r="ED163"/>
      <c r="EE163"/>
      <c r="EF163"/>
      <c r="EG163"/>
      <c r="EH163"/>
      <c r="EI163"/>
      <c r="EJ163"/>
      <c r="EK163"/>
      <c r="EL163"/>
      <c r="EM163"/>
      <c r="EN163"/>
      <c r="EO163"/>
      <c r="EP163"/>
      <c r="EQ163"/>
      <c r="ER163"/>
      <c r="ES163"/>
      <c r="ET163"/>
      <c r="EU163"/>
      <c r="EV163"/>
      <c r="EW163"/>
      <c r="EX163"/>
      <c r="EY163"/>
      <c r="EZ163"/>
      <c r="FA163"/>
      <c r="FB163"/>
      <c r="FC163"/>
      <c r="FD163"/>
      <c r="FE163"/>
      <c r="FF163"/>
      <c r="FG163"/>
      <c r="FH163"/>
      <c r="FI163"/>
      <c r="FJ163"/>
      <c r="FK163"/>
      <c r="FL163"/>
      <c r="FM163"/>
      <c r="FN163"/>
      <c r="FO163"/>
      <c r="FP163"/>
      <c r="FQ163"/>
      <c r="FR163"/>
      <c r="FS163"/>
      <c r="FT163"/>
      <c r="FU163"/>
      <c r="FV163"/>
      <c r="FW163"/>
      <c r="FX163"/>
      <c r="FY163"/>
      <c r="FZ163"/>
      <c r="GA163"/>
      <c r="GB163"/>
      <c r="GC163"/>
      <c r="GD163"/>
      <c r="GE163"/>
      <c r="GF163"/>
      <c r="GG163"/>
      <c r="GH163"/>
      <c r="GI163"/>
      <c r="GJ163"/>
      <c r="GK163"/>
      <c r="GL163"/>
      <c r="GM163"/>
      <c r="GN163"/>
      <c r="GO163"/>
      <c r="GP163"/>
      <c r="GQ163"/>
      <c r="GR163"/>
      <c r="GS163"/>
      <c r="GT163"/>
      <c r="GU163"/>
      <c r="GV163"/>
      <c r="GW163"/>
      <c r="GX163"/>
      <c r="GY163"/>
      <c r="GZ163"/>
      <c r="HA163"/>
      <c r="HB163"/>
      <c r="HC163"/>
      <c r="HD163"/>
      <c r="HE163"/>
      <c r="HF163"/>
      <c r="HG163"/>
      <c r="HH163"/>
      <c r="HI163"/>
      <c r="HJ163"/>
      <c r="HK163"/>
      <c r="HL163"/>
      <c r="HM163"/>
      <c r="HN163"/>
      <c r="HO163"/>
      <c r="HP163"/>
      <c r="HQ163"/>
      <c r="HR163"/>
      <c r="HS163"/>
      <c r="HT163"/>
      <c r="HU163"/>
      <c r="HV163"/>
      <c r="HW163"/>
      <c r="HX163"/>
      <c r="HY163"/>
      <c r="HZ163"/>
      <c r="IA163"/>
      <c r="IB163"/>
      <c r="IC163"/>
      <c r="ID163"/>
      <c r="IE163"/>
      <c r="IF163"/>
      <c r="IG163"/>
      <c r="IH163"/>
      <c r="II163"/>
      <c r="IJ163"/>
      <c r="IK163"/>
      <c r="IL163"/>
      <c r="IM163"/>
      <c r="IN163"/>
      <c r="IO163"/>
      <c r="IP163"/>
      <c r="IQ163"/>
      <c r="IR163"/>
      <c r="IS163"/>
      <c r="IT163"/>
      <c r="IU163"/>
      <c r="IV163"/>
      <c r="IW163"/>
      <c r="IX163"/>
      <c r="IY163"/>
      <c r="IZ163"/>
      <c r="JA163"/>
      <c r="JB163"/>
      <c r="JC163"/>
      <c r="JD163"/>
      <c r="JE163"/>
      <c r="JF163"/>
      <c r="JG163"/>
      <c r="JH163"/>
      <c r="JI163"/>
      <c r="JJ163"/>
      <c r="JK163"/>
      <c r="JL163"/>
      <c r="JM163"/>
      <c r="JN163"/>
      <c r="JO163"/>
      <c r="JP163"/>
      <c r="JQ163"/>
      <c r="JR163"/>
      <c r="JS163"/>
      <c r="JT163"/>
      <c r="JU163"/>
      <c r="JV163"/>
    </row>
    <row r="164" spans="2:282" s="9" customFormat="1" ht="14.5" hidden="1" x14ac:dyDescent="0.35">
      <c r="B164" s="10"/>
      <c r="C164" s="10"/>
      <c r="O164" s="10"/>
      <c r="P164" s="10"/>
      <c r="Q164" s="10"/>
      <c r="R164" s="10"/>
      <c r="S164" s="10"/>
      <c r="T164" s="10"/>
      <c r="U164" s="10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  <c r="CN164"/>
      <c r="CO164"/>
      <c r="CP164"/>
      <c r="CQ164"/>
      <c r="CR164"/>
      <c r="CS164"/>
      <c r="CT164"/>
      <c r="CU164"/>
      <c r="CV164"/>
      <c r="CW164"/>
      <c r="CX164"/>
      <c r="CY164"/>
      <c r="CZ164"/>
      <c r="DA164"/>
      <c r="DB164"/>
      <c r="DC164"/>
      <c r="DD164"/>
      <c r="DE164"/>
      <c r="DF164"/>
      <c r="DG164"/>
      <c r="DH164"/>
      <c r="DI164"/>
      <c r="DJ164"/>
      <c r="DK164"/>
      <c r="DL164"/>
      <c r="DM164"/>
      <c r="DN164"/>
      <c r="DO164"/>
      <c r="DP164"/>
      <c r="DQ164"/>
      <c r="DR164"/>
      <c r="DS164"/>
      <c r="DT164"/>
      <c r="DU164"/>
      <c r="DV164"/>
      <c r="DW164"/>
      <c r="DX164"/>
      <c r="DY164"/>
      <c r="DZ164"/>
      <c r="EA164"/>
      <c r="EB164"/>
      <c r="EC164"/>
      <c r="ED164"/>
      <c r="EE164"/>
      <c r="EF164"/>
      <c r="EG164"/>
      <c r="EH164"/>
      <c r="EI164"/>
      <c r="EJ164"/>
      <c r="EK164"/>
      <c r="EL164"/>
      <c r="EM164"/>
      <c r="EN164"/>
      <c r="EO164"/>
      <c r="EP164"/>
      <c r="EQ164"/>
      <c r="ER164"/>
      <c r="ES164"/>
      <c r="ET164"/>
      <c r="EU164"/>
      <c r="EV164"/>
      <c r="EW164"/>
      <c r="EX164"/>
      <c r="EY164"/>
      <c r="EZ164"/>
      <c r="FA164"/>
      <c r="FB164"/>
      <c r="FC164"/>
      <c r="FD164"/>
      <c r="FE164"/>
      <c r="FF164"/>
      <c r="FG164"/>
      <c r="FH164"/>
      <c r="FI164"/>
      <c r="FJ164"/>
      <c r="FK164"/>
      <c r="FL164"/>
      <c r="FM164"/>
      <c r="FN164"/>
      <c r="FO164"/>
      <c r="FP164"/>
      <c r="FQ164"/>
      <c r="FR164"/>
      <c r="FS164"/>
      <c r="FT164"/>
      <c r="FU164"/>
      <c r="FV164"/>
      <c r="FW164"/>
      <c r="FX164"/>
      <c r="FY164"/>
      <c r="FZ164"/>
      <c r="GA164"/>
      <c r="GB164"/>
      <c r="GC164"/>
      <c r="GD164"/>
      <c r="GE164"/>
      <c r="GF164"/>
      <c r="GG164"/>
      <c r="GH164"/>
      <c r="GI164"/>
      <c r="GJ164"/>
      <c r="GK164"/>
      <c r="GL164"/>
      <c r="GM164"/>
      <c r="GN164"/>
      <c r="GO164"/>
      <c r="GP164"/>
      <c r="GQ164"/>
      <c r="GR164"/>
      <c r="GS164"/>
      <c r="GT164"/>
      <c r="GU164"/>
      <c r="GV164"/>
      <c r="GW164"/>
      <c r="GX164"/>
      <c r="GY164"/>
      <c r="GZ164"/>
      <c r="HA164"/>
      <c r="HB164"/>
      <c r="HC164"/>
      <c r="HD164"/>
      <c r="HE164"/>
      <c r="HF164"/>
      <c r="HG164"/>
      <c r="HH164"/>
      <c r="HI164"/>
      <c r="HJ164"/>
      <c r="HK164"/>
      <c r="HL164"/>
      <c r="HM164"/>
      <c r="HN164"/>
      <c r="HO164"/>
      <c r="HP164"/>
      <c r="HQ164"/>
      <c r="HR164"/>
      <c r="HS164"/>
      <c r="HT164"/>
      <c r="HU164"/>
      <c r="HV164"/>
      <c r="HW164"/>
      <c r="HX164"/>
      <c r="HY164"/>
      <c r="HZ164"/>
      <c r="IA164"/>
      <c r="IB164"/>
      <c r="IC164"/>
      <c r="ID164"/>
      <c r="IE164"/>
      <c r="IF164"/>
      <c r="IG164"/>
      <c r="IH164"/>
      <c r="II164"/>
      <c r="IJ164"/>
      <c r="IK164"/>
      <c r="IL164"/>
      <c r="IM164"/>
      <c r="IN164"/>
      <c r="IO164"/>
      <c r="IP164"/>
      <c r="IQ164"/>
      <c r="IR164"/>
      <c r="IS164"/>
      <c r="IT164"/>
      <c r="IU164"/>
      <c r="IV164"/>
      <c r="IW164"/>
      <c r="IX164"/>
      <c r="IY164"/>
      <c r="IZ164"/>
      <c r="JA164"/>
      <c r="JB164"/>
      <c r="JC164"/>
      <c r="JD164"/>
      <c r="JE164"/>
      <c r="JF164"/>
      <c r="JG164"/>
      <c r="JH164"/>
      <c r="JI164"/>
      <c r="JJ164"/>
      <c r="JK164"/>
      <c r="JL164"/>
      <c r="JM164"/>
      <c r="JN164"/>
      <c r="JO164"/>
      <c r="JP164"/>
      <c r="JQ164"/>
      <c r="JR164"/>
      <c r="JS164"/>
      <c r="JT164"/>
      <c r="JU164"/>
      <c r="JV164"/>
    </row>
    <row r="165" spans="2:282" s="9" customFormat="1" ht="14.5" hidden="1" x14ac:dyDescent="0.35">
      <c r="B165" s="10"/>
      <c r="C165" s="10"/>
      <c r="O165" s="10"/>
      <c r="P165" s="10"/>
      <c r="Q165" s="10"/>
      <c r="R165" s="10"/>
      <c r="S165" s="10"/>
      <c r="T165" s="10"/>
      <c r="U165" s="10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  <c r="CN165"/>
      <c r="CO165"/>
      <c r="CP165"/>
      <c r="CQ165"/>
      <c r="CR165"/>
      <c r="CS165"/>
      <c r="CT165"/>
      <c r="CU165"/>
      <c r="CV165"/>
      <c r="CW165"/>
      <c r="CX165"/>
      <c r="CY165"/>
      <c r="CZ165"/>
      <c r="DA165"/>
      <c r="DB165"/>
      <c r="DC165"/>
      <c r="DD165"/>
      <c r="DE165"/>
      <c r="DF165"/>
      <c r="DG165"/>
      <c r="DH165"/>
      <c r="DI165"/>
      <c r="DJ165"/>
      <c r="DK165"/>
      <c r="DL165"/>
      <c r="DM165"/>
      <c r="DN165"/>
      <c r="DO165"/>
      <c r="DP165"/>
      <c r="DQ165"/>
      <c r="DR165"/>
      <c r="DS165"/>
      <c r="DT165"/>
      <c r="DU165"/>
      <c r="DV165"/>
      <c r="DW165"/>
      <c r="DX165"/>
      <c r="DY165"/>
      <c r="DZ165"/>
      <c r="EA165"/>
      <c r="EB165"/>
      <c r="EC165"/>
      <c r="ED165"/>
      <c r="EE165"/>
      <c r="EF165"/>
      <c r="EG165"/>
      <c r="EH165"/>
      <c r="EI165"/>
      <c r="EJ165"/>
      <c r="EK165"/>
      <c r="EL165"/>
      <c r="EM165"/>
      <c r="EN165"/>
      <c r="EO165"/>
      <c r="EP165"/>
      <c r="EQ165"/>
      <c r="ER165"/>
      <c r="ES165"/>
      <c r="ET165"/>
      <c r="EU165"/>
      <c r="EV165"/>
      <c r="EW165"/>
      <c r="EX165"/>
      <c r="EY165"/>
      <c r="EZ165"/>
      <c r="FA165"/>
      <c r="FB165"/>
      <c r="FC165"/>
      <c r="FD165"/>
      <c r="FE165"/>
      <c r="FF165"/>
      <c r="FG165"/>
      <c r="FH165"/>
      <c r="FI165"/>
      <c r="FJ165"/>
      <c r="FK165"/>
      <c r="FL165"/>
      <c r="FM165"/>
      <c r="FN165"/>
      <c r="FO165"/>
      <c r="FP165"/>
      <c r="FQ165"/>
      <c r="FR165"/>
      <c r="FS165"/>
      <c r="FT165"/>
      <c r="FU165"/>
      <c r="FV165"/>
      <c r="FW165"/>
      <c r="FX165"/>
      <c r="FY165"/>
      <c r="FZ165"/>
      <c r="GA165"/>
      <c r="GB165"/>
      <c r="GC165"/>
      <c r="GD165"/>
      <c r="GE165"/>
      <c r="GF165"/>
      <c r="GG165"/>
      <c r="GH165"/>
      <c r="GI165"/>
      <c r="GJ165"/>
      <c r="GK165"/>
      <c r="GL165"/>
      <c r="GM165"/>
      <c r="GN165"/>
      <c r="GO165"/>
      <c r="GP165"/>
      <c r="GQ165"/>
      <c r="GR165"/>
      <c r="GS165"/>
      <c r="GT165"/>
      <c r="GU165"/>
      <c r="GV165"/>
      <c r="GW165"/>
      <c r="GX165"/>
      <c r="GY165"/>
      <c r="GZ165"/>
      <c r="HA165"/>
      <c r="HB165"/>
      <c r="HC165"/>
      <c r="HD165"/>
      <c r="HE165"/>
      <c r="HF165"/>
      <c r="HG165"/>
      <c r="HH165"/>
      <c r="HI165"/>
      <c r="HJ165"/>
      <c r="HK165"/>
      <c r="HL165"/>
      <c r="HM165"/>
      <c r="HN165"/>
      <c r="HO165"/>
      <c r="HP165"/>
      <c r="HQ165"/>
      <c r="HR165"/>
      <c r="HS165"/>
      <c r="HT165"/>
      <c r="HU165"/>
      <c r="HV165"/>
      <c r="HW165"/>
      <c r="HX165"/>
      <c r="HY165"/>
      <c r="HZ165"/>
      <c r="IA165"/>
      <c r="IB165"/>
      <c r="IC165"/>
      <c r="ID165"/>
      <c r="IE165"/>
      <c r="IF165"/>
      <c r="IG165"/>
      <c r="IH165"/>
      <c r="II165"/>
      <c r="IJ165"/>
      <c r="IK165"/>
      <c r="IL165"/>
      <c r="IM165"/>
      <c r="IN165"/>
      <c r="IO165"/>
      <c r="IP165"/>
      <c r="IQ165"/>
      <c r="IR165"/>
      <c r="IS165"/>
      <c r="IT165"/>
      <c r="IU165"/>
      <c r="IV165"/>
      <c r="IW165"/>
      <c r="IX165"/>
      <c r="IY165"/>
      <c r="IZ165"/>
      <c r="JA165"/>
      <c r="JB165"/>
      <c r="JC165"/>
      <c r="JD165"/>
      <c r="JE165"/>
      <c r="JF165"/>
      <c r="JG165"/>
      <c r="JH165"/>
      <c r="JI165"/>
      <c r="JJ165"/>
      <c r="JK165"/>
      <c r="JL165"/>
      <c r="JM165"/>
      <c r="JN165"/>
      <c r="JO165"/>
      <c r="JP165"/>
      <c r="JQ165"/>
      <c r="JR165"/>
      <c r="JS165"/>
      <c r="JT165"/>
      <c r="JU165"/>
      <c r="JV165"/>
    </row>
    <row r="166" spans="2:282" s="9" customFormat="1" ht="14.5" x14ac:dyDescent="0.35">
      <c r="B166" s="10"/>
      <c r="C166" s="10"/>
      <c r="N166" s="161" t="str">
        <f>Cotizador!B66</f>
        <v>Únikuz Bx+  2022. Versión: 30/06/2022 v6.2</v>
      </c>
      <c r="O166" s="10"/>
      <c r="P166" s="10"/>
      <c r="Q166" s="10"/>
      <c r="R166" s="10"/>
      <c r="S166" s="10"/>
      <c r="T166" s="10"/>
      <c r="U166" s="10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  <c r="CN166"/>
      <c r="CO166"/>
      <c r="CP166"/>
      <c r="CQ166"/>
      <c r="CR166"/>
      <c r="CS166"/>
      <c r="CT166"/>
      <c r="CU166"/>
      <c r="CV166"/>
      <c r="CW166"/>
      <c r="CX166"/>
      <c r="CY166"/>
      <c r="CZ166"/>
      <c r="DA166"/>
      <c r="DB166"/>
      <c r="DC166"/>
      <c r="DD166"/>
      <c r="DE166"/>
      <c r="DF166"/>
      <c r="DG166"/>
      <c r="DH166"/>
      <c r="DI166"/>
      <c r="DJ166"/>
      <c r="DK166"/>
      <c r="DL166"/>
      <c r="DM166"/>
      <c r="DN166"/>
      <c r="DO166"/>
      <c r="DP166"/>
      <c r="DQ166"/>
      <c r="DR166"/>
      <c r="DS166"/>
      <c r="DT166"/>
      <c r="DU166"/>
      <c r="DV166"/>
      <c r="DW166"/>
      <c r="DX166"/>
      <c r="DY166"/>
      <c r="DZ166"/>
      <c r="EA166"/>
      <c r="EB166"/>
      <c r="EC166"/>
      <c r="ED166"/>
      <c r="EE166"/>
      <c r="EF166"/>
      <c r="EG166"/>
      <c r="EH166"/>
      <c r="EI166"/>
      <c r="EJ166"/>
      <c r="EK166"/>
      <c r="EL166"/>
      <c r="EM166"/>
      <c r="EN166"/>
      <c r="EO166"/>
      <c r="EP166"/>
      <c r="EQ166"/>
      <c r="ER166"/>
      <c r="ES166"/>
      <c r="ET166"/>
      <c r="EU166"/>
      <c r="EV166"/>
      <c r="EW166"/>
      <c r="EX166"/>
      <c r="EY166"/>
      <c r="EZ166"/>
      <c r="FA166"/>
      <c r="FB166"/>
      <c r="FC166"/>
      <c r="FD166"/>
      <c r="FE166"/>
      <c r="FF166"/>
      <c r="FG166"/>
      <c r="FH166"/>
      <c r="FI166"/>
      <c r="FJ166"/>
      <c r="FK166"/>
      <c r="FL166"/>
      <c r="FM166"/>
      <c r="FN166"/>
      <c r="FO166"/>
      <c r="FP166"/>
      <c r="FQ166"/>
      <c r="FR166"/>
      <c r="FS166"/>
      <c r="FT166"/>
      <c r="FU166"/>
      <c r="FV166"/>
      <c r="FW166"/>
      <c r="FX166"/>
      <c r="FY166"/>
      <c r="FZ166"/>
      <c r="GA166"/>
      <c r="GB166"/>
      <c r="GC166"/>
      <c r="GD166"/>
      <c r="GE166"/>
      <c r="GF166"/>
      <c r="GG166"/>
      <c r="GH166"/>
      <c r="GI166"/>
      <c r="GJ166"/>
      <c r="GK166"/>
      <c r="GL166"/>
      <c r="GM166"/>
      <c r="GN166"/>
      <c r="GO166"/>
      <c r="GP166"/>
      <c r="GQ166"/>
      <c r="GR166"/>
      <c r="GS166"/>
      <c r="GT166"/>
      <c r="GU166"/>
      <c r="GV166"/>
      <c r="GW166"/>
      <c r="GX166"/>
      <c r="GY166"/>
      <c r="GZ166"/>
      <c r="HA166"/>
      <c r="HB166"/>
      <c r="HC166"/>
      <c r="HD166"/>
      <c r="HE166"/>
      <c r="HF166"/>
      <c r="HG166"/>
      <c r="HH166"/>
      <c r="HI166"/>
      <c r="HJ166"/>
      <c r="HK166"/>
      <c r="HL166"/>
      <c r="HM166"/>
      <c r="HN166"/>
      <c r="HO166"/>
      <c r="HP166"/>
      <c r="HQ166"/>
      <c r="HR166"/>
      <c r="HS166"/>
      <c r="HT166"/>
      <c r="HU166"/>
      <c r="HV166"/>
      <c r="HW166"/>
      <c r="HX166"/>
      <c r="HY166"/>
      <c r="HZ166"/>
      <c r="IA166"/>
      <c r="IB166"/>
      <c r="IC166"/>
      <c r="ID166"/>
      <c r="IE166"/>
      <c r="IF166"/>
      <c r="IG166"/>
      <c r="IH166"/>
      <c r="II166"/>
      <c r="IJ166"/>
      <c r="IK166"/>
      <c r="IL166"/>
      <c r="IM166"/>
      <c r="IN166"/>
      <c r="IO166"/>
      <c r="IP166"/>
      <c r="IQ166"/>
      <c r="IR166"/>
      <c r="IS166"/>
      <c r="IT166"/>
      <c r="IU166"/>
      <c r="IV166"/>
      <c r="IW166"/>
      <c r="IX166"/>
      <c r="IY166"/>
      <c r="IZ166"/>
      <c r="JA166"/>
      <c r="JB166"/>
      <c r="JC166"/>
      <c r="JD166"/>
      <c r="JE166"/>
      <c r="JF166"/>
      <c r="JG166"/>
      <c r="JH166"/>
      <c r="JI166"/>
      <c r="JJ166"/>
      <c r="JK166"/>
      <c r="JL166"/>
      <c r="JM166"/>
      <c r="JN166"/>
      <c r="JO166"/>
      <c r="JP166"/>
      <c r="JQ166"/>
      <c r="JR166"/>
      <c r="JS166"/>
      <c r="JT166"/>
      <c r="JU166"/>
      <c r="JV166"/>
    </row>
    <row r="167" spans="2:282" s="9" customFormat="1" ht="14.5" x14ac:dyDescent="0.35">
      <c r="B167" s="10"/>
      <c r="C167" s="10"/>
      <c r="O167" s="10"/>
      <c r="P167" s="10"/>
      <c r="Q167" s="10"/>
      <c r="R167" s="10"/>
      <c r="S167" s="10"/>
      <c r="T167" s="10"/>
      <c r="U167" s="10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  <c r="CN167"/>
      <c r="CO167"/>
      <c r="CP167"/>
      <c r="CQ167"/>
      <c r="CR167"/>
      <c r="CS167"/>
      <c r="CT167"/>
      <c r="CU167"/>
      <c r="CV167"/>
      <c r="CW167"/>
      <c r="CX167"/>
      <c r="CY167"/>
      <c r="CZ167"/>
      <c r="DA167"/>
      <c r="DB167"/>
      <c r="DC167"/>
      <c r="DD167"/>
      <c r="DE167"/>
      <c r="DF167"/>
      <c r="DG167"/>
      <c r="DH167"/>
      <c r="DI167"/>
      <c r="DJ167"/>
      <c r="DK167"/>
      <c r="DL167"/>
      <c r="DM167"/>
      <c r="DN167"/>
      <c r="DO167"/>
      <c r="DP167"/>
      <c r="DQ167"/>
      <c r="DR167"/>
      <c r="DS167"/>
      <c r="DT167"/>
      <c r="DU167"/>
      <c r="DV167"/>
      <c r="DW167"/>
      <c r="DX167"/>
      <c r="DY167"/>
      <c r="DZ167"/>
      <c r="EA167"/>
      <c r="EB167"/>
      <c r="EC167"/>
      <c r="ED167"/>
      <c r="EE167"/>
      <c r="EF167"/>
      <c r="EG167"/>
      <c r="EH167"/>
      <c r="EI167"/>
      <c r="EJ167"/>
      <c r="EK167"/>
      <c r="EL167"/>
      <c r="EM167"/>
      <c r="EN167"/>
      <c r="EO167"/>
      <c r="EP167"/>
      <c r="EQ167"/>
      <c r="ER167"/>
      <c r="ES167"/>
      <c r="ET167"/>
      <c r="EU167"/>
      <c r="EV167"/>
      <c r="EW167"/>
      <c r="EX167"/>
      <c r="EY167"/>
      <c r="EZ167"/>
      <c r="FA167"/>
      <c r="FB167"/>
      <c r="FC167"/>
      <c r="FD167"/>
      <c r="FE167"/>
      <c r="FF167"/>
      <c r="FG167"/>
      <c r="FH167"/>
      <c r="FI167"/>
      <c r="FJ167"/>
      <c r="FK167"/>
      <c r="FL167"/>
      <c r="FM167"/>
      <c r="FN167"/>
      <c r="FO167"/>
      <c r="FP167"/>
      <c r="FQ167"/>
      <c r="FR167"/>
      <c r="FS167"/>
      <c r="FT167"/>
      <c r="FU167"/>
      <c r="FV167"/>
      <c r="FW167"/>
      <c r="FX167"/>
      <c r="FY167"/>
      <c r="FZ167"/>
      <c r="GA167"/>
      <c r="GB167"/>
      <c r="GC167"/>
      <c r="GD167"/>
      <c r="GE167"/>
      <c r="GF167"/>
      <c r="GG167"/>
      <c r="GH167"/>
      <c r="GI167"/>
      <c r="GJ167"/>
      <c r="GK167"/>
      <c r="GL167"/>
      <c r="GM167"/>
      <c r="GN167"/>
      <c r="GO167"/>
      <c r="GP167"/>
      <c r="GQ167"/>
      <c r="GR167"/>
      <c r="GS167"/>
      <c r="GT167"/>
      <c r="GU167"/>
      <c r="GV167"/>
      <c r="GW167"/>
      <c r="GX167"/>
      <c r="GY167"/>
      <c r="GZ167"/>
      <c r="HA167"/>
      <c r="HB167"/>
      <c r="HC167"/>
      <c r="HD167"/>
      <c r="HE167"/>
      <c r="HF167"/>
      <c r="HG167"/>
      <c r="HH167"/>
      <c r="HI167"/>
      <c r="HJ167"/>
      <c r="HK167"/>
      <c r="HL167"/>
      <c r="HM167"/>
      <c r="HN167"/>
      <c r="HO167"/>
      <c r="HP167"/>
      <c r="HQ167"/>
      <c r="HR167"/>
      <c r="HS167"/>
      <c r="HT167"/>
      <c r="HU167"/>
      <c r="HV167"/>
      <c r="HW167"/>
      <c r="HX167"/>
      <c r="HY167"/>
      <c r="HZ167"/>
      <c r="IA167"/>
      <c r="IB167"/>
      <c r="IC167"/>
      <c r="ID167"/>
      <c r="IE167"/>
      <c r="IF167"/>
      <c r="IG167"/>
      <c r="IH167"/>
      <c r="II167"/>
      <c r="IJ167"/>
      <c r="IK167"/>
      <c r="IL167"/>
      <c r="IM167"/>
      <c r="IN167"/>
      <c r="IO167"/>
      <c r="IP167"/>
      <c r="IQ167"/>
      <c r="IR167"/>
      <c r="IS167"/>
      <c r="IT167"/>
      <c r="IU167"/>
      <c r="IV167"/>
      <c r="IW167"/>
      <c r="IX167"/>
      <c r="IY167"/>
      <c r="IZ167"/>
      <c r="JA167"/>
      <c r="JB167"/>
      <c r="JC167"/>
      <c r="JD167"/>
      <c r="JE167"/>
      <c r="JF167"/>
      <c r="JG167"/>
      <c r="JH167"/>
      <c r="JI167"/>
      <c r="JJ167"/>
      <c r="JK167"/>
      <c r="JL167"/>
      <c r="JM167"/>
      <c r="JN167"/>
      <c r="JO167"/>
      <c r="JP167"/>
      <c r="JQ167"/>
      <c r="JR167"/>
      <c r="JS167"/>
      <c r="JT167"/>
      <c r="JU167"/>
      <c r="JV167"/>
    </row>
    <row r="168" spans="2:282" s="9" customFormat="1" ht="14.5" x14ac:dyDescent="0.35">
      <c r="B168" s="10"/>
      <c r="C168" s="10"/>
      <c r="O168" s="10"/>
      <c r="P168" s="10"/>
      <c r="Q168" s="10"/>
      <c r="R168" s="10"/>
      <c r="S168" s="10"/>
      <c r="T168" s="10"/>
      <c r="U168" s="10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  <c r="CN168"/>
      <c r="CO168"/>
      <c r="CP168"/>
      <c r="CQ168"/>
      <c r="CR168"/>
      <c r="CS168"/>
      <c r="CT168"/>
      <c r="CU168"/>
      <c r="CV168"/>
      <c r="CW168"/>
      <c r="CX168"/>
      <c r="CY168"/>
      <c r="CZ168"/>
      <c r="DA168"/>
      <c r="DB168"/>
      <c r="DC168"/>
      <c r="DD168"/>
      <c r="DE168"/>
      <c r="DF168"/>
      <c r="DG168"/>
      <c r="DH168"/>
      <c r="DI168"/>
      <c r="DJ168"/>
      <c r="DK168"/>
      <c r="DL168"/>
      <c r="DM168"/>
      <c r="DN168"/>
      <c r="DO168"/>
      <c r="DP168"/>
      <c r="DQ168"/>
      <c r="DR168"/>
      <c r="DS168"/>
      <c r="DT168"/>
      <c r="DU168"/>
      <c r="DV168"/>
      <c r="DW168"/>
      <c r="DX168"/>
      <c r="DY168"/>
      <c r="DZ168"/>
      <c r="EA168"/>
      <c r="EB168"/>
      <c r="EC168"/>
      <c r="ED168"/>
      <c r="EE168"/>
      <c r="EF168"/>
      <c r="EG168"/>
      <c r="EH168"/>
      <c r="EI168"/>
      <c r="EJ168"/>
      <c r="EK168"/>
      <c r="EL168"/>
      <c r="EM168"/>
      <c r="EN168"/>
      <c r="EO168"/>
      <c r="EP168"/>
      <c r="EQ168"/>
      <c r="ER168"/>
      <c r="ES168"/>
      <c r="ET168"/>
      <c r="EU168"/>
      <c r="EV168"/>
      <c r="EW168"/>
      <c r="EX168"/>
      <c r="EY168"/>
      <c r="EZ168"/>
      <c r="FA168"/>
      <c r="FB168"/>
      <c r="FC168"/>
      <c r="FD168"/>
      <c r="FE168"/>
      <c r="FF168"/>
      <c r="FG168"/>
      <c r="FH168"/>
      <c r="FI168"/>
      <c r="FJ168"/>
      <c r="FK168"/>
      <c r="FL168"/>
      <c r="FM168"/>
      <c r="FN168"/>
      <c r="FO168"/>
      <c r="FP168"/>
      <c r="FQ168"/>
      <c r="FR168"/>
      <c r="FS168"/>
      <c r="FT168"/>
      <c r="FU168"/>
      <c r="FV168"/>
      <c r="FW168"/>
      <c r="FX168"/>
      <c r="FY168"/>
      <c r="FZ168"/>
      <c r="GA168"/>
      <c r="GB168"/>
      <c r="GC168"/>
      <c r="GD168"/>
      <c r="GE168"/>
      <c r="GF168"/>
      <c r="GG168"/>
      <c r="GH168"/>
      <c r="GI168"/>
      <c r="GJ168"/>
      <c r="GK168"/>
      <c r="GL168"/>
      <c r="GM168"/>
      <c r="GN168"/>
      <c r="GO168"/>
      <c r="GP168"/>
      <c r="GQ168"/>
      <c r="GR168"/>
      <c r="GS168"/>
      <c r="GT168"/>
      <c r="GU168"/>
      <c r="GV168"/>
      <c r="GW168"/>
      <c r="GX168"/>
      <c r="GY168"/>
      <c r="GZ168"/>
      <c r="HA168"/>
      <c r="HB168"/>
      <c r="HC168"/>
      <c r="HD168"/>
      <c r="HE168"/>
      <c r="HF168"/>
      <c r="HG168"/>
      <c r="HH168"/>
      <c r="HI168"/>
      <c r="HJ168"/>
      <c r="HK168"/>
      <c r="HL168"/>
      <c r="HM168"/>
      <c r="HN168"/>
      <c r="HO168"/>
      <c r="HP168"/>
      <c r="HQ168"/>
      <c r="HR168"/>
      <c r="HS168"/>
      <c r="HT168"/>
      <c r="HU168"/>
      <c r="HV168"/>
      <c r="HW168"/>
      <c r="HX168"/>
      <c r="HY168"/>
      <c r="HZ168"/>
      <c r="IA168"/>
      <c r="IB168"/>
      <c r="IC168"/>
      <c r="ID168"/>
      <c r="IE168"/>
      <c r="IF168"/>
      <c r="IG168"/>
      <c r="IH168"/>
      <c r="II168"/>
      <c r="IJ168"/>
      <c r="IK168"/>
      <c r="IL168"/>
      <c r="IM168"/>
      <c r="IN168"/>
      <c r="IO168"/>
      <c r="IP168"/>
      <c r="IQ168"/>
      <c r="IR168"/>
      <c r="IS168"/>
      <c r="IT168"/>
      <c r="IU168"/>
      <c r="IV168"/>
      <c r="IW168"/>
      <c r="IX168"/>
      <c r="IY168"/>
      <c r="IZ168"/>
      <c r="JA168"/>
      <c r="JB168"/>
      <c r="JC168"/>
      <c r="JD168"/>
      <c r="JE168"/>
      <c r="JF168"/>
      <c r="JG168"/>
      <c r="JH168"/>
      <c r="JI168"/>
      <c r="JJ168"/>
      <c r="JK168"/>
      <c r="JL168"/>
      <c r="JM168"/>
      <c r="JN168"/>
      <c r="JO168"/>
      <c r="JP168"/>
      <c r="JQ168"/>
      <c r="JR168"/>
      <c r="JS168"/>
      <c r="JT168"/>
      <c r="JU168"/>
      <c r="JV168"/>
    </row>
    <row r="169" spans="2:282" s="9" customFormat="1" ht="14.5" x14ac:dyDescent="0.35">
      <c r="B169" s="10"/>
      <c r="C169" s="10"/>
      <c r="O169" s="10"/>
      <c r="P169" s="10"/>
      <c r="Q169" s="10"/>
      <c r="R169" s="10"/>
      <c r="S169" s="10"/>
      <c r="T169" s="10"/>
      <c r="U169" s="10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  <c r="CN169"/>
      <c r="CO169"/>
      <c r="CP169"/>
      <c r="CQ169"/>
      <c r="CR169"/>
      <c r="CS169"/>
      <c r="CT169"/>
      <c r="CU169"/>
      <c r="CV169"/>
      <c r="CW169"/>
      <c r="CX169"/>
      <c r="CY169"/>
      <c r="CZ169"/>
      <c r="DA169"/>
      <c r="DB169"/>
      <c r="DC169"/>
      <c r="DD169"/>
      <c r="DE169"/>
      <c r="DF169"/>
      <c r="DG169"/>
      <c r="DH169"/>
      <c r="DI169"/>
      <c r="DJ169"/>
      <c r="DK169"/>
      <c r="DL169"/>
      <c r="DM169"/>
      <c r="DN169"/>
      <c r="DO169"/>
      <c r="DP169"/>
      <c r="DQ169"/>
      <c r="DR169"/>
      <c r="DS169"/>
      <c r="DT169"/>
      <c r="DU169"/>
      <c r="DV169"/>
      <c r="DW169"/>
      <c r="DX169"/>
      <c r="DY169"/>
      <c r="DZ169"/>
      <c r="EA169"/>
      <c r="EB169"/>
      <c r="EC169"/>
      <c r="ED169"/>
      <c r="EE169"/>
      <c r="EF169"/>
      <c r="EG169"/>
      <c r="EH169"/>
      <c r="EI169"/>
      <c r="EJ169"/>
      <c r="EK169"/>
      <c r="EL169"/>
      <c r="EM169"/>
      <c r="EN169"/>
      <c r="EO169"/>
      <c r="EP169"/>
      <c r="EQ169"/>
      <c r="ER169"/>
      <c r="ES169"/>
      <c r="ET169"/>
      <c r="EU169"/>
      <c r="EV169"/>
      <c r="EW169"/>
      <c r="EX169"/>
      <c r="EY169"/>
      <c r="EZ169"/>
      <c r="FA169"/>
      <c r="FB169"/>
      <c r="FC169"/>
      <c r="FD169"/>
      <c r="FE169"/>
      <c r="FF169"/>
      <c r="FG169"/>
      <c r="FH169"/>
      <c r="FI169"/>
      <c r="FJ169"/>
      <c r="FK169"/>
      <c r="FL169"/>
      <c r="FM169"/>
      <c r="FN169"/>
      <c r="FO169"/>
      <c r="FP169"/>
      <c r="FQ169"/>
      <c r="FR169"/>
      <c r="FS169"/>
      <c r="FT169"/>
      <c r="FU169"/>
      <c r="FV169"/>
      <c r="FW169"/>
      <c r="FX169"/>
      <c r="FY169"/>
      <c r="FZ169"/>
      <c r="GA169"/>
      <c r="GB169"/>
      <c r="GC169"/>
      <c r="GD169"/>
      <c r="GE169"/>
      <c r="GF169"/>
      <c r="GG169"/>
      <c r="GH169"/>
      <c r="GI169"/>
      <c r="GJ169"/>
      <c r="GK169"/>
      <c r="GL169"/>
      <c r="GM169"/>
      <c r="GN169"/>
      <c r="GO169"/>
      <c r="GP169"/>
      <c r="GQ169"/>
      <c r="GR169"/>
      <c r="GS169"/>
      <c r="GT169"/>
      <c r="GU169"/>
      <c r="GV169"/>
      <c r="GW169"/>
      <c r="GX169"/>
      <c r="GY169"/>
      <c r="GZ169"/>
      <c r="HA169"/>
      <c r="HB169"/>
      <c r="HC169"/>
      <c r="HD169"/>
      <c r="HE169"/>
      <c r="HF169"/>
      <c r="HG169"/>
      <c r="HH169"/>
      <c r="HI169"/>
      <c r="HJ169"/>
      <c r="HK169"/>
      <c r="HL169"/>
      <c r="HM169"/>
      <c r="HN169"/>
      <c r="HO169"/>
      <c r="HP169"/>
      <c r="HQ169"/>
      <c r="HR169"/>
      <c r="HS169"/>
      <c r="HT169"/>
      <c r="HU169"/>
      <c r="HV169"/>
      <c r="HW169"/>
      <c r="HX169"/>
      <c r="HY169"/>
      <c r="HZ169"/>
      <c r="IA169"/>
      <c r="IB169"/>
      <c r="IC169"/>
      <c r="ID169"/>
      <c r="IE169"/>
      <c r="IF169"/>
      <c r="IG169"/>
      <c r="IH169"/>
      <c r="II169"/>
      <c r="IJ169"/>
      <c r="IK169"/>
      <c r="IL169"/>
      <c r="IM169"/>
      <c r="IN169"/>
      <c r="IO169"/>
      <c r="IP169"/>
      <c r="IQ169"/>
      <c r="IR169"/>
      <c r="IS169"/>
      <c r="IT169"/>
      <c r="IU169"/>
      <c r="IV169"/>
      <c r="IW169"/>
      <c r="IX169"/>
      <c r="IY169"/>
      <c r="IZ169"/>
      <c r="JA169"/>
      <c r="JB169"/>
      <c r="JC169"/>
      <c r="JD169"/>
      <c r="JE169"/>
      <c r="JF169"/>
      <c r="JG169"/>
      <c r="JH169"/>
      <c r="JI169"/>
      <c r="JJ169"/>
      <c r="JK169"/>
      <c r="JL169"/>
      <c r="JM169"/>
      <c r="JN169"/>
      <c r="JO169"/>
      <c r="JP169"/>
      <c r="JQ169"/>
      <c r="JR169"/>
      <c r="JS169"/>
      <c r="JT169"/>
      <c r="JU169"/>
      <c r="JV169"/>
    </row>
    <row r="170" spans="2:282" s="9" customFormat="1" ht="14.5" x14ac:dyDescent="0.35">
      <c r="B170" s="10"/>
      <c r="C170" s="10"/>
      <c r="O170" s="10"/>
      <c r="P170" s="10"/>
      <c r="Q170" s="10"/>
      <c r="R170" s="10"/>
      <c r="S170" s="10"/>
      <c r="T170" s="10"/>
      <c r="U170" s="1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  <c r="CN170"/>
      <c r="CO170"/>
      <c r="CP170"/>
      <c r="CQ170"/>
      <c r="CR170"/>
      <c r="CS170"/>
      <c r="CT170"/>
      <c r="CU170"/>
      <c r="CV170"/>
      <c r="CW170"/>
      <c r="CX170"/>
      <c r="CY170"/>
      <c r="CZ170"/>
      <c r="DA170"/>
      <c r="DB170"/>
      <c r="DC170"/>
      <c r="DD170"/>
      <c r="DE170"/>
      <c r="DF170"/>
      <c r="DG170"/>
      <c r="DH170"/>
      <c r="DI170"/>
      <c r="DJ170"/>
      <c r="DK170"/>
      <c r="DL170"/>
      <c r="DM170"/>
      <c r="DN170"/>
      <c r="DO170"/>
      <c r="DP170"/>
      <c r="DQ170"/>
      <c r="DR170"/>
      <c r="DS170"/>
      <c r="DT170"/>
      <c r="DU170"/>
      <c r="DV170"/>
      <c r="DW170"/>
      <c r="DX170"/>
      <c r="DY170"/>
      <c r="DZ170"/>
      <c r="EA170"/>
      <c r="EB170"/>
      <c r="EC170"/>
      <c r="ED170"/>
      <c r="EE170"/>
      <c r="EF170"/>
      <c r="EG170"/>
      <c r="EH170"/>
      <c r="EI170"/>
      <c r="EJ170"/>
      <c r="EK170"/>
      <c r="EL170"/>
      <c r="EM170"/>
      <c r="EN170"/>
      <c r="EO170"/>
      <c r="EP170"/>
      <c r="EQ170"/>
      <c r="ER170"/>
      <c r="ES170"/>
      <c r="ET170"/>
      <c r="EU170"/>
      <c r="EV170"/>
      <c r="EW170"/>
      <c r="EX170"/>
      <c r="EY170"/>
      <c r="EZ170"/>
      <c r="FA170"/>
      <c r="FB170"/>
      <c r="FC170"/>
      <c r="FD170"/>
      <c r="FE170"/>
      <c r="FF170"/>
      <c r="FG170"/>
      <c r="FH170"/>
      <c r="FI170"/>
      <c r="FJ170"/>
      <c r="FK170"/>
      <c r="FL170"/>
      <c r="FM170"/>
      <c r="FN170"/>
      <c r="FO170"/>
      <c r="FP170"/>
      <c r="FQ170"/>
      <c r="FR170"/>
      <c r="FS170"/>
      <c r="FT170"/>
      <c r="FU170"/>
      <c r="FV170"/>
      <c r="FW170"/>
      <c r="FX170"/>
      <c r="FY170"/>
      <c r="FZ170"/>
      <c r="GA170"/>
      <c r="GB170"/>
      <c r="GC170"/>
      <c r="GD170"/>
      <c r="GE170"/>
      <c r="GF170"/>
      <c r="GG170"/>
      <c r="GH170"/>
      <c r="GI170"/>
      <c r="GJ170"/>
      <c r="GK170"/>
      <c r="GL170"/>
      <c r="GM170"/>
      <c r="GN170"/>
      <c r="GO170"/>
      <c r="GP170"/>
      <c r="GQ170"/>
      <c r="GR170"/>
      <c r="GS170"/>
      <c r="GT170"/>
      <c r="GU170"/>
      <c r="GV170"/>
      <c r="GW170"/>
      <c r="GX170"/>
      <c r="GY170"/>
      <c r="GZ170"/>
      <c r="HA170"/>
      <c r="HB170"/>
      <c r="HC170"/>
      <c r="HD170"/>
      <c r="HE170"/>
      <c r="HF170"/>
      <c r="HG170"/>
      <c r="HH170"/>
      <c r="HI170"/>
      <c r="HJ170"/>
      <c r="HK170"/>
      <c r="HL170"/>
      <c r="HM170"/>
      <c r="HN170"/>
      <c r="HO170"/>
      <c r="HP170"/>
      <c r="HQ170"/>
      <c r="HR170"/>
      <c r="HS170"/>
      <c r="HT170"/>
      <c r="HU170"/>
      <c r="HV170"/>
      <c r="HW170"/>
      <c r="HX170"/>
      <c r="HY170"/>
      <c r="HZ170"/>
      <c r="IA170"/>
      <c r="IB170"/>
      <c r="IC170"/>
      <c r="ID170"/>
      <c r="IE170"/>
      <c r="IF170"/>
      <c r="IG170"/>
      <c r="IH170"/>
      <c r="II170"/>
      <c r="IJ170"/>
      <c r="IK170"/>
      <c r="IL170"/>
      <c r="IM170"/>
      <c r="IN170"/>
      <c r="IO170"/>
      <c r="IP170"/>
      <c r="IQ170"/>
      <c r="IR170"/>
      <c r="IS170"/>
      <c r="IT170"/>
      <c r="IU170"/>
      <c r="IV170"/>
      <c r="IW170"/>
      <c r="IX170"/>
      <c r="IY170"/>
      <c r="IZ170"/>
      <c r="JA170"/>
      <c r="JB170"/>
      <c r="JC170"/>
      <c r="JD170"/>
      <c r="JE170"/>
      <c r="JF170"/>
      <c r="JG170"/>
      <c r="JH170"/>
      <c r="JI170"/>
      <c r="JJ170"/>
      <c r="JK170"/>
      <c r="JL170"/>
      <c r="JM170"/>
      <c r="JN170"/>
      <c r="JO170"/>
      <c r="JP170"/>
      <c r="JQ170"/>
      <c r="JR170"/>
      <c r="JS170"/>
      <c r="JT170"/>
      <c r="JU170"/>
      <c r="JV170"/>
    </row>
    <row r="171" spans="2:282" s="9" customFormat="1" ht="14.5" hidden="1" x14ac:dyDescent="0.35">
      <c r="B171" s="10"/>
      <c r="C171" s="10"/>
      <c r="O171" s="10"/>
      <c r="P171" s="10"/>
      <c r="Q171" s="10"/>
      <c r="R171" s="10"/>
      <c r="S171" s="10"/>
      <c r="T171" s="10"/>
      <c r="U171" s="10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  <c r="CN171"/>
      <c r="CO171"/>
      <c r="CP171"/>
      <c r="CQ171"/>
      <c r="CR171"/>
      <c r="CS171"/>
      <c r="CT171"/>
      <c r="CU171"/>
      <c r="CV171"/>
      <c r="CW171"/>
      <c r="CX171"/>
      <c r="CY171"/>
      <c r="CZ171"/>
      <c r="DA171"/>
      <c r="DB171"/>
      <c r="DC171"/>
      <c r="DD171"/>
      <c r="DE171"/>
      <c r="DF171"/>
      <c r="DG171"/>
      <c r="DH171"/>
      <c r="DI171"/>
      <c r="DJ171"/>
      <c r="DK171"/>
      <c r="DL171"/>
      <c r="DM171"/>
      <c r="DN171"/>
      <c r="DO171"/>
      <c r="DP171"/>
      <c r="DQ171"/>
      <c r="DR171"/>
      <c r="DS171"/>
      <c r="DT171"/>
      <c r="DU171"/>
      <c r="DV171"/>
      <c r="DW171"/>
      <c r="DX171"/>
      <c r="DY171"/>
      <c r="DZ171"/>
      <c r="EA171"/>
      <c r="EB171"/>
      <c r="EC171"/>
      <c r="ED171"/>
      <c r="EE171"/>
      <c r="EF171"/>
      <c r="EG171"/>
      <c r="EH171"/>
      <c r="EI171"/>
      <c r="EJ171"/>
      <c r="EK171"/>
      <c r="EL171"/>
      <c r="EM171"/>
      <c r="EN171"/>
      <c r="EO171"/>
      <c r="EP171"/>
      <c r="EQ171"/>
      <c r="ER171"/>
      <c r="ES171"/>
      <c r="ET171"/>
      <c r="EU171"/>
      <c r="EV171"/>
      <c r="EW171"/>
      <c r="EX171"/>
      <c r="EY171"/>
      <c r="EZ171"/>
      <c r="FA171"/>
      <c r="FB171"/>
      <c r="FC171"/>
      <c r="FD171"/>
      <c r="FE171"/>
      <c r="FF171"/>
      <c r="FG171"/>
      <c r="FH171"/>
      <c r="FI171"/>
      <c r="FJ171"/>
      <c r="FK171"/>
      <c r="FL171"/>
      <c r="FM171"/>
      <c r="FN171"/>
      <c r="FO171"/>
      <c r="FP171"/>
      <c r="FQ171"/>
      <c r="FR171"/>
      <c r="FS171"/>
      <c r="FT171"/>
      <c r="FU171"/>
      <c r="FV171"/>
      <c r="FW171"/>
      <c r="FX171"/>
      <c r="FY171"/>
      <c r="FZ171"/>
      <c r="GA171"/>
      <c r="GB171"/>
      <c r="GC171"/>
      <c r="GD171"/>
      <c r="GE171"/>
      <c r="GF171"/>
      <c r="GG171"/>
      <c r="GH171"/>
      <c r="GI171"/>
      <c r="GJ171"/>
      <c r="GK171"/>
      <c r="GL171"/>
      <c r="GM171"/>
      <c r="GN171"/>
      <c r="GO171"/>
      <c r="GP171"/>
      <c r="GQ171"/>
      <c r="GR171"/>
      <c r="GS171"/>
      <c r="GT171"/>
      <c r="GU171"/>
      <c r="GV171"/>
      <c r="GW171"/>
      <c r="GX171"/>
      <c r="GY171"/>
      <c r="GZ171"/>
      <c r="HA171"/>
      <c r="HB171"/>
      <c r="HC171"/>
      <c r="HD171"/>
      <c r="HE171"/>
      <c r="HF171"/>
      <c r="HG171"/>
      <c r="HH171"/>
      <c r="HI171"/>
      <c r="HJ171"/>
      <c r="HK171"/>
      <c r="HL171"/>
      <c r="HM171"/>
      <c r="HN171"/>
      <c r="HO171"/>
      <c r="HP171"/>
      <c r="HQ171"/>
      <c r="HR171"/>
      <c r="HS171"/>
      <c r="HT171"/>
      <c r="HU171"/>
      <c r="HV171"/>
      <c r="HW171"/>
      <c r="HX171"/>
      <c r="HY171"/>
      <c r="HZ171"/>
      <c r="IA171"/>
      <c r="IB171"/>
      <c r="IC171"/>
      <c r="ID171"/>
      <c r="IE171"/>
      <c r="IF171"/>
      <c r="IG171"/>
      <c r="IH171"/>
      <c r="II171"/>
      <c r="IJ171"/>
      <c r="IK171"/>
      <c r="IL171"/>
      <c r="IM171"/>
      <c r="IN171"/>
      <c r="IO171"/>
      <c r="IP171"/>
      <c r="IQ171"/>
      <c r="IR171"/>
      <c r="IS171"/>
      <c r="IT171"/>
      <c r="IU171"/>
      <c r="IV171"/>
      <c r="IW171"/>
      <c r="IX171"/>
      <c r="IY171"/>
      <c r="IZ171"/>
      <c r="JA171"/>
      <c r="JB171"/>
      <c r="JC171"/>
      <c r="JD171"/>
      <c r="JE171"/>
      <c r="JF171"/>
      <c r="JG171"/>
      <c r="JH171"/>
      <c r="JI171"/>
      <c r="JJ171"/>
      <c r="JK171"/>
      <c r="JL171"/>
      <c r="JM171"/>
      <c r="JN171"/>
      <c r="JO171"/>
      <c r="JP171"/>
      <c r="JQ171"/>
      <c r="JR171"/>
      <c r="JS171"/>
      <c r="JT171"/>
      <c r="JU171"/>
      <c r="JV171"/>
    </row>
  </sheetData>
  <sheetProtection algorithmName="SHA-512" hashValue="JoSIYO9MyfdJfMMpAWj8eF9tKBT7h0b6js8LSBQqeboIPgNqWVba4VDsRT5lGPwqROES2qs+ZSaSzC04dXHTgQ==" saltValue="C20YWMj4et4NXKW4JpSttQ==" spinCount="100000" sheet="1" objects="1" scenarios="1" selectLockedCells="1"/>
  <mergeCells count="59">
    <mergeCell ref="B82:O82"/>
    <mergeCell ref="B83:O83"/>
    <mergeCell ref="B17:O17"/>
    <mergeCell ref="B42:O42"/>
    <mergeCell ref="B36:O36"/>
    <mergeCell ref="B58:E58"/>
    <mergeCell ref="L72:O72"/>
    <mergeCell ref="L74:M74"/>
    <mergeCell ref="L75:M75"/>
    <mergeCell ref="B77:O77"/>
    <mergeCell ref="B78:O78"/>
    <mergeCell ref="B79:O79"/>
    <mergeCell ref="B57:E57"/>
    <mergeCell ref="F57:J57"/>
    <mergeCell ref="B64:C64"/>
    <mergeCell ref="B65:C65"/>
    <mergeCell ref="F58:J58"/>
    <mergeCell ref="B80:O80"/>
    <mergeCell ref="B81:O81"/>
    <mergeCell ref="B55:E55"/>
    <mergeCell ref="F55:J55"/>
    <mergeCell ref="B56:E56"/>
    <mergeCell ref="F56:J56"/>
    <mergeCell ref="B59:E59"/>
    <mergeCell ref="F59:J59"/>
    <mergeCell ref="B66:C66"/>
    <mergeCell ref="B60:E60"/>
    <mergeCell ref="F60:J60"/>
    <mergeCell ref="B61:E61"/>
    <mergeCell ref="F61:J61"/>
    <mergeCell ref="B52:O52"/>
    <mergeCell ref="B53:E53"/>
    <mergeCell ref="F53:J53"/>
    <mergeCell ref="B54:E54"/>
    <mergeCell ref="F54:J54"/>
    <mergeCell ref="L34:M34"/>
    <mergeCell ref="N34:O34"/>
    <mergeCell ref="B29:O29"/>
    <mergeCell ref="B30:K30"/>
    <mergeCell ref="L30:M30"/>
    <mergeCell ref="N30:O30"/>
    <mergeCell ref="L33:M33"/>
    <mergeCell ref="N33:O33"/>
    <mergeCell ref="L31:M31"/>
    <mergeCell ref="B22:O22"/>
    <mergeCell ref="B24:C24"/>
    <mergeCell ref="B27:C27"/>
    <mergeCell ref="D27:E27"/>
    <mergeCell ref="B13:O13"/>
    <mergeCell ref="B18:C18"/>
    <mergeCell ref="B19:C19"/>
    <mergeCell ref="I2:O2"/>
    <mergeCell ref="M8:N8"/>
    <mergeCell ref="M9:N9"/>
    <mergeCell ref="B11:C11"/>
    <mergeCell ref="D11:E11"/>
    <mergeCell ref="I11:L11"/>
    <mergeCell ref="M11:O11"/>
    <mergeCell ref="M7:N7"/>
  </mergeCells>
  <conditionalFormatting sqref="O85:O89">
    <cfRule type="cellIs" dxfId="1" priority="2" stopIfTrue="1" operator="equal">
      <formula>0</formula>
    </cfRule>
  </conditionalFormatting>
  <conditionalFormatting sqref="E70:E72 E74:E75">
    <cfRule type="cellIs" dxfId="0" priority="1" stopIfTrue="1" operator="equal">
      <formula>0</formula>
    </cfRule>
  </conditionalFormatting>
  <dataValidations disablePrompts="1" count="1">
    <dataValidation allowBlank="1" showInputMessage="1" showErrorMessage="1" sqref="J85:L90"/>
  </dataValidations>
  <pageMargins left="0.23622047244094491" right="0.23622047244094491" top="0.74803149606299213" bottom="0.74803149606299213" header="0.31496062992125984" footer="0.31496062992125984"/>
  <pageSetup scale="53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81" r:id="rId4" name="Group Box 1">
              <controlPr defaultSize="0" autoFill="0" autoPict="0">
                <anchor moveWithCells="1">
                  <from>
                    <xdr:col>10</xdr:col>
                    <xdr:colOff>76200</xdr:colOff>
                    <xdr:row>62</xdr:row>
                    <xdr:rowOff>0</xdr:rowOff>
                  </from>
                  <to>
                    <xdr:col>11</xdr:col>
                    <xdr:colOff>1193800</xdr:colOff>
                    <xdr:row>63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2" r:id="rId5" name="Group Box 2">
              <controlPr defaultSize="0" autoFill="0" autoPict="0">
                <anchor moveWithCells="1">
                  <from>
                    <xdr:col>11</xdr:col>
                    <xdr:colOff>0</xdr:colOff>
                    <xdr:row>62</xdr:row>
                    <xdr:rowOff>0</xdr:rowOff>
                  </from>
                  <to>
                    <xdr:col>11</xdr:col>
                    <xdr:colOff>1295400</xdr:colOff>
                    <xdr:row>64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3" r:id="rId6" name="Group Box 3">
              <controlPr defaultSize="0" autoFill="0" autoPict="0">
                <anchor moveWithCells="1">
                  <from>
                    <xdr:col>11</xdr:col>
                    <xdr:colOff>0</xdr:colOff>
                    <xdr:row>62</xdr:row>
                    <xdr:rowOff>0</xdr:rowOff>
                  </from>
                  <to>
                    <xdr:col>11</xdr:col>
                    <xdr:colOff>1295400</xdr:colOff>
                    <xdr:row>64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4" r:id="rId7" name="Group Box 4">
              <controlPr defaultSize="0" autoFill="0" autoPict="0">
                <anchor moveWithCells="1">
                  <from>
                    <xdr:col>11</xdr:col>
                    <xdr:colOff>0</xdr:colOff>
                    <xdr:row>62</xdr:row>
                    <xdr:rowOff>0</xdr:rowOff>
                  </from>
                  <to>
                    <xdr:col>11</xdr:col>
                    <xdr:colOff>1295400</xdr:colOff>
                    <xdr:row>64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5" r:id="rId8" name="Group Box 5">
              <controlPr defaultSize="0" autoFill="0" autoPict="0">
                <anchor moveWithCells="1">
                  <from>
                    <xdr:col>11</xdr:col>
                    <xdr:colOff>0</xdr:colOff>
                    <xdr:row>62</xdr:row>
                    <xdr:rowOff>0</xdr:rowOff>
                  </from>
                  <to>
                    <xdr:col>11</xdr:col>
                    <xdr:colOff>1295400</xdr:colOff>
                    <xdr:row>64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6" r:id="rId9" name="Group Box 6">
              <controlPr defaultSize="0" autoFill="0" autoPict="0">
                <anchor moveWithCells="1">
                  <from>
                    <xdr:col>11</xdr:col>
                    <xdr:colOff>0</xdr:colOff>
                    <xdr:row>62</xdr:row>
                    <xdr:rowOff>0</xdr:rowOff>
                  </from>
                  <to>
                    <xdr:col>11</xdr:col>
                    <xdr:colOff>1295400</xdr:colOff>
                    <xdr:row>65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7" r:id="rId10" name="Button 7">
              <controlPr defaultSize="0" print="0" autoFill="0" autoPict="0" macro="[0]!Guardar">
                <anchor moveWithCells="1" sizeWithCells="1">
                  <from>
                    <xdr:col>13</xdr:col>
                    <xdr:colOff>946150</xdr:colOff>
                    <xdr:row>167</xdr:row>
                    <xdr:rowOff>76200</xdr:rowOff>
                  </from>
                  <to>
                    <xdr:col>14</xdr:col>
                    <xdr:colOff>1028700</xdr:colOff>
                    <xdr:row>169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5"/>
  <dimension ref="A1:D19"/>
  <sheetViews>
    <sheetView showGridLines="0" workbookViewId="0">
      <selection activeCell="B16" sqref="B16"/>
    </sheetView>
  </sheetViews>
  <sheetFormatPr baseColWidth="10" defaultColWidth="0" defaultRowHeight="14.5" zeroHeight="1" x14ac:dyDescent="0.35"/>
  <cols>
    <col min="1" max="1" width="11.453125" customWidth="1"/>
    <col min="2" max="2" width="32.453125" bestFit="1" customWidth="1"/>
    <col min="3" max="3" width="11.453125" customWidth="1"/>
    <col min="4" max="4" width="30.7265625" bestFit="1" customWidth="1"/>
    <col min="5" max="16384" width="11.453125" hidden="1"/>
  </cols>
  <sheetData>
    <row r="1" spans="1:4" x14ac:dyDescent="0.35">
      <c r="A1" s="471" t="s">
        <v>282</v>
      </c>
      <c r="B1" s="471"/>
      <c r="C1" s="471"/>
      <c r="D1" s="471"/>
    </row>
    <row r="2" spans="1:4" x14ac:dyDescent="0.35">
      <c r="A2" s="321" t="s">
        <v>253</v>
      </c>
      <c r="B2" s="321" t="s">
        <v>254</v>
      </c>
      <c r="C2" s="321" t="s">
        <v>253</v>
      </c>
      <c r="D2" s="321" t="s">
        <v>254</v>
      </c>
    </row>
    <row r="3" spans="1:4" x14ac:dyDescent="0.35">
      <c r="A3" s="322">
        <v>2</v>
      </c>
      <c r="B3" s="322" t="s">
        <v>255</v>
      </c>
      <c r="C3" s="322">
        <v>66</v>
      </c>
      <c r="D3" s="322" t="s">
        <v>256</v>
      </c>
    </row>
    <row r="4" spans="1:4" x14ac:dyDescent="0.35">
      <c r="A4" s="322">
        <v>5</v>
      </c>
      <c r="B4" s="322" t="s">
        <v>257</v>
      </c>
      <c r="C4" s="322">
        <v>69</v>
      </c>
      <c r="D4" s="322" t="s">
        <v>258</v>
      </c>
    </row>
    <row r="5" spans="1:4" x14ac:dyDescent="0.35">
      <c r="A5" s="322">
        <v>20</v>
      </c>
      <c r="B5" s="322" t="s">
        <v>259</v>
      </c>
      <c r="C5" s="322">
        <v>83</v>
      </c>
      <c r="D5" s="322" t="s">
        <v>260</v>
      </c>
    </row>
    <row r="6" spans="1:4" x14ac:dyDescent="0.35">
      <c r="A6" s="322">
        <v>24</v>
      </c>
      <c r="B6" s="322" t="s">
        <v>261</v>
      </c>
      <c r="C6" s="322">
        <v>94</v>
      </c>
      <c r="D6" s="322" t="s">
        <v>262</v>
      </c>
    </row>
    <row r="7" spans="1:4" x14ac:dyDescent="0.35">
      <c r="A7" s="322">
        <v>29</v>
      </c>
      <c r="B7" s="322" t="s">
        <v>263</v>
      </c>
      <c r="C7" s="322">
        <v>96</v>
      </c>
      <c r="D7" s="322" t="s">
        <v>264</v>
      </c>
    </row>
    <row r="8" spans="1:4" x14ac:dyDescent="0.35">
      <c r="A8" s="322">
        <v>32</v>
      </c>
      <c r="B8" s="322" t="s">
        <v>265</v>
      </c>
      <c r="C8" s="322">
        <v>97</v>
      </c>
      <c r="D8" s="322" t="s">
        <v>266</v>
      </c>
    </row>
    <row r="9" spans="1:4" x14ac:dyDescent="0.35">
      <c r="A9" s="322">
        <v>35</v>
      </c>
      <c r="B9" s="322" t="s">
        <v>267</v>
      </c>
      <c r="C9" s="322">
        <v>98</v>
      </c>
      <c r="D9" s="322" t="s">
        <v>268</v>
      </c>
    </row>
    <row r="10" spans="1:4" x14ac:dyDescent="0.35">
      <c r="A10" s="322">
        <v>40</v>
      </c>
      <c r="B10" s="322" t="s">
        <v>45</v>
      </c>
      <c r="C10" s="322">
        <v>101</v>
      </c>
      <c r="D10" s="322" t="s">
        <v>269</v>
      </c>
    </row>
    <row r="11" spans="1:4" x14ac:dyDescent="0.35">
      <c r="A11" s="322">
        <v>41</v>
      </c>
      <c r="B11" s="322" t="s">
        <v>270</v>
      </c>
      <c r="C11" s="322">
        <v>107</v>
      </c>
      <c r="D11" s="322" t="s">
        <v>271</v>
      </c>
    </row>
    <row r="12" spans="1:4" x14ac:dyDescent="0.35">
      <c r="A12" s="322">
        <v>44</v>
      </c>
      <c r="B12" s="322" t="s">
        <v>272</v>
      </c>
      <c r="C12" s="322">
        <v>113</v>
      </c>
      <c r="D12" s="322" t="s">
        <v>273</v>
      </c>
    </row>
    <row r="13" spans="1:4" x14ac:dyDescent="0.35">
      <c r="A13" s="322">
        <v>45</v>
      </c>
      <c r="B13" s="322" t="s">
        <v>274</v>
      </c>
      <c r="C13" s="322">
        <v>119</v>
      </c>
      <c r="D13" s="322" t="s">
        <v>275</v>
      </c>
    </row>
    <row r="14" spans="1:4" x14ac:dyDescent="0.35">
      <c r="A14" s="322">
        <v>50</v>
      </c>
      <c r="B14" s="322" t="s">
        <v>276</v>
      </c>
      <c r="C14" s="322">
        <v>122</v>
      </c>
      <c r="D14" s="322" t="s">
        <v>277</v>
      </c>
    </row>
    <row r="15" spans="1:4" x14ac:dyDescent="0.35">
      <c r="A15" s="322">
        <v>51</v>
      </c>
      <c r="B15" s="322" t="s">
        <v>278</v>
      </c>
      <c r="C15" s="322">
        <v>124</v>
      </c>
      <c r="D15" s="322" t="s">
        <v>279</v>
      </c>
    </row>
    <row r="16" spans="1:4" x14ac:dyDescent="0.35">
      <c r="A16" s="322">
        <v>55</v>
      </c>
      <c r="B16" s="322" t="s">
        <v>283</v>
      </c>
      <c r="C16" s="322"/>
      <c r="D16" s="322"/>
    </row>
    <row r="17" spans="1:4" x14ac:dyDescent="0.35">
      <c r="A17" s="322"/>
      <c r="B17" s="322"/>
      <c r="C17" s="322"/>
      <c r="D17" s="322"/>
    </row>
    <row r="18" spans="1:4" x14ac:dyDescent="0.35">
      <c r="A18" s="322"/>
      <c r="B18" s="322"/>
      <c r="C18" s="322"/>
      <c r="D18" s="322"/>
    </row>
    <row r="19" spans="1:4" x14ac:dyDescent="0.35">
      <c r="A19" s="322"/>
      <c r="B19" s="322"/>
      <c r="C19" s="322"/>
      <c r="D19" s="322"/>
    </row>
  </sheetData>
  <mergeCells count="1">
    <mergeCell ref="A1:D1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3" name="Button 1">
              <controlPr defaultSize="0" print="0" autoFill="0" autoPict="0" macro="[0]!ocultar_mun">
                <anchor moveWithCells="1" sizeWithCells="1">
                  <from>
                    <xdr:col>1</xdr:col>
                    <xdr:colOff>1009650</xdr:colOff>
                    <xdr:row>16</xdr:row>
                    <xdr:rowOff>127000</xdr:rowOff>
                  </from>
                  <to>
                    <xdr:col>3</xdr:col>
                    <xdr:colOff>12700</xdr:colOff>
                    <xdr:row>18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2</vt:i4>
      </vt:variant>
    </vt:vector>
  </HeadingPairs>
  <TitlesOfParts>
    <vt:vector size="4" baseType="lpstr">
      <vt:lpstr>Cotizador</vt:lpstr>
      <vt:lpstr>MunicipiosJalisco</vt:lpstr>
      <vt:lpstr>Cotizador!Área_de_impresión</vt:lpstr>
      <vt:lpstr>q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Mabel Marron Langarica</dc:creator>
  <cp:lastModifiedBy>JESSICA FARIAS</cp:lastModifiedBy>
  <cp:lastPrinted>2021-05-05T18:44:05Z</cp:lastPrinted>
  <dcterms:created xsi:type="dcterms:W3CDTF">2019-04-29T22:22:53Z</dcterms:created>
  <dcterms:modified xsi:type="dcterms:W3CDTF">2022-06-01T19:57:27Z</dcterms:modified>
</cp:coreProperties>
</file>